
<file path=[Content_Types].xml><?xml version="1.0" encoding="utf-8"?>
<Types xmlns="http://schemas.openxmlformats.org/package/2006/content-types">
  <Default Extension="bin" ContentType="application/vnd.ms-office.vbaProject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831" codeName="{AE6600E7-7A62-396C-DE95-9942FA9DD81E}"/>
  <workbookPr filterPrivacy="1" codeName="ThisWorkbook"/>
  <xr:revisionPtr revIDLastSave="0" documentId="13_ncr:1_{0A95FE8C-4D9C-4E0C-BE9D-260658B7F8B9}" xr6:coauthVersionLast="47" xr6:coauthVersionMax="47" xr10:uidLastSave="{00000000-0000-0000-0000-000000000000}"/>
  <bookViews>
    <workbookView xWindow="28680" yWindow="-120" windowWidth="29040" windowHeight="15840" xr2:uid="{00000000-000D-0000-FFFF-FFFF00000000}"/>
  </bookViews>
  <sheets>
    <sheet name="Screening" sheetId="1" r:id="rId1"/>
    <sheet name="Aggregates" sheetId="2" r:id="rId2"/>
    <sheet name="Screen Criteria" sheetId="3" r:id="rId3"/>
  </sheets>
  <functionGroups builtInGroupCount="19"/>
  <definedNames>
    <definedName name="_xlnm._FilterDatabase" localSheetId="0" hidden="1">Screening!$A$8:$M$213</definedName>
    <definedName name="_xlnm.Print_Titles" localSheetId="1">Aggregates!$1:$3</definedName>
    <definedName name="_xlnm.Print_Titles" localSheetId="2">'Screen Criteria'!$1:$3</definedName>
    <definedName name="_xlnm.Print_Titles" localSheetId="0">Screening!$1:$3</definedName>
  </definedNames>
  <calcPr calcId="181029" iterateDelta="9.9999999999994451E-4"/>
  <fileRecoveryPr autoRecover="0"/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E213" i="1" l="1"/>
  <c r="E212" i="1"/>
  <c r="E211" i="1"/>
  <c r="E210" i="1"/>
  <c r="E209" i="1"/>
  <c r="E208" i="1"/>
  <c r="E207" i="1"/>
  <c r="E206" i="1"/>
  <c r="E205" i="1"/>
  <c r="E204" i="1"/>
  <c r="E203" i="1"/>
  <c r="E202" i="1"/>
  <c r="E201" i="1"/>
  <c r="E200" i="1"/>
  <c r="E199" i="1"/>
  <c r="E198" i="1"/>
  <c r="E197" i="1"/>
  <c r="E196" i="1"/>
  <c r="E195" i="1"/>
  <c r="E194" i="1"/>
  <c r="E193" i="1"/>
  <c r="E192" i="1"/>
  <c r="E191" i="1"/>
  <c r="E190" i="1"/>
  <c r="E189" i="1"/>
  <c r="E188" i="1"/>
  <c r="E187" i="1"/>
  <c r="E186" i="1"/>
  <c r="E185" i="1"/>
  <c r="E184" i="1"/>
  <c r="E183" i="1"/>
  <c r="E182" i="1"/>
  <c r="E181" i="1"/>
  <c r="E180" i="1"/>
  <c r="E179" i="1"/>
  <c r="E178" i="1"/>
  <c r="E177" i="1"/>
  <c r="E176" i="1"/>
  <c r="E175" i="1"/>
  <c r="E174" i="1"/>
  <c r="E173" i="1"/>
  <c r="E172" i="1"/>
  <c r="E171" i="1"/>
  <c r="E170" i="1"/>
  <c r="E169" i="1"/>
  <c r="E168" i="1"/>
  <c r="E167" i="1"/>
  <c r="E166" i="1"/>
  <c r="E165" i="1"/>
  <c r="E164" i="1"/>
  <c r="E163" i="1"/>
  <c r="E162" i="1"/>
  <c r="E161" i="1"/>
  <c r="E160" i="1"/>
  <c r="E159" i="1"/>
  <c r="E158" i="1"/>
  <c r="E157" i="1"/>
  <c r="E156" i="1"/>
  <c r="E155" i="1"/>
  <c r="E154" i="1"/>
  <c r="E153" i="1"/>
  <c r="E152" i="1"/>
  <c r="E151" i="1"/>
  <c r="E150" i="1"/>
  <c r="E149" i="1"/>
  <c r="E148" i="1"/>
  <c r="E147" i="1"/>
  <c r="E146" i="1"/>
  <c r="E145" i="1"/>
  <c r="E144" i="1"/>
  <c r="E143" i="1"/>
  <c r="E142" i="1"/>
  <c r="E141" i="1"/>
  <c r="E140" i="1"/>
  <c r="E139" i="1"/>
  <c r="E138" i="1"/>
  <c r="E137" i="1"/>
  <c r="E136" i="1"/>
  <c r="E135" i="1"/>
  <c r="E134" i="1"/>
  <c r="E133" i="1"/>
  <c r="E132" i="1"/>
  <c r="E131" i="1"/>
  <c r="E130" i="1"/>
  <c r="E129" i="1"/>
  <c r="E128" i="1"/>
  <c r="E127" i="1"/>
  <c r="E126" i="1"/>
  <c r="E125" i="1"/>
  <c r="E124" i="1"/>
  <c r="E123" i="1"/>
  <c r="E122" i="1"/>
  <c r="E121" i="1"/>
  <c r="E120" i="1"/>
  <c r="E119" i="1"/>
  <c r="E118" i="1"/>
  <c r="E117" i="1"/>
  <c r="E116" i="1"/>
  <c r="E115" i="1"/>
  <c r="E114" i="1"/>
  <c r="E113" i="1"/>
  <c r="E112" i="1"/>
  <c r="E111" i="1"/>
  <c r="E110" i="1"/>
  <c r="E109" i="1"/>
  <c r="E108" i="1"/>
  <c r="E107" i="1"/>
  <c r="E106" i="1"/>
  <c r="E105" i="1"/>
  <c r="E104" i="1"/>
  <c r="E103" i="1"/>
  <c r="E102" i="1"/>
  <c r="E101" i="1"/>
  <c r="E100" i="1"/>
  <c r="E98" i="1"/>
  <c r="E97" i="1"/>
  <c r="E96" i="1"/>
  <c r="E95" i="1"/>
  <c r="E94" i="1"/>
  <c r="E93" i="1"/>
  <c r="E92" i="1"/>
  <c r="E91" i="1"/>
  <c r="E90" i="1"/>
  <c r="E89" i="1"/>
  <c r="E88" i="1"/>
  <c r="E87" i="1"/>
  <c r="E86" i="1"/>
  <c r="E85" i="1"/>
  <c r="E84" i="1"/>
  <c r="E83" i="1"/>
  <c r="E82" i="1"/>
  <c r="E80" i="1"/>
  <c r="E79" i="1"/>
  <c r="E78" i="1"/>
  <c r="E77" i="1"/>
  <c r="E76" i="1"/>
  <c r="E75" i="1"/>
  <c r="E74" i="1"/>
  <c r="E73" i="1"/>
  <c r="E72" i="1"/>
  <c r="E71" i="1"/>
  <c r="E70" i="1"/>
  <c r="E69" i="1"/>
  <c r="E68" i="1"/>
  <c r="E67" i="1"/>
  <c r="E66" i="1"/>
  <c r="E65" i="1"/>
  <c r="E64" i="1"/>
  <c r="E63" i="1"/>
  <c r="E62" i="1"/>
  <c r="E61" i="1"/>
  <c r="E60" i="1"/>
  <c r="E59" i="1"/>
  <c r="E58" i="1"/>
  <c r="E57" i="1"/>
  <c r="E56" i="1"/>
  <c r="E55" i="1"/>
  <c r="E54" i="1"/>
  <c r="E53" i="1"/>
  <c r="E52" i="1"/>
  <c r="E51" i="1"/>
  <c r="E50" i="1"/>
  <c r="E49" i="1"/>
  <c r="E48" i="1"/>
  <c r="E47" i="1"/>
  <c r="E46" i="1"/>
  <c r="E45" i="1"/>
  <c r="E44" i="1"/>
  <c r="E43" i="1"/>
  <c r="E42" i="1"/>
  <c r="E41" i="1"/>
  <c r="E40" i="1"/>
  <c r="E39" i="1"/>
  <c r="E38" i="1"/>
  <c r="E37" i="1"/>
  <c r="E36" i="1"/>
  <c r="E35" i="1"/>
  <c r="E34" i="1"/>
  <c r="E33" i="1"/>
  <c r="E32" i="1"/>
  <c r="E31" i="1"/>
  <c r="E30" i="1"/>
  <c r="E29" i="1"/>
  <c r="E28" i="1"/>
  <c r="E27" i="1"/>
  <c r="E26" i="1"/>
  <c r="E25" i="1"/>
  <c r="E24" i="1"/>
  <c r="E22" i="1"/>
  <c r="E21" i="1"/>
  <c r="E20" i="1"/>
  <c r="E19" i="1"/>
  <c r="E18" i="1"/>
  <c r="E17" i="1"/>
  <c r="E16" i="1"/>
  <c r="E15" i="1"/>
  <c r="E14" i="1"/>
  <c r="E13" i="1"/>
  <c r="E12" i="1"/>
  <c r="E11" i="1"/>
  <c r="E10" i="1"/>
  <c r="E9" i="1"/>
  <c r="C12" i="1"/>
  <c r="D12" i="1" s="1"/>
  <c r="C13" i="1"/>
  <c r="C14" i="1"/>
  <c r="C15" i="1"/>
  <c r="C16" i="1"/>
  <c r="C17" i="1"/>
  <c r="C18" i="1"/>
  <c r="C19" i="1"/>
  <c r="D19" i="1" s="1"/>
  <c r="C20" i="1"/>
  <c r="D20" i="1" s="1"/>
  <c r="C21" i="1"/>
  <c r="C22" i="1"/>
  <c r="C23" i="1"/>
  <c r="C24" i="1"/>
  <c r="C25" i="1"/>
  <c r="C26" i="1"/>
  <c r="C27" i="1"/>
  <c r="C28" i="1"/>
  <c r="D28" i="1" s="1"/>
  <c r="C29" i="1"/>
  <c r="D29" i="1" s="1"/>
  <c r="C30" i="1"/>
  <c r="C31" i="1"/>
  <c r="C32" i="1"/>
  <c r="C33" i="1"/>
  <c r="C34" i="1"/>
  <c r="C35" i="1"/>
  <c r="C36" i="1"/>
  <c r="D36" i="1" s="1"/>
  <c r="C37" i="1"/>
  <c r="D37" i="1" s="1"/>
  <c r="C38" i="1"/>
  <c r="C39" i="1"/>
  <c r="C40" i="1"/>
  <c r="C41" i="1"/>
  <c r="C42" i="1"/>
  <c r="C43" i="1"/>
  <c r="C44" i="1"/>
  <c r="D44" i="1" s="1"/>
  <c r="C45" i="1"/>
  <c r="D45" i="1" s="1"/>
  <c r="C46" i="1"/>
  <c r="C47" i="1"/>
  <c r="C48" i="1"/>
  <c r="C49" i="1"/>
  <c r="C50" i="1"/>
  <c r="C51" i="1"/>
  <c r="C52" i="1"/>
  <c r="D52" i="1" s="1"/>
  <c r="C53" i="1"/>
  <c r="D53" i="1" s="1"/>
  <c r="C54" i="1"/>
  <c r="C55" i="1"/>
  <c r="C56" i="1"/>
  <c r="C57" i="1"/>
  <c r="C58" i="1"/>
  <c r="C59" i="1"/>
  <c r="C60" i="1"/>
  <c r="D60" i="1" s="1"/>
  <c r="C61" i="1"/>
  <c r="D61" i="1" s="1"/>
  <c r="C62" i="1"/>
  <c r="C63" i="1"/>
  <c r="C64" i="1"/>
  <c r="C65" i="1"/>
  <c r="C66" i="1"/>
  <c r="C67" i="1"/>
  <c r="C68" i="1"/>
  <c r="D68" i="1" s="1"/>
  <c r="C69" i="1"/>
  <c r="D69" i="1" s="1"/>
  <c r="C70" i="1"/>
  <c r="C71" i="1"/>
  <c r="C72" i="1"/>
  <c r="C73" i="1"/>
  <c r="C74" i="1"/>
  <c r="C75" i="1"/>
  <c r="C76" i="1"/>
  <c r="D76" i="1" s="1"/>
  <c r="C77" i="1"/>
  <c r="C78" i="1"/>
  <c r="C79" i="1"/>
  <c r="C80" i="1"/>
  <c r="D80" i="1" s="1"/>
  <c r="C81" i="1"/>
  <c r="C82" i="1"/>
  <c r="C83" i="1"/>
  <c r="C84" i="1"/>
  <c r="C85" i="1"/>
  <c r="D85" i="1" s="1"/>
  <c r="C86" i="1"/>
  <c r="C87" i="1"/>
  <c r="C88" i="1"/>
  <c r="C89" i="1"/>
  <c r="D89" i="1" s="1"/>
  <c r="C90" i="1"/>
  <c r="C91" i="1"/>
  <c r="C92" i="1"/>
  <c r="C93" i="1"/>
  <c r="D93" i="1" s="1"/>
  <c r="C94" i="1"/>
  <c r="C95" i="1"/>
  <c r="C96" i="1"/>
  <c r="C97" i="1"/>
  <c r="D97" i="1" s="1"/>
  <c r="C98" i="1"/>
  <c r="C99" i="1"/>
  <c r="C100" i="1"/>
  <c r="C101" i="1"/>
  <c r="C102" i="1"/>
  <c r="D102" i="1" s="1"/>
  <c r="C103" i="1"/>
  <c r="C104" i="1"/>
  <c r="C105" i="1"/>
  <c r="C106" i="1"/>
  <c r="D106" i="1" s="1"/>
  <c r="C107" i="1"/>
  <c r="C108" i="1"/>
  <c r="C109" i="1"/>
  <c r="C110" i="1"/>
  <c r="D110" i="1" s="1"/>
  <c r="C111" i="1"/>
  <c r="C112" i="1"/>
  <c r="C113" i="1"/>
  <c r="C114" i="1"/>
  <c r="D114" i="1" s="1"/>
  <c r="C115" i="1"/>
  <c r="C116" i="1"/>
  <c r="C117" i="1"/>
  <c r="C118" i="1"/>
  <c r="D118" i="1" s="1"/>
  <c r="C119" i="1"/>
  <c r="C120" i="1"/>
  <c r="C121" i="1"/>
  <c r="C122" i="1"/>
  <c r="D122" i="1" s="1"/>
  <c r="C123" i="1"/>
  <c r="C124" i="1"/>
  <c r="C125" i="1"/>
  <c r="C126" i="1"/>
  <c r="D126" i="1" s="1"/>
  <c r="C127" i="1"/>
  <c r="C128" i="1"/>
  <c r="C129" i="1"/>
  <c r="C130" i="1"/>
  <c r="D130" i="1" s="1"/>
  <c r="C131" i="1"/>
  <c r="C132" i="1"/>
  <c r="C133" i="1"/>
  <c r="C134" i="1"/>
  <c r="D134" i="1" s="1"/>
  <c r="C135" i="1"/>
  <c r="C136" i="1"/>
  <c r="C137" i="1"/>
  <c r="C138" i="1"/>
  <c r="D138" i="1" s="1"/>
  <c r="C139" i="1"/>
  <c r="C140" i="1"/>
  <c r="C141" i="1"/>
  <c r="C142" i="1"/>
  <c r="D142" i="1" s="1"/>
  <c r="C143" i="1"/>
  <c r="C144" i="1"/>
  <c r="C145" i="1"/>
  <c r="C146" i="1"/>
  <c r="D146" i="1" s="1"/>
  <c r="C147" i="1"/>
  <c r="C148" i="1"/>
  <c r="C149" i="1"/>
  <c r="C150" i="1"/>
  <c r="D150" i="1" s="1"/>
  <c r="C151" i="1"/>
  <c r="C152" i="1"/>
  <c r="C153" i="1"/>
  <c r="C154" i="1"/>
  <c r="D154" i="1" s="1"/>
  <c r="C155" i="1"/>
  <c r="C156" i="1"/>
  <c r="C157" i="1"/>
  <c r="C158" i="1"/>
  <c r="D158" i="1" s="1"/>
  <c r="C159" i="1"/>
  <c r="C160" i="1"/>
  <c r="C161" i="1"/>
  <c r="C162" i="1"/>
  <c r="D162" i="1" s="1"/>
  <c r="C163" i="1"/>
  <c r="C164" i="1"/>
  <c r="C165" i="1"/>
  <c r="C166" i="1"/>
  <c r="D166" i="1" s="1"/>
  <c r="C167" i="1"/>
  <c r="C168" i="1"/>
  <c r="C169" i="1"/>
  <c r="C170" i="1"/>
  <c r="D170" i="1" s="1"/>
  <c r="C171" i="1"/>
  <c r="C172" i="1"/>
  <c r="C173" i="1"/>
  <c r="C174" i="1"/>
  <c r="D174" i="1" s="1"/>
  <c r="C175" i="1"/>
  <c r="C176" i="1"/>
  <c r="C177" i="1"/>
  <c r="C178" i="1"/>
  <c r="D178" i="1" s="1"/>
  <c r="C179" i="1"/>
  <c r="C180" i="1"/>
  <c r="C181" i="1"/>
  <c r="C182" i="1"/>
  <c r="D182" i="1" s="1"/>
  <c r="C183" i="1"/>
  <c r="C184" i="1"/>
  <c r="C185" i="1"/>
  <c r="C186" i="1"/>
  <c r="D186" i="1" s="1"/>
  <c r="C187" i="1"/>
  <c r="C188" i="1"/>
  <c r="C189" i="1"/>
  <c r="C190" i="1"/>
  <c r="D190" i="1" s="1"/>
  <c r="C191" i="1"/>
  <c r="C192" i="1"/>
  <c r="C193" i="1"/>
  <c r="C194" i="1"/>
  <c r="D194" i="1" s="1"/>
  <c r="C195" i="1"/>
  <c r="C196" i="1"/>
  <c r="C197" i="1"/>
  <c r="C198" i="1"/>
  <c r="D198" i="1" s="1"/>
  <c r="C199" i="1"/>
  <c r="C200" i="1"/>
  <c r="C201" i="1"/>
  <c r="C202" i="1"/>
  <c r="D202" i="1" s="1"/>
  <c r="C203" i="1"/>
  <c r="C204" i="1"/>
  <c r="C205" i="1"/>
  <c r="C206" i="1"/>
  <c r="D206" i="1" s="1"/>
  <c r="C207" i="1"/>
  <c r="C208" i="1"/>
  <c r="C209" i="1"/>
  <c r="C210" i="1"/>
  <c r="D210" i="1" s="1"/>
  <c r="C211" i="1"/>
  <c r="C212" i="1"/>
  <c r="C213" i="1"/>
  <c r="C10" i="1"/>
  <c r="C11" i="1"/>
  <c r="D11" i="1" s="1"/>
  <c r="C9" i="1"/>
  <c r="E215" i="1"/>
  <c r="D75" i="1" l="1"/>
  <c r="D10" i="1"/>
  <c r="D14" i="1"/>
  <c r="D18" i="1"/>
  <c r="D22" i="1"/>
  <c r="D27" i="1"/>
  <c r="D31" i="1"/>
  <c r="D35" i="1"/>
  <c r="D39" i="1"/>
  <c r="D43" i="1"/>
  <c r="D47" i="1"/>
  <c r="D51" i="1"/>
  <c r="D55" i="1"/>
  <c r="D59" i="1"/>
  <c r="D63" i="1"/>
  <c r="D67" i="1"/>
  <c r="D71" i="1"/>
  <c r="D77" i="1"/>
  <c r="D86" i="1"/>
  <c r="D94" i="1"/>
  <c r="D103" i="1"/>
  <c r="D111" i="1"/>
  <c r="D119" i="1"/>
  <c r="D127" i="1"/>
  <c r="D135" i="1"/>
  <c r="D143" i="1"/>
  <c r="D151" i="1"/>
  <c r="D159" i="1"/>
  <c r="D167" i="1"/>
  <c r="D175" i="1"/>
  <c r="D183" i="1"/>
  <c r="D191" i="1"/>
  <c r="D199" i="1"/>
  <c r="D207" i="1"/>
  <c r="D213" i="1"/>
  <c r="D209" i="1"/>
  <c r="D205" i="1"/>
  <c r="D201" i="1"/>
  <c r="D197" i="1"/>
  <c r="D193" i="1"/>
  <c r="D189" i="1"/>
  <c r="D185" i="1"/>
  <c r="D181" i="1"/>
  <c r="D177" i="1"/>
  <c r="D173" i="1"/>
  <c r="D169" i="1"/>
  <c r="D165" i="1"/>
  <c r="D161" i="1"/>
  <c r="D157" i="1"/>
  <c r="D153" i="1"/>
  <c r="D149" i="1"/>
  <c r="D145" i="1"/>
  <c r="D141" i="1"/>
  <c r="D137" i="1"/>
  <c r="D133" i="1"/>
  <c r="D129" i="1"/>
  <c r="D125" i="1"/>
  <c r="D121" i="1"/>
  <c r="D117" i="1"/>
  <c r="D113" i="1"/>
  <c r="D109" i="1"/>
  <c r="D105" i="1"/>
  <c r="D101" i="1"/>
  <c r="D15" i="1"/>
  <c r="D24" i="1"/>
  <c r="D32" i="1"/>
  <c r="D40" i="1"/>
  <c r="D48" i="1"/>
  <c r="D56" i="1"/>
  <c r="D64" i="1"/>
  <c r="D72" i="1"/>
  <c r="D78" i="1"/>
  <c r="D87" i="1"/>
  <c r="D95" i="1"/>
  <c r="D104" i="1"/>
  <c r="D112" i="1"/>
  <c r="D120" i="1"/>
  <c r="D128" i="1"/>
  <c r="D136" i="1"/>
  <c r="D144" i="1"/>
  <c r="D152" i="1"/>
  <c r="D160" i="1"/>
  <c r="D168" i="1"/>
  <c r="D176" i="1"/>
  <c r="D184" i="1"/>
  <c r="D192" i="1"/>
  <c r="D200" i="1"/>
  <c r="D208" i="1"/>
  <c r="D79" i="1"/>
  <c r="D96" i="1"/>
  <c r="D92" i="1"/>
  <c r="D88" i="1"/>
  <c r="D84" i="1"/>
  <c r="D16" i="1"/>
  <c r="D25" i="1"/>
  <c r="D33" i="1"/>
  <c r="D41" i="1"/>
  <c r="D49" i="1"/>
  <c r="D57" i="1"/>
  <c r="D65" i="1"/>
  <c r="D73" i="1"/>
  <c r="D82" i="1"/>
  <c r="D90" i="1"/>
  <c r="D98" i="1"/>
  <c r="D107" i="1"/>
  <c r="D115" i="1"/>
  <c r="D123" i="1"/>
  <c r="D131" i="1"/>
  <c r="D139" i="1"/>
  <c r="D147" i="1"/>
  <c r="D155" i="1"/>
  <c r="D163" i="1"/>
  <c r="D171" i="1"/>
  <c r="D179" i="1"/>
  <c r="D187" i="1"/>
  <c r="D195" i="1"/>
  <c r="D203" i="1"/>
  <c r="D211" i="1"/>
  <c r="D9" i="1"/>
  <c r="D13" i="1"/>
  <c r="D17" i="1"/>
  <c r="D21" i="1"/>
  <c r="D26" i="1"/>
  <c r="D30" i="1"/>
  <c r="D34" i="1"/>
  <c r="D38" i="1"/>
  <c r="D42" i="1"/>
  <c r="D46" i="1"/>
  <c r="D50" i="1"/>
  <c r="D54" i="1"/>
  <c r="D58" i="1"/>
  <c r="D62" i="1"/>
  <c r="D66" i="1"/>
  <c r="D70" i="1"/>
  <c r="D74" i="1"/>
  <c r="D83" i="1"/>
  <c r="D91" i="1"/>
  <c r="D100" i="1"/>
  <c r="D108" i="1"/>
  <c r="D116" i="1"/>
  <c r="D124" i="1"/>
  <c r="D132" i="1"/>
  <c r="D140" i="1"/>
  <c r="D148" i="1"/>
  <c r="D156" i="1"/>
  <c r="D164" i="1"/>
  <c r="D172" i="1"/>
  <c r="D180" i="1"/>
  <c r="D188" i="1"/>
  <c r="D196" i="1"/>
  <c r="D204" i="1"/>
  <c r="D212" i="1"/>
</calcChain>
</file>

<file path=xl/sharedStrings.xml><?xml version="1.0" encoding="utf-8"?>
<sst xmlns="http://schemas.openxmlformats.org/spreadsheetml/2006/main" count="1062" uniqueCount="844">
  <si>
    <t>Capital IQ Company Screening Report</t>
  </si>
  <si>
    <t>Company Name</t>
  </si>
  <si>
    <t>Exchange:Ticker</t>
  </si>
  <si>
    <t>Exchanges [Primary Listing]</t>
  </si>
  <si>
    <t>Exchanges [Secondary Listings]</t>
  </si>
  <si>
    <t>Quick Ratio [Latest Annual]</t>
  </si>
  <si>
    <t>Net Debt [Latest Annual] (HKDmm, Historical rate)</t>
  </si>
  <si>
    <t>Market Capitalization [Latest] (HKDmm, Historical rate)</t>
  </si>
  <si>
    <t>Total Liabilities/Total Assets % [Latest Annual]</t>
  </si>
  <si>
    <t>P/BV [Latest] (x)</t>
  </si>
  <si>
    <t>Industry Classifications</t>
  </si>
  <si>
    <t>IWS Group Holdings Limited (SEHK:6663)</t>
  </si>
  <si>
    <t>SEHK:6663</t>
  </si>
  <si>
    <t>The Stock Exchange of Hong Kong Ltd. (SEHK)</t>
  </si>
  <si>
    <t>-</t>
  </si>
  <si>
    <t>Commercial and Professional Services (Primary); Commercial Guard Services  (Primary); Commercial Security and Safety Services  (Primary); Commercial Services and Supplies (Primary); Industrials (Primary); Security and Alarm Services (Primary); Consumer Discretionary; Consumer Services; Diversified Consumer Services; Diversified Support Services; Facilities Support Management Services; General Management Services; Motor Vehicle Parking; Motor Vehicle Repair and Services; Motor Vehicle Services; Office Services and Supplies; Real Estate; Real Estate; Real Estate Management and Development; Real Estate Management Services; Real Estate Operating Companies; Residential and Personal Guard Services; Residential Building Care and Improvement Services ; Residential Security and Personal Safety Services; Specialized Consumer Services</t>
  </si>
  <si>
    <t>Huaxi Holdings Company Limited (SEHK:1689)</t>
  </si>
  <si>
    <t>SEHK:1689</t>
  </si>
  <si>
    <t>The Stock Exchange of Hong Kong Ltd. (SEHK)</t>
  </si>
  <si>
    <t>Containers and Packaging (Primary); Materials (Primary); Materials (Primary); Paper Packaging (Primary); Biotechnology; Biotechnology; Capital Goods; Commercial and Professional Services; Commercial Services and Supplies; Construction and Engineering; Construction and Engineering; Construction Support Services; Environmental and Facilities Services; Health Care; Health Care Distributors; Health Care Equipment and Services; Health Care Providers and Services; Healthcare Equipment Distribution; Industrials; Pharmaceuticals, Biotechnology and Life Sciences</t>
  </si>
  <si>
    <t>Zhou Hei Ya International Holdings Company Limited (SEHK:1458)</t>
  </si>
  <si>
    <t>SEHK:1458</t>
  </si>
  <si>
    <t>The Stock Exchange of Hong Kong Ltd. (SEHK)</t>
  </si>
  <si>
    <t>Consumer Staples (Primary); Food Products (Primary); Food, Beverage and Tobacco (Primary); Meats, Meat Processing And Meat Related Products (Primary); Packaged Foods and Meats (Primary); Poultry And Poultry Products (Primary); Commercial and Professional Services; Consumer Discretionary; Food and Staples Retailing; Food and Staples Retailing; Food Retail; Industrials; Internet and Direct Marketing Retail; Internet and Direct Marketing Retail; Online Food and Drug Retail; Online Food Retail; Professional Services; Real Estate; Real Estate; Real Estate Management and Development; Real Estate Management Services; Real Estate Operating Companies; Real Estate Operators And Lessors; Research and Consulting Services; Research, Development, and Testing Services; Retailing</t>
  </si>
  <si>
    <t>Justin Allen Holdings Limited (SEHK:1425)</t>
  </si>
  <si>
    <t>SEHK:1425</t>
  </si>
  <si>
    <t>The Stock Exchange of Hong Kong Ltd. (SEHK)</t>
  </si>
  <si>
    <t>Apparel (Primary); Apparel, Accessories and Luxury Goods (Primary); Consumer Discretionary (Primary); Consumer Durables and Apparel (Primary); Men's Apparel (Primary); Textiles, Apparel and Luxury Goods (Primary); Women's, Misses', and Juniors' Apparel (Primary); Fabrics; Textile Mill Products; Textiles</t>
  </si>
  <si>
    <t>Fu Shou Yuan International Group Limited (SEHK:1448)</t>
  </si>
  <si>
    <t>SEHK:1448</t>
  </si>
  <si>
    <t>The Stock Exchange of Hong Kong Ltd. (SEHK)</t>
  </si>
  <si>
    <t>Cemeteries (Primary); Cemeteries and Funeral Home Services (Primary); Consumer Discretionary (Primary); Consumer Services (Primary); Diversified Consumer Services (Primary); Funeral Homes and Crematories (Primary); Funeral Homes and Funeral Services (Primary); Specialized Consumer Services (Primary); Agricultural Services; Capital Goods; Cemetery Sub Dividers And Developers; Commercial and Professional Services; Commercial Services and Supplies; Environmental and Facilities Services; Industrial Machinery; Industrials; Land Sub Dividers And Developers; Landscape and Horticultural Services; Machinery; Real Estate; Real Estate; Real Estate Development; Real Estate Management and Development</t>
  </si>
  <si>
    <t>Nayuki Holdings Limited (SEHK:2150)</t>
  </si>
  <si>
    <t>SEHK:2150</t>
  </si>
  <si>
    <t>The Stock Exchange of Hong Kong Ltd. (SEHK)</t>
  </si>
  <si>
    <t>Beverage and Tobacco Bars (Primary); Consumer Discretionary (Primary); Consumer Services (Primary); Hotels, Restaurants and Leisure (Primary); Restaurants (Primary); Tea and Coffee Shops (Primary)</t>
  </si>
  <si>
    <t>Global New Material International Holdings Limited (SEHK:6616)</t>
  </si>
  <si>
    <t>SEHK:6616</t>
  </si>
  <si>
    <t>The Stock Exchange of Hong Kong Ltd. (SEHK)</t>
  </si>
  <si>
    <t>Chemicals (Primary); Materials (Primary); Materials (Primary); Organic Dyes And Pigments (Primary); Specialty Chemicals (Primary)</t>
  </si>
  <si>
    <t>Zero2IPO Holdings Inc. (SEHK:1945)</t>
  </si>
  <si>
    <t>SEHK:1945</t>
  </si>
  <si>
    <t>The Stock Exchange of Hong Kong Ltd. (SEHK)</t>
  </si>
  <si>
    <t>Capital Markets (Primary); Diversified Financials (Primary); Financial Exchanges and Data (Primary); Financials (Primary); Advertising; Asset Management and Custody Banks; Commercial and Professional Services; Communication Services; Consulting Services; Consumer Discretionary; Consumer Services; Diversified Consumer Services; Education Services; Industrials; Interactive Media and Services; Interactive Media and Services; Investment Advice; Investment Banking; Investment Banking and Brokerage; Marketing Services; Media; Media and Entertainment; Merger and Acquisition Advisory Services; Online Education Courses; Online Security Brokers and Dealers; Online Services; Online Trading Systems; Private Placement Advisory Services; Professional Services; Research and Consulting Services; Securities and Commodities Markets Services; Security Brokers and Dealers; Security Underwriting Services</t>
  </si>
  <si>
    <t>Nissin Foods Company Limited (SEHK:1475)</t>
  </si>
  <si>
    <t>SEHK:1475</t>
  </si>
  <si>
    <t>The Stock Exchange of Hong Kong Ltd. (SEHK)</t>
  </si>
  <si>
    <t>Consumer Staples (Primary); Food Products (Primary); Food, Beverage and Tobacco (Primary); Frozen Foods (Primary); Packaged Food Mixes (Primary); Packaged Foods and Meats (Primary); Prepared and Preserved Foods (Primary); Snack Food (Primary); Advertising; Beverage Distribution; Beverages; Commercial and Professional Services; Commercial Services and Supplies; Communication Services; Containers and Packaging; Diversified Support Services; Food and Staples Retailing; Food and Staples Retailing; Food Distributors; Industrials; Juices; Materials; Materials; Media; Media and Entertainment; Metal and Glass Containers; Non-Alcoholic Beverage Distribution; Plastic Packaging; Soft Drinks</t>
  </si>
  <si>
    <t>China Leon Inspection Holding Limited (SEHK:1586)</t>
  </si>
  <si>
    <t>SEHK:1586</t>
  </si>
  <si>
    <t>The Stock Exchange of Hong Kong Ltd. (SEHK)</t>
  </si>
  <si>
    <t>Energy (Primary); Energy (Primary); Energy Equipment and Services (Primary); Oil and Gas Equipment and Services (Primary); Application Software; Capital Goods; Chemical Distribution; Commercial and Professional Services; Electric Power By Solar Energy; Electric Power By Wind Energy; Electronic Equipment, Instruments and Components; Independent Power and Renewable Electricity Producers; Industrials; Information Technology; Materials; Materials; Metals and Mining; Nonmetallic Mineral Mining; Nonmetallic Mining Geophysical Surveying; Precious Metals and Minerals; Professional Services; Renewable Electricity; Research and Consulting Services; Research, Development, and Testing Services; Software; Software and Services; Technology Distributors; Technology Hardware and Equipment; Technology Hardware, Storage and Peripherals; Technology Hardware, Storage and Peripherals; Testing Laboratories; Trading Companies and Distributors; Trading Companies and Distributors; Utilities; Utilities</t>
  </si>
  <si>
    <t>Sun.King Technology Group Limited (SEHK:580)</t>
  </si>
  <si>
    <t>SEHK:580</t>
  </si>
  <si>
    <t>The Stock Exchange of Hong Kong Ltd. (SEHK)</t>
  </si>
  <si>
    <t>Capital Goods (Primary); Electrical Components and Equipment (Primary); Electrical Equipment (Primary); Industrials (Primary); Electronic Components; Electronic Components; Electronic Equipment and Instruments; Electronic Equipment, Instruments and Components; Heavy Electrical Equipment; Information Technology; Power Generation Equipment; Semiconductors; Semiconductors and Semiconductor Equipment; Semiconductors and Semiconductor Equipment; Technology Distributors; Technology Hardware and Equipment; Technology Hardware and Equipment Distribution; Trading Companies and Distributors; Trading Companies and Distributors; Transmission and Distribution Equipment</t>
  </si>
  <si>
    <t>JH Educational Technology INC. (SEHK:1935)</t>
  </si>
  <si>
    <t>SEHK:1935</t>
  </si>
  <si>
    <t>The Stock Exchange of Hong Kong Ltd. (SEHK)</t>
  </si>
  <si>
    <t>Colleges, Universities, Professional Schools, and Junior Colleges (Primary); Consumer Discretionary (Primary); Consumer Services (Primary); Diversified Consumer Services (Primary); Education Services (Primary); Junior Colleges and Technical Institutes (Primary); Schools (Primary); Commercial and Professional Services; Consulting Services; Industrials; Management Consulting Services; Professional Services; Research and Consulting Services</t>
  </si>
  <si>
    <t>Cloud Music Inc. (SEHK:9899)</t>
  </si>
  <si>
    <t>SEHK:9899</t>
  </si>
  <si>
    <t>The Stock Exchange of Hong Kong Ltd. (SEHK)</t>
  </si>
  <si>
    <t>Communication Services (Primary); Entertainment (Primary); Entertainment Services (Primary); Entertainment Venues (Primary); Media and Entertainment (Primary); Motion Picture Post-Production Services (Primary); Movies and Entertainment (Primary); Multimedia Streaming Services (Primary); Music Publishing (Primary); Music Services (Primary); Online Entertainment (Primary); Advertising; Application Hosting Services; Application Service Providers (ASPs); Application Software; Information Technology; Media; Software; Software and Services</t>
  </si>
  <si>
    <t>Hangzhou SF Intra-city Industrial Co., Ltd. (SEHK:9699)</t>
  </si>
  <si>
    <t>SEHK:9699</t>
  </si>
  <si>
    <t>The Stock Exchange of Hong Kong Ltd. (SEHK)</t>
  </si>
  <si>
    <t>Air Freight and Logistics (Primary); Air Freight and Logistics (Primary); Ground Courier Services (Primary); Industrials (Primary); Local Ground Courier Services (Primary); Transportation (Primary); Communication Services; Development Consulting; Information Technology; Information Technology (IT) Consulting; Interactive Media and Services; Interactive Media and Services; IT Consulting and Other Services; IT Services; Media and Entertainment; Online Services; Services Outsourcing; Software and Services</t>
  </si>
  <si>
    <t>MINISO Group Holding Limited (NYSE:MNSO)</t>
  </si>
  <si>
    <t>NYSE:MNSO</t>
  </si>
  <si>
    <t>SEHK:9896
Company: MINISO Group Holding Limited
(IQT1783831757) - The Stock Exchange of Hong Kong Ltd. (SEHK)</t>
  </si>
  <si>
    <t>Consumer Discretionary (Primary); General Merchandise Stores (Primary); Multiline Retail (Primary); Retailing (Primary); Variety Stores (Primary); Accessory Stores; Apparel Retail; Appliance Stores; Beauty Care Product Stores; Computer and Electronics Retail; Cosmetics Stores; Gift and Novelty Stores; Greeting Card and Stationery Stores; Hobbies, Games and Toy Stores; Homefurnishing Retail; Internet and Direct Marketing Retail; Internet and Direct Marketing Retail; Leisure Equipment Stores; Online Accessory Retail; Online Apparel and Accessory Retail; Online Apparel Retail; Online Appliance Retail; Online Beauty Care Product Retail; Online Cosmetics Retail; Online Flowers, Gifts and Novelties; Online Food and Drug Retail; Online Food Retail; Online Hobbies, Games and Toy Retail; Online Home Furnishing Retail; Online Leisure Equipment Retail; Online Paper Product Retail; Online Personal Care Product Retail; Online Specialty Retail; Online Stationery Retail; Paper Product Stores; Personal Care Product Stores; Specialty Retail; Specialty Stores</t>
  </si>
  <si>
    <t>FriendTimes Inc. (SEHK:6820)</t>
  </si>
  <si>
    <t>SEHK:6820</t>
  </si>
  <si>
    <t>The Stock Exchange of Hong Kong Ltd. (SEHK)</t>
  </si>
  <si>
    <t>Communication Services (Primary); Computer and Mobile Games (Primary); Entertainment (Primary); Entertainment Software (Primary); Interactive Home Entertainment (Primary); Media and Entertainment (Primary); Commercial and Professional Services; Consulting Services; Entertainment Production Companies; Industrials; Management Consulting Services; Motion Picture and Video Production Companies; Movies and Entertainment; Professional Services; Research and Consulting Services; Television Production Companies</t>
  </si>
  <si>
    <t>Viva China Holdings Limited (SEHK:8032)</t>
  </si>
  <si>
    <t>SEHK:8032</t>
  </si>
  <si>
    <t>The Stock Exchange of Hong Kong Ltd. (SEHK)</t>
  </si>
  <si>
    <t>Apparel, Accessories and Luxury Goods (Primary); Consumer Discretionary (Primary); Consumer Durables and Apparel (Primary); Textiles, Apparel and Luxury Goods (Primary); Advertising; Amusement And Recreation Services; Amusement Operations, Parks and Services; Communication Services; Consumer Services; Entertainment; Entertainment Services; Footwear; Health Care; Health Care Equipment and Services; Health Care Providers and Services; Health Care Services; Hotels, Restaurants and Leisure; Leisure Facilities; Marketing Services; Media; Media and Entertainment; Movies and Entertainment; Real Estate; Real Estate; Real Estate Development; Real Estate Management and Development; Real Estate Operating Companies; Real Estate Operators And Lessors; Real Estate Services; Rehabilitation Services; Sports and Related Services; Sports Services</t>
  </si>
  <si>
    <t>Orient Victory Smart urban Services Holding Limited (SEHK:265)</t>
  </si>
  <si>
    <t>SEHK:265</t>
  </si>
  <si>
    <t>The Stock Exchange of Hong Kong Ltd. (SEHK)</t>
  </si>
  <si>
    <t>Consumer Discretionary (Primary); Consumer Services (Primary); Hotels, Resorts and Cruise Lines (Primary); Hotels, Restaurants and Leisure (Primary); Lodging (Primary); Travel Agencies (Primary); Travel and Tourism Services (Primary); Capital Goods; Construction and Engineering; Construction and Engineering; Construction Support Services; Engineering and Surveying Services; Engineering Services; Industrials; Nonresidential Building Operators and Lessors; Nonresidential Property Managers; Real Estate; Real Estate; Real Estate Development; Real Estate Management and Development; Real Estate Management Services; Real Estate Operating Companies; Real Estate Operators And Lessors; Residential Building Operators and Lessors; Residential Property Managers</t>
  </si>
  <si>
    <t>Net-a-Go Technology Company Limited (SEHK:1483)</t>
  </si>
  <si>
    <t>SEHK:1483</t>
  </si>
  <si>
    <t>The Stock Exchange of Hong Kong Ltd. (SEHK)</t>
  </si>
  <si>
    <t>Commercial and Professional Services (Primary); Commercial Services and Supplies (Primary); Environmental and Facilities Services (Primary); Industrials (Primary); Sanitary Services (Primary); Capital Markets; Consumer Discretionary; Consumer Services; Diversified Financials; Financials; Hotels, Restaurants and Leisure; Investment Banking and Brokerage; Real Estate; Real Estate; Real Estate Management and Development; Real Estate Operating Companies; Real Estate Operators And Lessors; Restaurants; Securities and Commodities Markets Services; Security Brokers and Dealers</t>
  </si>
  <si>
    <t>CIFI Ever Sunshine Services Group Limited (SEHK:1995)</t>
  </si>
  <si>
    <t>SEHK:1995</t>
  </si>
  <si>
    <t>The Stock Exchange of Hong Kong Ltd. (SEHK)</t>
  </si>
  <si>
    <t>Nonresidential Property Managers (Primary); Real Estate (Primary); Real Estate (Primary); Real Estate Management and Development (Primary); Real Estate Management Services (Primary); Real Estate Operating Companies (Primary); Residential Property Managers (Primary); Application Software; Asset Management and Custody Banks; Capital Goods; Capital Markets; Commercial and Professional Services; Commercial Services and Supplies; Construction and Engineering; Construction and Engineering; Diversified Financials; Diversified Support Services; Financials; Industrials; Information Technology; IT Consulting and Other Services; IT Services; Real Estate Agents And Brokers; Real Estate Services; Software; Software and Services</t>
  </si>
  <si>
    <t>Dashan Education Holdings Limited (SEHK:9986)</t>
  </si>
  <si>
    <t>SEHK:9986</t>
  </si>
  <si>
    <t>The Stock Exchange of Hong Kong Ltd. (SEHK)</t>
  </si>
  <si>
    <t>Consumer Discretionary (Primary); Consumer Services (Primary); Diversified Consumer Services (Primary); Education Services (Primary); Specialty Educational Services (Primary); Commercial and Professional Services; Consulting Services; Distributors; Distributors; Diversified Financial Services; Diversified Financials; Financials; Industrials; Investment Services and Holding Companies; Media Distribution; Multi-Sector Holdings; Patent Owners and Lessors; Printed Media Distribution; Professional Services; Research and Consulting Services; Retailing</t>
  </si>
  <si>
    <t>Fulu Holdings Limited (SEHK:2101)</t>
  </si>
  <si>
    <t>SEHK:2101</t>
  </si>
  <si>
    <t>The Stock Exchange of Hong Kong Ltd. (SEHK)</t>
  </si>
  <si>
    <t>Consumer Discretionary (Primary); Internet and Direct Marketing Retail (Primary); Internet and Direct Marketing Retail (Primary); Online Specialty Retail (Primary); Retailing (Primary)</t>
  </si>
  <si>
    <t>Hongcheng Environmental Technology Company Limited (SEHK:2265)</t>
  </si>
  <si>
    <t>SEHK:2265</t>
  </si>
  <si>
    <t>The Stock Exchange of Hong Kong Ltd. (SEHK)</t>
  </si>
  <si>
    <t>Commercial and Professional Services (Primary); Commercial Services and Supplies (Primary); Environmental and Facilities Services (Primary); Hazardous Waste Collection, Treatment and Disposal Services (Primary); Industrials (Primary); Recycling Facilities (Primary); Sanitary Services (Primary)</t>
  </si>
  <si>
    <t>Redsun Services Group Limited (SEHK:1971)</t>
  </si>
  <si>
    <t>SEHK:1971</t>
  </si>
  <si>
    <t>The Stock Exchange of Hong Kong Ltd. (SEHK)</t>
  </si>
  <si>
    <t>Nonresidential Property Managers (Primary); Real Estate (Primary); Real Estate (Primary); Real Estate Management and Development (Primary); Real Estate Management Services (Primary); Real Estate Operating Companies (Primary); Residential Property Managers (Primary); Capital Goods; Commercial and Professional Services; Commercial Design Services; Commercial Services and Supplies; Construction and Engineering; Construction and Engineering; Consumer Discretionary; Consumer Services; Development Consulting; Diversified Consumer Services; Diversified Support Services; Financials; Industrials; Information Technology; Information Technology (IT) Consulting; Insurance; Insurance; Insurance Brokers; IT Consulting and Other Services; IT Services; Real Estate Agents And Brokers; Real Estate Services; Residential Design Services ; Services Outsourcing; Software and Services; Specialized Consumer Services; Specialty Contract Work</t>
  </si>
  <si>
    <t>Yuexiu Services Group Limited (SEHK:6626)</t>
  </si>
  <si>
    <t>SEHK:6626</t>
  </si>
  <si>
    <t>The Stock Exchange of Hong Kong Ltd. (SEHK)</t>
  </si>
  <si>
    <t>Nonresidential Property Managers (Primary); Real Estate (Primary); Real Estate (Primary); Real Estate Management and Development (Primary); Real Estate Management Services (Primary); Real Estate Operating Companies (Primary); Residential Property Managers (Primary); Building Care and Improvement Services; Commercial and Professional Services; Commercial Security and Safety Services ; Commercial Security Systems Services ; Commercial Services and Supplies; Consulting Services; Consumer Discretionary; Consumer Services; Diversified Consumer Services; Diversified Support Services; Industrials; Land Sub Dividers And Developers; Land Sub Dividers and Developers, except Cemetery; Motor Vehicle Parking; Motor Vehicle Repair and Services; Motor Vehicle Services; Professional Services; Real Estate Agents And Brokers; Real Estate Development; Real Estate Services; Research and Consulting Services; Security and Alarm Services; Specialized Consumer Services</t>
  </si>
  <si>
    <t>Tongdao Liepin Group (SEHK:6100)</t>
  </si>
  <si>
    <t>SEHK:6100</t>
  </si>
  <si>
    <t>The Stock Exchange of Hong Kong Ltd. (SEHK)</t>
  </si>
  <si>
    <t>Communication Services (Primary); Interactive Media and Services (Primary); Interactive Media and Services (Primary); Media and Entertainment (Primary); Online Services (Primary); Commercial and Professional Services; Consulting Services; Consumer Discretionary; Consumer Services; Diversified Consumer Services; Education Services; Human Resource and Employment Services; Industrials; Online Education Courses; Online Recruiting and Job Listing Services; Professional Services; Research and Consulting Services</t>
  </si>
  <si>
    <t>Kwung's Holdings Limited (SEHK:1925)</t>
  </si>
  <si>
    <t>SEHK:1925</t>
  </si>
  <si>
    <t>The Stock Exchange of Hong Kong Ltd. (SEHK)</t>
  </si>
  <si>
    <t>Candles and Candleholders (Primary); Consumer Discretionary (Primary); Consumer Durables and Apparel (Primary); Home Decor Accessories (Primary); Home Furnishings (Primary); Household Durables (Primary); Air Fresheners; Cleaning Products; Consumer Staples; Distributors; Distributors; Durable Goods Distribution; Household and Personal Products; Household Durables Distribution; Household Products; Household Products; Internet and Direct Marketing Retail; Internet and Direct Marketing Retail; Online Home Furnishing Retail; Online Specialty Retail; Retailing</t>
  </si>
  <si>
    <t>Guangdong Join-Share Financing Guarantee Investment Co., Ltd. (SEHK:1543)</t>
  </si>
  <si>
    <t>SEHK:1543</t>
  </si>
  <si>
    <t>The Stock Exchange of Hong Kong Ltd. (SEHK)</t>
  </si>
  <si>
    <t>Consumer Finance (Primary); Consumer Finance (Primary); Diversified Financials (Primary); Financials (Primary); Personal Credit Agencies (Primary); Asset Management and Custody Banks; Business Credit Agencies; Capital Markets; Commercial and Professional Services; Consulting Services; Credit Agencies; Diversified Financial Services; Industrials; Professional Services; Research and Consulting Services; Specialized Finance</t>
  </si>
  <si>
    <t>Central China New Life Limited (SEHK:9983)</t>
  </si>
  <si>
    <t>SEHK:9983</t>
  </si>
  <si>
    <t>The Stock Exchange of Hong Kong Ltd. (SEHK)</t>
  </si>
  <si>
    <t>Nonresidential Property Managers (Primary); Real Estate (Primary); Real Estate (Primary); Real Estate Management and Development (Primary); Real Estate Management Services (Primary); Real Estate Operating Companies (Primary); Residential Property Managers (Primary); Capital Goods; Construction and Engineering; Construction and Engineering; Construction Support Services; Consumer Discretionary; Consumer Services; Diversified Consumer Services; Hotels; Hotels And Motels; Hotels, Resorts and Cruise Lines; Hotels, Restaurants and Leisure; Industrials; Internet and Direct Marketing Retail; Internet and Direct Marketing Retail; Lodging; Retailing; Specialized Consumer Services; Travel and Tourism Services</t>
  </si>
  <si>
    <t>Honma Golf Limited (SEHK:6858)</t>
  </si>
  <si>
    <t>SEHK:6858</t>
  </si>
  <si>
    <t>The Stock Exchange of Hong Kong Ltd. (SEHK)</t>
  </si>
  <si>
    <t>Consumer Discretionary (Primary); Consumer Durables and Apparel (Primary); Golf Equipment (Primary); Leisure Products (Primary); Leisure Products (Primary); Sporting and Recreational Goods (Primary); Sporting Goods (Primary); Accessories; Apparel; Apparel, Accessories and Luxury Goods; Athletic Footwear; Athletic Uniforms; Footwear; Gloves; Luggage and Handbags; Specialty Apparel; Textiles, Apparel and Luxury Goods</t>
  </si>
  <si>
    <t>IMAX China Holding, Inc. (SEHK:1970)</t>
  </si>
  <si>
    <t>SEHK:1970</t>
  </si>
  <si>
    <t>The Stock Exchange of Hong Kong Ltd. (SEHK)</t>
  </si>
  <si>
    <t>Communication Services (Primary); Entertainment (Primary); Entertainment Equipment  (Primary); Entertainment Services (Primary); Media and Entertainment (Primary); Movies and Entertainment (Primary); Ticket Agencies (Primary); Advertising; Capital Goods; Commercial and Professional Services; Commercial Services and Supplies; Conference Services; Diversified Support Services; Industrials; Information Technology; Information Technology (IT) Consulting; IT Consulting and Other Services; IT Services; Media; Professional Services; Research and Consulting Services; Software and Services; Trading Companies and Distributors; Trading Companies and Distributors</t>
  </si>
  <si>
    <t>IGG Inc (SEHK:799)</t>
  </si>
  <si>
    <t>SEHK:799</t>
  </si>
  <si>
    <t>The Stock Exchange of Hong Kong Ltd. (SEHK)</t>
  </si>
  <si>
    <t>Communication Services (Primary); Computer and Mobile Games (Primary); Entertainment (Primary); Entertainment Software (Primary); Interactive Home Entertainment (Primary); Media and Entertainment (Primary); Casinos and Gaming; Commercial and Professional Services; Commercial Services and Supplies; Consumer Discretionary; Consumer Services; Diversified Financial Services; Diversified Financials; Financials; Gaming Operations; Hotels, Restaurants and Leisure; Industrials; Investment Services and Holding Companies; Multi-Sector Holdings; Office Services and Supplies; Online Customer Support; Online Gaming Operations; Outsourced Business Services; Outsourced Client Support and Customer Services; Patent Owners and Lessors</t>
  </si>
  <si>
    <t>E-Star Commercial Management Company Limited (SEHK:6668)</t>
  </si>
  <si>
    <t>SEHK:6668</t>
  </si>
  <si>
    <t>The Stock Exchange of Hong Kong Ltd. (SEHK)</t>
  </si>
  <si>
    <t>Nonresidential Building Operators and Lessors (Primary); Nonresidential Property Managers (Primary); Office Building Operators and Lessors (Primary); Real Estate (Primary); Real Estate (Primary); Real Estate Management and Development (Primary); Real Estate Management Services (Primary); Real Estate Operating Companies (Primary); Real Estate Operators And Lessors (Primary); Shopping Mall Operators and Lessors (Primary)</t>
  </si>
  <si>
    <t>Dongyue Group Limited (SEHK:189)</t>
  </si>
  <si>
    <t>SEHK:189</t>
  </si>
  <si>
    <t>The Stock Exchange of Hong Kong Ltd. (SEHK)</t>
  </si>
  <si>
    <t>Chemicals (Primary); Materials (Primary); Materials (Primary); Specialty Chemicals (Primary); Acids and Caustics; Alkalis And Chlorine; Capital Goods; Chemical Distribution; Commercial and Professional Services; Commercial Services and Supplies; Commodity Chemicals; Environmental and Facilities Services; Industrial Gases; Industrial Inorganic Chemicals; Industrial Organic Chemicals; Industrials; Petrochemicals; Plastic and Synthetic Resins; Plastic Products; Polymers; Real Estate; Real Estate; Real Estate Development; Real Estate Management and Development; Salts; Sewage Treatment Systems; Silicones; Synthetic Rubber; Trading Companies and Distributors; Trading Companies and Distributors; Utilities; Utilities; Water Utilities; Water Utilities</t>
  </si>
  <si>
    <t>SCE Intelligent Commercial Management Holdings Limited (SEHK:606)</t>
  </si>
  <si>
    <t>SEHK:606</t>
  </si>
  <si>
    <t>The Stock Exchange of Hong Kong Ltd. (SEHK)</t>
  </si>
  <si>
    <t>Nonresidential Property Managers (Primary); Real Estate (Primary); Real Estate (Primary); Real Estate Management and Development (Primary); Real Estate Management Services (Primary); Real Estate Operating Companies (Primary); Residential Property Managers (Primary)</t>
  </si>
  <si>
    <t>Giordano International Limited (SEHK:709)</t>
  </si>
  <si>
    <t>SEHK:709</t>
  </si>
  <si>
    <t>The Stock Exchange of Hong Kong Ltd. (SEHK)</t>
  </si>
  <si>
    <t>Accessory Stores (Primary); Apparel Retail (Primary); Boys' Apparel Stores (Primary); Consumer Discretionary (Primary); Girls' Apparel Stores (Primary); Men's Apparel Stores (Primary); Retailing (Primary); Specialty Retail (Primary); Women's, Misses', and Juniors' Apparel Stores (Primary); Apparel and Textile Distribution; Distributors; Distributors; Diversified Financial Services; Diversified Financials; Durable Goods Distribution; Financials; Investment Services and Holding Companies; Multi-Sector Holdings; Patent Owners and Lessors</t>
  </si>
  <si>
    <t>Pacific Online Limited (SEHK:543)</t>
  </si>
  <si>
    <t>SEHK:543</t>
  </si>
  <si>
    <t>The Stock Exchange of Hong Kong Ltd. (SEHK)</t>
  </si>
  <si>
    <t>Communication Services (Primary); Interactive Media and Services (Primary); Interactive Media and Services (Primary); Media and Entertainment (Primary); Online Services (Primary); Advertising; Broadcast Advertising; Commercial Electronics Distribution; Consumer Discretionary; Consumer Electronics Distribution; Development Consulting; Distributors; Distributors; Durable Goods Distribution; Electronic Equipment, Instruments and Components; Health Care; Health Care Distributors; Health Care Equipment and Services; Health Care Providers and Services; Information Technology; Information Technology (IT) Consulting; Internet Advertising; IT Consulting and Other Services; IT Services; Media; Retailing; Services Outsourcing; Software and Services; Technology Distributors; Technology Hardware and Equipment</t>
  </si>
  <si>
    <t>New Hope Service Holdings Limited (SEHK:3658)</t>
  </si>
  <si>
    <t>SEHK:3658</t>
  </si>
  <si>
    <t>The Stock Exchange of Hong Kong Ltd. (SEHK)</t>
  </si>
  <si>
    <t>Nonresidential Building Operators and Lessors (Primary); Real Estate (Primary); Real Estate (Primary); Real Estate Management and Development (Primary); Real Estate Management Services (Primary); Real Estate Operating Companies (Primary); Real Estate Operators And Lessors (Primary); Building Care and Improvement Services; Capital Goods; Commercial and Professional Services; Commercial Services and Supplies; Construction and Engineering; Construction and Engineering; Construction Management Services; Construction Support Services; Consumer Discretionary; Consumer Services; Diversified Consumer Services; Diversified Support Services; Industrials; Internet and Direct Marketing Retail; Internet and Direct Marketing Retail; Motor Vehicle Parking; Motor Vehicle Repair and Services; Motor Vehicle Services; Real Estate Agents And Brokers; Real Estate Services; Retailing; Specialized Consumer Services</t>
  </si>
  <si>
    <t>Huili Resources (Group) Limited (SEHK:1303)</t>
  </si>
  <si>
    <t>SEHK:1303</t>
  </si>
  <si>
    <t>The Stock Exchange of Hong Kong Ltd. (SEHK)</t>
  </si>
  <si>
    <t>Diversified Metal Ores (Primary); Diversified Metals and Mining (Primary); Lead Ores (Primary); Materials (Primary); Materials (Primary); Metals and Mining (Primary); Nickel Ores (Primary); Zinc Ores (Primary); Asset Management and Custody Banks; Capital Goods; Capital Markets; Commercial and Professional Services; Construction and Engineering; Construction and Engineering; Construction Support Services; Consulting Services; Copper; Copper Ores; Diversified Financial Services; Diversified Financials; Engineering and Surveying Services; Engineering Services; Financials; Gold; Gold Ores; Industrials; Management Consulting Services; Professional Services; Research and Consulting Services; Specialized Finance; Trading Companies and Distributors; Trading Companies and Distributors</t>
  </si>
  <si>
    <t>Precision Tsugami (China) Corporation Limited (SEHK:1651)</t>
  </si>
  <si>
    <t>SEHK:1651</t>
  </si>
  <si>
    <t>The Stock Exchange of Hong Kong Ltd. (SEHK)</t>
  </si>
  <si>
    <t>Capital Goods (Primary); Industrial Machinery (Primary); Industrials (Primary); Machinery (Primary); Machinery Components (Primary); Metalworking Machinery and Equipment (Primary)</t>
  </si>
  <si>
    <t>JTF International Holdings Limited (SEHK:8479)</t>
  </si>
  <si>
    <t>SEHK:8479</t>
  </si>
  <si>
    <t>The Stock Exchange of Hong Kong Ltd. (SEHK)</t>
  </si>
  <si>
    <t>Crude Petroleum and Natural Gas (Primary); Energy (Primary); Energy (Primary); Gasoline (Primary); Oil and Gas Refining and Marketing (Primary); Oil and Gas Refining and Marketing (Primary); Oil, Gas and Consumable Fuels (Primary); Petroleum and Petroleum Products (Primary); Petroleum Refining (Primary)</t>
  </si>
  <si>
    <t>ManpowerGroup Greater China Limited (SEHK:2180)</t>
  </si>
  <si>
    <t>SEHK:2180</t>
  </si>
  <si>
    <t>The Stock Exchange of Hong Kong Ltd. (SEHK)</t>
  </si>
  <si>
    <t>Commercial and Professional Services (Primary); Human Resource and Employment Services (Primary); Human Resources and Personnel Management (Primary); Industrials (Primary); Payroll Services (Primary); Professional and Management Development Training (Primary); Professional Services (Primary)</t>
  </si>
  <si>
    <t>Meitu, Inc. (SEHK:1357)</t>
  </si>
  <si>
    <t>SEHK:1357</t>
  </si>
  <si>
    <t>The Stock Exchange of Hong Kong Ltd. (SEHK)</t>
  </si>
  <si>
    <t>Communication Services (Primary); Interactive Media and Services (Primary); Interactive Media and Services (Primary); Media and Entertainment (Primary); Advertising; Application Software; Broadcast Advertising; Commercial and Professional Services; Communications Equipment; Communications Equipment; Human Resource and Employment Services; Industrials; Information Technology; Information Technology (IT) Consulting; Internet Advertising; IT Consulting and Other Services; IT Services; Media; Multimedia Software; Online Recruiting and Job Listing Services; Professional Services; Software; Software and Services; Technology Hardware and Equipment; Telephone and Telecommunications Equipment; Telephone Equipment</t>
  </si>
  <si>
    <t>Tsit Wing International Holdings Limited (SEHK:2119)</t>
  </si>
  <si>
    <t>SEHK:2119</t>
  </si>
  <si>
    <t>The Stock Exchange of Hong Kong Ltd. (SEHK)</t>
  </si>
  <si>
    <t>Coffee (Primary); Coffee And Tea (Primary); Consumer Staples (Primary); Food Products (Primary); Food, Beverage and Tobacco (Primary); Packaged Foods and Meats (Primary); Tea (Primary); Beverage and Tobacco Bars; Beverage Distribution; Capital Goods; Consumer Discretionary; Consumer Services; Diversified Consumer Services; Education Services; Food and Beverage Machinery Distribution; Food and Staples Retailing; Food and Staples Retailing; Food Distribution; Food Distributors; Food Retail; Hotels, Restaurants and Leisure; Industrials; Machinery Distribution; Machinery Rental and Leasing; Restaurants; Specialty Educational Services; Tea and Coffee Shops; Trading Companies and Distributors; Trading Companies and Distributors</t>
  </si>
  <si>
    <t>King's Flair International (Holdings) Limited (SEHK:6822)</t>
  </si>
  <si>
    <t>SEHK:6822</t>
  </si>
  <si>
    <t>The Stock Exchange of Hong Kong Ltd. (SEHK)</t>
  </si>
  <si>
    <t>Consumer Discretionary (Primary); Consumer Durables and Apparel (Primary); Household Durables (Primary); Housewares and Specialties (Primary); Kitchen Housewares (Primary); Distributors; Distributors; Durable Goods Distribution; Electronic Components; Electronic Components; Electronic Equipment, Instruments and Components; Household Durables Distribution; Housewares Stores; Information Technology; Nanotechnology; Retailing; Specialty Retail; Specialty Stores; Technology Hardware and Equipment</t>
  </si>
  <si>
    <t>Oriental Watch Holdings Limited (SEHK:398)</t>
  </si>
  <si>
    <t>SEHK:398</t>
  </si>
  <si>
    <t>The Stock Exchange of Hong Kong Ltd. (SEHK)</t>
  </si>
  <si>
    <t>Consumer Discretionary (Primary); Retailing (Primary); Specialty Retail (Primary); Specialty Stores (Primary); Apparel Retail; Distributors; Distributors; Durable Goods Distribution; Internet and Direct Marketing Retail; Internet and Direct Marketing Retail; Jewelry, Timepieces and Gemstone Product Distribution; Online Specialty Retail; Real Estate; Real Estate; Real Estate Management and Development; Real Estate Operating Companies; Real Estate Operators And Lessors; Watch and Timepiece Stores</t>
  </si>
  <si>
    <t>Carpenter Tan Holdings Limited (SEHK:837)</t>
  </si>
  <si>
    <t>SEHK:837</t>
  </si>
  <si>
    <t>The Stock Exchange of Hong Kong Ltd. (SEHK)</t>
  </si>
  <si>
    <t>Accessories (Primary); Apparel, Accessories and Luxury Goods (Primary); Consumer Discretionary (Primary); Consumer Durables and Apparel (Primary); Textiles, Apparel and Luxury Goods (Primary); Beauty Care Products; Consumer Staples; Diversified Financial Services; Diversified Financials; Financials; Hair Brushes, Combs and Hair Clips; Home Furnishings; Household and Personal Products; Household Durables; Internet and Direct Marketing Retail; Internet and Direct Marketing Retail; Investment Services and Holding Companies; Multi-Sector Holdings; Online Beauty Care Product Retail; Online Personal Care Product Retail; Online Specialty Retail; Patent Owners and Lessors; Personal Products; Personal Products; Real Estate; Real Estate; Real Estate Management and Development; Real Estate Operating Companies; Real Estate Operators And Lessors; Retailing; Specialty Retail; Specialty Stores; Wood Household Furniture</t>
  </si>
  <si>
    <t>NetDragon Websoft Holdings Limited (SEHK:777)</t>
  </si>
  <si>
    <t>SEHK:777</t>
  </si>
  <si>
    <t>The Stock Exchange of Hong Kong Ltd. (SEHK)</t>
  </si>
  <si>
    <t>Communication Services (Primary); Computer and Mobile Games (Primary); Entertainment (Primary); Entertainment Software (Primary); Interactive Home Entertainment (Primary); Media and Entertainment (Primary); Advertising; Application Software; Casinos and Gaming; Consumer Discretionary; Consumer Services; Diversified Consumer Services; Diversified Financial Services; Diversified Financials; Education Services; Electronic Equipment, Instruments and Components; Financials; Gaming Operations; Hotels, Restaurants and Leisure; Information Technology; Investment Services and Holding Companies; Marketing Services; Media; Multi-Sector Holdings; Online Education Courses; Online Gaming Operations; Patent Owners and Lessors; Real Estate; Real Estate; Real Estate Development; Real Estate Management and Development; Software; Software and Services; Software Distribution; Technology Distributors; Technology Hardware and Equipment; Technology Hardware and Equipment Distribution</t>
  </si>
  <si>
    <t>Meilleure Health International Industry Group Limited (SEHK:2327)</t>
  </si>
  <si>
    <t>SEHK:2327</t>
  </si>
  <si>
    <t>The Stock Exchange of Hong Kong Ltd. (SEHK)</t>
  </si>
  <si>
    <t>Capital Goods (Primary); Construction Material Distribution (Primary); Industrials (Primary); Trading Companies and Distributors (Primary); Trading Companies and Distributors (Primary); Health Care; Health Care Distributors; Health Care Equipment and Services; Health Care Providers and Services; Health Care Services; Medicinal Chemicals and Botanical Products; Pharmaceutical Product Distribution; Pharmaceuticals; Pharmaceuticals; Pharmaceuticals, Biotechnology and Life Sciences; Real Estate; Real Estate; Real Estate Agents And Brokers; Real Estate Development; Real Estate Management and Development; Real Estate Operating Companies; Real Estate Operators And Lessors; Real Estate Services</t>
  </si>
  <si>
    <t>Sino-Ocean Service Holding Limited (SEHK:6677)</t>
  </si>
  <si>
    <t>SEHK:6677</t>
  </si>
  <si>
    <t>The Stock Exchange of Hong Kong Ltd. (SEHK)</t>
  </si>
  <si>
    <t>Commercial and Professional Services (Primary); Commercial Services and Supplies (Primary); Environmental and Facilities Services (Primary); Industrials (Primary); Nonresidential Property Managers; Real Estate; Real Estate; Real Estate Agents And Brokers; Real Estate Management and Development; Real Estate Management Services; Real Estate Operating Companies; Real Estate Services; Residential Property Managers</t>
  </si>
  <si>
    <t>Excellence Commercial Property &amp; Facilities Management Group Limited (SEHK:6989)</t>
  </si>
  <si>
    <t>SEHK:6989</t>
  </si>
  <si>
    <t>The Stock Exchange of Hong Kong Ltd. (SEHK)</t>
  </si>
  <si>
    <t>Apartment Building Operators and Lessors (Primary); Nonresidential Property Managers (Primary); Real Estate (Primary); Real Estate (Primary); Real Estate Management and Development (Primary); Real Estate Management Services (Primary); Real Estate Operating Companies (Primary); Real Estate Operators And Lessors (Primary); Residential Building Operators and Lessors (Primary); Residential Property Managers (Primary); Commercial and Professional Services; Commercial Services and Supplies; Consumer Finance; Consumer Finance; Development Consulting; Diversified Financial Services; Diversified Financials; Diversified Support Services; Financials; Industrials; Information Technology; Information Technology (IT) Consulting; IT Consulting and Other Services; IT Services; Services Outsourcing; Software and Services; Specialized Finance</t>
  </si>
  <si>
    <t>China Lilang Limited (SEHK:1234)</t>
  </si>
  <si>
    <t>SEHK:1234</t>
  </si>
  <si>
    <t>The Stock Exchange of Hong Kong Ltd. (SEHK)</t>
  </si>
  <si>
    <t>Accessories (Primary); Apparel (Primary); Apparel, Accessories and Luxury Goods (Primary); Consumer Discretionary (Primary); Consumer Durables and Apparel (Primary); Men's Apparel (Primary); Textiles, Apparel and Luxury Goods (Primary); Commercial and Professional Services; Commercial Services and Supplies; General Management Services; Industrials; Office Services and Supplies</t>
  </si>
  <si>
    <t>Tiande Chemical Holdings Limited (SEHK:609)</t>
  </si>
  <si>
    <t>SEHK:609</t>
  </si>
  <si>
    <t>The Stock Exchange of Hong Kong Ltd. (SEHK)</t>
  </si>
  <si>
    <t>Chemicals (Primary); Materials (Primary); Materials (Primary); Specialty Chemicals (Primary); Acids and Caustics; Commodity Chemicals; Health Care; Health Care Equipment; Health Care Equipment and Services; Health Care Equipment and Supplies; Industrial Inorganic Chemicals; Industrial Organic Chemicals; Medical Equipment</t>
  </si>
  <si>
    <t>China General Education Group Limited (SEHK:2175)</t>
  </si>
  <si>
    <t>SEHK:2175</t>
  </si>
  <si>
    <t>The Stock Exchange of Hong Kong Ltd. (SEHK)</t>
  </si>
  <si>
    <t>Colleges, Universities, and Professional Schools (Primary); Colleges, Universities, Professional Schools, and Junior Colleges (Primary); Consumer Discretionary (Primary); Consumer Services (Primary); Diversified Consumer Services (Primary); Education Services (Primary); Junior Colleges and Technical Institutes (Primary); Schools (Primary)</t>
  </si>
  <si>
    <t>iShares Asia Trust - iShares Core S&amp;P BSE SENSEX India Index ETF (SEHK:9836)</t>
  </si>
  <si>
    <t>SEHK:9836</t>
  </si>
  <si>
    <t>The Stock Exchange of Hong Kong Ltd. (SEHK)</t>
  </si>
  <si>
    <t>SEHK:82836
Company: iShares Asia Trust - iShares Core S&amp;P BSE SENSEX India Index ETF
(IQT404717293) - The Stock Exchange of Hong Kong Ltd. (SEHK)
SEHK:2836
Company: iShares Asia Trust - iShares Core S&amp;P BSE SENSEX India Index ETF
(IQT99453780) - The Stock Exchange of Hong Kong Ltd. (SEHK)</t>
  </si>
  <si>
    <t>Asset Management and Custody Banks (Primary); Capital Markets (Primary); Diversified Financials (Primary); Financials (Primary); Investment Funds (Primary)</t>
  </si>
  <si>
    <t>Dynamic Holdings Limited (SEHK:29)</t>
  </si>
  <si>
    <t>SEHK:29</t>
  </si>
  <si>
    <t>The Stock Exchange of Hong Kong Ltd. (SEHK)</t>
  </si>
  <si>
    <t>Nonresidential Building Operators and Lessors (Primary); Office Building Operators and Lessors (Primary); Real Estate (Primary); Real Estate (Primary); Real Estate Management and Development (Primary); Real Estate Operating Companies (Primary); Real Estate Operators And Lessors (Primary); Residential Building Operators and Lessors (Primary); Shopping Mall Operators and Lessors (Primary); Commercial and Professional Services; Commercial Services and Supplies; Consulting Services; Diversified Financial Services; Diversified Financials; Diversified Real Estate Activities; Financials; General Management Services; Industrials; Management Consulting Services; Office Services and Supplies; Professional Services; Real Estate Development; Research and Consulting Services; Specialized Finance</t>
  </si>
  <si>
    <t>New Times Energy Corporation Limited (SEHK:166)</t>
  </si>
  <si>
    <t>SEHK:166</t>
  </si>
  <si>
    <t>The Stock Exchange of Hong Kong Ltd. (SEHK)</t>
  </si>
  <si>
    <t>Capital Goods (Primary); Industrials (Primary); Trading Companies and Distributors (Primary); Trading Companies and Distributors (Primary); Energy; Energy; Oil and Gas Exploration and Production; Oil and Gas Production; Oil, Gas and Consumable Fuels</t>
  </si>
  <si>
    <t>Joy Spreader Group Inc. (SEHK:6988)</t>
  </si>
  <si>
    <t>SEHK:6988</t>
  </si>
  <si>
    <t>The Stock Exchange of Hong Kong Ltd. (SEHK)</t>
  </si>
  <si>
    <t>Advertising (Primary); Broadcast Advertising (Primary); Communication Services (Primary); Internet Advertising (Primary); Media (Primary); Media and Entertainment (Primary); Interactive Media and Services; Interactive Media and Services; Online Services</t>
  </si>
  <si>
    <t>Sunac Services Holdings Limited (SEHK:1516)</t>
  </si>
  <si>
    <t>SEHK:1516</t>
  </si>
  <si>
    <t>The Stock Exchange of Hong Kong Ltd. (SEHK)</t>
  </si>
  <si>
    <t>Nonresidential Property Managers (Primary); Real Estate (Primary); Real Estate (Primary); Real Estate Management and Development (Primary); Real Estate Management Services (Primary); Real Estate Operating Companies (Primary); Residential Property Managers (Primary); Real Estate Agents And Brokers; Real Estate Services</t>
  </si>
  <si>
    <t>Kinetic Development Group Limited (SEHK:1277)</t>
  </si>
  <si>
    <t>SEHK:1277</t>
  </si>
  <si>
    <t>The Stock Exchange of Hong Kong Ltd. (SEHK)</t>
  </si>
  <si>
    <t>Coal and Consumable Fuels (Primary); Coal Products (Primary); Energy (Primary); Energy (Primary); Oil, Gas and Consumable Fuels (Primary); Agricultural Products; Agricultural Services; Animal Services; Beverages; Capital Goods; Commercial and Professional Services; Commercial Services and Supplies; Consumer Staples; Distillers and Vintners; Environmental and Facilities Services; Food Products; Food, Beverage and Tobacco; Fruits; Fruits, Vegetables, and Nuts; Grapes; Industrials; Livestock Services; Trading Companies and Distributors; Trading Companies and Distributors; Wine</t>
  </si>
  <si>
    <t>Nexteer Automotive Group Limited (SEHK:1316)</t>
  </si>
  <si>
    <t>SEHK:1316</t>
  </si>
  <si>
    <t>The Stock Exchange of Hong Kong Ltd. (SEHK)</t>
  </si>
  <si>
    <t>Auto Components (Primary); Auto Parts and Equipment (Primary); Automobiles and Components (Primary); Consumer Discretionary (Primary); Motor Vehicle Safety and Security Systems (Primary); Steering and Suspension System Components (Primary); Consumer Services; Diversified Consumer Services; Motor Vehicle Repair and Services; Specialized Consumer Services</t>
  </si>
  <si>
    <t>Alibaba Pictures Group Limited (SEHK:1060)</t>
  </si>
  <si>
    <t>SEHK:1060</t>
  </si>
  <si>
    <t>The Stock Exchange of Hong Kong Ltd. (SEHK)</t>
  </si>
  <si>
    <t>Communication Services (Primary); Entertainment (Primary); Entertainment Production Companies (Primary); Entertainment Services (Primary); Entertainment Venues (Primary); Media and Entertainment (Primary); Motion Picture and Video Production Companies (Primary); Motion Picture Distribution And Allied Services (Primary); Motion Picture Theaters (Primary); Movies and Entertainment (Primary); Talent Management and Talent Service Agencies (Primary); Television Production Companies (Primary); Ticket Agencies (Primary); Advertising; Asset Management and Custody Banks; Capital Markets; Conference Services; Consumer Discretionary; Consumer Durables and Apparel; Development Tools; Diversified Financial Services; Diversified Financials; Financials; Games and Toys; Hobbies, Toys and Games; Information Technology; Information Technology (IT) Consulting; Investment Services and Holding Companies; IT Consulting and Other Services; IT Services; Leisure Products; Leisure Products; Marketing Services; Media; Multi-Sector Holdings; Patent Owners and Lessors; Services Outsourcing; Software; Software and Services; Software Development; Sporting and Recreational Goods; Systems Software</t>
  </si>
  <si>
    <t>Homeland Interactive Technology Ltd. (SEHK:3798)</t>
  </si>
  <si>
    <t>SEHK:3798</t>
  </si>
  <si>
    <t>The Stock Exchange of Hong Kong Ltd. (SEHK)</t>
  </si>
  <si>
    <t>Communication Services (Primary); Computer and Mobile Games (Primary); Entertainment (Primary); Entertainment Software (Primary); Interactive Home Entertainment (Primary); Media and Entertainment (Primary)</t>
  </si>
  <si>
    <t>Q P Group Holdings Limited (SEHK:1412)</t>
  </si>
  <si>
    <t>SEHK:1412</t>
  </si>
  <si>
    <t>The Stock Exchange of Hong Kong Ltd. (SEHK)</t>
  </si>
  <si>
    <t>Consumer Discretionary (Primary); Consumer Durables and Apparel (Primary); Household Durables (Primary); Housewares and Specialties (Primary); Commercial and Professional Services; Commercial Printing; Commercial Services and Supplies; Greeting Cards; Industrials; Information Technology; Internet and Direct Marketing Retail; Internet and Direct Marketing Retail; IT Consulting and Other Services; IT Services; Leisure Products; Leisure Products; Materials; Materials; Novelty Paper; Online Paper Product Retail; Online Specialty Retail; Paper and Forest Products; Paper Manufacturing; Paper Products; Printing Services; Professional Services; Real Estate; Real Estate; Real Estate Management and Development; Real Estate Operating Companies; Real Estate Operators And Lessors; Research and Consulting Services; Research, Development, and Testing Services; Retailing; Software and Services; Testing Laboratories</t>
  </si>
  <si>
    <t>Feiyu Technology International Company Ltd. (SEHK:1022)</t>
  </si>
  <si>
    <t>SEHK:1022</t>
  </si>
  <si>
    <t>The Stock Exchange of Hong Kong Ltd. (SEHK)</t>
  </si>
  <si>
    <t>Central China Management Company Limited (SEHK:9982)</t>
  </si>
  <si>
    <t>SEHK:9982</t>
  </si>
  <si>
    <t>The Stock Exchange of Hong Kong Ltd. (SEHK)</t>
  </si>
  <si>
    <t>Real Estate (Primary); Real Estate (Primary); Real Estate Development (Primary); Real Estate Management and Development (Primary); Real Estate Management Services; Real Estate Operating Companies</t>
  </si>
  <si>
    <t>Value Partners Group Limited (SEHK:806)</t>
  </si>
  <si>
    <t>SEHK:806</t>
  </si>
  <si>
    <t>The Stock Exchange of Hong Kong Ltd. (SEHK)</t>
  </si>
  <si>
    <t>Asset Management and Custody Banks (Primary); Capital Markets (Primary); Diversified Financials (Primary); Financials (Primary)</t>
  </si>
  <si>
    <t>361 Degrees International Limited (SEHK:1361)</t>
  </si>
  <si>
    <t>SEHK:1361</t>
  </si>
  <si>
    <t>The Stock Exchange of Hong Kong Ltd. (SEHK)</t>
  </si>
  <si>
    <t>Accessories (Primary); Apparel (Primary); Apparel, Accessories and Luxury Goods (Primary); Athletic Uniforms (Primary); Consumer Discretionary (Primary); Consumer Durables and Apparel (Primary); Specialty Apparel (Primary); Textiles, Apparel and Luxury Goods (Primary); Accessory Stores; Apparel and Textile Distribution; Apparel Retail; Athletic Footwear; Automotive Retail; Distributors; Distributors; Durable Goods Distribution; Footwear; Internet and Direct Marketing Retail; Internet and Direct Marketing Retail; Oil and Gas Retail; Online Apparel and Accessory Retail; Online Shoe Retail; Online Specialty Retail; Retailing; Shoe Accessories; Shoe Stores; Specialty Retail</t>
  </si>
  <si>
    <t>Zengame Technology Holding Limited (SEHK:2660)</t>
  </si>
  <si>
    <t>SEHK:2660</t>
  </si>
  <si>
    <t>The Stock Exchange of Hong Kong Ltd. (SEHK)</t>
  </si>
  <si>
    <t>Yashili International Holdings Ltd (SEHK:1230)</t>
  </si>
  <si>
    <t>SEHK:1230</t>
  </si>
  <si>
    <t>The Stock Exchange of Hong Kong Ltd. (SEHK)</t>
  </si>
  <si>
    <t>Cereal Breakfast Foods (Primary); Consumer Staples (Primary); Dairy Products (Primary); Dairy Products and Eggs (Primary); Dry, Condensed, And Evaporated Dairy Products (Primary); Flour (Primary); Food Products (Primary); Food, Beverage and Tobacco (Primary); Grain Mill Products (Primary); Packaged Foods and Meats (Primary); Food and Staples Retailing; Food and Staples Retailing; Food Distribution; Food Distributors; Food Retail</t>
  </si>
  <si>
    <t>Bairong Inc. (SEHK:6608)</t>
  </si>
  <si>
    <t>SEHK:6608</t>
  </si>
  <si>
    <t>The Stock Exchange of Hong Kong Ltd. (SEHK)</t>
  </si>
  <si>
    <t>Capital Markets (Primary); Diversified Financials (Primary); Financial Exchanges and Data (Primary); Financials (Primary); Advertising; Application Hosting Services; Application Service Providers (ASPs); Application Software; Communication Services; Data Processing and Outsourced Services; Diversified Financial Services; Information Technology; Insurance; Insurance; Insurance Brokers; IT Consulting and Other Services; IT Services; Marketing Services; Media; Media and Entertainment; Online Insurance Services; Reinsurance; Software; Software and Services; Specialized Finance</t>
  </si>
  <si>
    <t>Goldstream Investment Limited (SEHK:1328)</t>
  </si>
  <si>
    <t>SEHK:1328</t>
  </si>
  <si>
    <t>The Stock Exchange of Hong Kong Ltd. (SEHK)</t>
  </si>
  <si>
    <t>Commercial and Professional Services (Primary); Commercial Services and Supplies (Primary); Industrials (Primary); Office Services and Supplies (Primary); Asset Management and Custody Banks; Capital Markets; Diversified Financials; Financials; Information Technology; Information Technology (IT) Consulting; Investment Advice; Investment Banking and Brokerage; IT Consulting and Other Services; IT Services; Securities and Commodities Markets Services; Security Brokers; Security Brokers and Dealers; Software and Services</t>
  </si>
  <si>
    <t>Zhihu Inc. (NYSE:ZH)</t>
  </si>
  <si>
    <t>NYSE:ZH</t>
  </si>
  <si>
    <t>SEHK:2390
Company: Zhihu Inc.
(IQT1684172135) - The Stock Exchange of Hong Kong Ltd. (SEHK)</t>
  </si>
  <si>
    <t>Communication Services (Primary); Interactive Media and Services (Primary); Interactive Media and Services (Primary); Media and Entertainment (Primary); Online Services (Primary); Social Media and Networking Platforms (Primary); Advertising; Commercial and Professional Services; Consulting Services; Consumer Discretionary; Consumer Services; Diversified Consumer Services; Diversified Financial Services; Diversified Financials; Education Services; Financials; Industrials; Information Technology; Internet Services and Infrastructure; Investment Services and Holding Companies; IT Consulting and Other Services; IT Services; Marketing Services; Media; Multi-Sector Holdings; Patent Owners and Lessors; Professional Services; Research and Consulting Services; Software and Services; Specialty Educational Services</t>
  </si>
  <si>
    <t>Yantai North Andre Juice Co.,Ltd. (SEHK:2218)</t>
  </si>
  <si>
    <t>SEHK:2218</t>
  </si>
  <si>
    <t>The Stock Exchange of Hong Kong Ltd. (SEHK)</t>
  </si>
  <si>
    <t>Animal Feed (Primary); Consumer Staples (Primary); Food Products (Primary); Food, Beverage and Tobacco (Primary); Packaged Foods and Meats (Primary); Beverages; Bottled Water; Commercial and Professional Services; Commercial Services and Supplies; Containers and Packaging; Diversified Support Services; Drink Mixes; Flavoring Syrup And Concentrate; Food and Staples Retailing; Food and Staples Retailing; Food Distributors; Industrials; Juices; Materials; Materials; Metal and Glass Containers; Metal Packaging; Soft Drinks; Warehousing and Storage</t>
  </si>
  <si>
    <t>Golden Throat Holdings Group Company Limited (SEHK:6896)</t>
  </si>
  <si>
    <t>SEHK:6896</t>
  </si>
  <si>
    <t>The Stock Exchange of Hong Kong Ltd. (SEHK)</t>
  </si>
  <si>
    <t>Consumer Staples (Primary); Household and Personal Products (Primary); Personal Products (Primary); Personal Products (Primary); Health Care; Non-Prescription Drugs; Pharmaceutical Products; Pharmaceuticals; Pharmaceuticals; Pharmaceuticals, Biotechnology and Life Sciences</t>
  </si>
  <si>
    <t>Shoucheng Holdings Limited (SEHK:697)</t>
  </si>
  <si>
    <t>SEHK:697</t>
  </si>
  <si>
    <t>The Stock Exchange of Hong Kong Ltd. (SEHK)</t>
  </si>
  <si>
    <t>Diversified Real Estate Activities (Primary); Real Estate (Primary); Real Estate (Primary); Real Estate Management and Development (Primary); Asset Management and Custody Banks; Capital Markets; Consumer Discretionary; Consumer Services; Diversified Consumer Services; Diversified Financials; Financials; Motor Vehicle Parking; Motor Vehicle Repair and Services; Motor Vehicle Services; Nonresidential Property Managers; Real Estate Management Services; Real Estate Operating Companies; Real Estate Operators And Lessors; Specialized Consumer Services</t>
  </si>
  <si>
    <t>China Financial International Investments Limited (SEHK:721)</t>
  </si>
  <si>
    <t>SEHK:721</t>
  </si>
  <si>
    <t>The Stock Exchange of Hong Kong Ltd. (SEHK)</t>
  </si>
  <si>
    <t>D&amp;G Technology Holding Company Limited (SEHK:1301)</t>
  </si>
  <si>
    <t>SEHK:1301</t>
  </si>
  <si>
    <t>The Stock Exchange of Hong Kong Ltd. (SEHK)</t>
  </si>
  <si>
    <t>Capital Goods (Primary); Construction Machinery and Equipment (Primary); Construction Machinery and Heavy Trucks (Primary); Industrials (Primary); Machinery (Primary); Commercial and Professional Services; Commercial Services and Supplies; Construction Machinery Distribution; Construction Machinery Rental and Leasing; Diversified Support Services; Machinery Distribution; Machinery Rental and Leasing; Trading Companies and Distributors; Trading Companies and Distributors</t>
  </si>
  <si>
    <t>South China Vocational Education Group Company Limited (SEHK:6913)</t>
  </si>
  <si>
    <t>SEHK:6913</t>
  </si>
  <si>
    <t>The Stock Exchange of Hong Kong Ltd. (SEHK)</t>
  </si>
  <si>
    <t>Consumer Discretionary (Primary); Consumer Services (Primary); Diversified Consumer Services (Primary); Education Services (Primary); Schools (Primary); Vocational Schools (Primary)</t>
  </si>
  <si>
    <t>A-Living Smart City Services Co., Ltd. (SEHK:3319)</t>
  </si>
  <si>
    <t>SEHK:3319</t>
  </si>
  <si>
    <t>The Stock Exchange of Hong Kong Ltd. (SEHK)</t>
  </si>
  <si>
    <t>Nonresidential Property Managers (Primary); Real Estate (Primary); Real Estate (Primary); Real Estate Management and Development (Primary); Real Estate Management Services (Primary); Real Estate Operating Companies (Primary); Residential Property Managers (Primary); Advertising; Amusement And Recreation Services; Building Care and Improvement Services; Commercial and Professional Services; Commercial Services and Supplies; Communication Services; Consulting Services; Consumer Discretionary; Consumer Services; Diversified Consumer Services; Diversified Support Services; Environmental and Facilities Services; Hotels, Resorts and Cruise Lines; Hotels, Restaurants and Leisure; Industrials; Leisure Facilities; Media; Media and Entertainment; Motor Vehicle Parking; Motor Vehicle Repair and Services; Motor Vehicle Services; Professional Services; Real Estate Agents And Brokers; Real Estate Appraisers; Real Estate Services; Recreation Clubs; Research and Consulting Services; Residential Building Care and Improvement Services ; Residential Security and Personal Safety Services; Specialized Consumer Services; Travel Agencies; Travel and Tourism Services</t>
  </si>
  <si>
    <t>Huabao International Holdings Limited (SEHK:336)</t>
  </si>
  <si>
    <t>SEHK:336</t>
  </si>
  <si>
    <t>The Stock Exchange of Hong Kong Ltd. (SEHK)</t>
  </si>
  <si>
    <t>Chemicals (Primary); Materials (Primary); Materials (Primary); Specialty Chemicals (Primary); Beauty Care Products; Beverages; Commodity Chemicals; Consumer Discretionary; Consumer Staples; Drink Mixes; Flavoring Extracts; Food Products; Food, Beverage and Tobacco; Household and Personal Products; Industrial Organic Chemicals; Packaged Foods and Meats; Perfumes and Colognes; Personal Care Product Stores; Personal Products; Personal Products; Retailing; Seasonings and Preservatives; Soft Drinks; Specialty Retail; Specialty Stores; Tobacco; Tobacco</t>
  </si>
  <si>
    <t>Stella International Holdings Limited (SEHK:1836)</t>
  </si>
  <si>
    <t>SEHK:1836</t>
  </si>
  <si>
    <t>The Stock Exchange of Hong Kong Ltd. (SEHK)</t>
  </si>
  <si>
    <t>Consumer Discretionary (Primary); Consumer Durables and Apparel (Primary); Footwear (Primary); Men's and Boys' Footwear (Primary); Textiles, Apparel and Luxury Goods (Primary); Women's and Girls' Footwear (Primary); Accounting Services; Accounting, Auditing and Taxation Services; Apparel and Textile Distribution; Apparel Retail; Commercial and Professional Services; Distributors; Distributors; Diversified Financial Services; Diversified Financials; Durable Goods Distribution; Financials; Footwear Distribution; Industrials; Investment Services and Holding Companies; Men's Shoe Stores; Multi-Sector Holdings; Patent Owners and Lessors; Professional Services; Research and Consulting Services; Retailing; Shoe Stores; Specialty Retail; Women's Shoe Stores</t>
  </si>
  <si>
    <t>Natural Food International Holding Limited (SEHK:1837)</t>
  </si>
  <si>
    <t>SEHK:1837</t>
  </si>
  <si>
    <t>The Stock Exchange of Hong Kong Ltd. (SEHK)</t>
  </si>
  <si>
    <t>Consumer Staples (Primary); Food Products (Primary); Food, Beverage and Tobacco (Primary); Packaged Foods and Meats (Primary); Commercial and Professional Services; Commercial Services and Supplies; General Management Services; Industrials; Office Services and Supplies</t>
  </si>
  <si>
    <t>iShares Asia Trust - iShares Core MSCI China Index ETF (SEHK:2801)</t>
  </si>
  <si>
    <t>SEHK:2801</t>
  </si>
  <si>
    <t>The Stock Exchange of Hong Kong Ltd. (SEHK)</t>
  </si>
  <si>
    <t>Oriental Enterprise Holdings Limited (SEHK:18)</t>
  </si>
  <si>
    <t>SEHK:18</t>
  </si>
  <si>
    <t>The Stock Exchange of Hong Kong Ltd. (SEHK)</t>
  </si>
  <si>
    <t>Communication Services (Primary); Media (Primary); Media and Entertainment (Primary); Newspaper and Magazine Publishing (Primary); Newspaper Publishing (Primary); Printed Media Publishing (Primary); Published Electronic Materials (Primary); Publishing (Primary); Banks; Commercial and Professional Services; Commercial Printing; Commercial Services and Supplies; Financials; Industrials; Interactive Media and Services; Interactive Media and Services; Online Services; Real Estate; Real Estate; Real Estate Management and Development; Real Estate Operating Companies; Real Estate Operators And Lessors; Thrifts and Mortgage Finance; Thrifts and Mortgage Finance</t>
  </si>
  <si>
    <t>Tysan Holdings Limited (SEHK:687)</t>
  </si>
  <si>
    <t>SEHK:687</t>
  </si>
  <si>
    <t>The Stock Exchange of Hong Kong Ltd. (SEHK)</t>
  </si>
  <si>
    <t>Capital Goods (Primary); Construction and Engineering (Primary); Construction and Engineering (Primary); Construction Management Services (Primary); Construction Support Services (Primary); Engineering and Surveying Services (Primary); Engineering Services (Primary); Industrials (Primary); Specialty Contract Work (Primary); Apartment Building Operators and Lessors; Commercial and Professional Services; Commercial Services and Supplies; Construction Machinery Distribution; Construction Machinery Rental and Leasing; Consulting Services; General Management Services; Machinery Distribution; Machinery Rental and Leasing; Nonresidential Building Operators and Lessors; Office Building Operators and Lessors; Office Services and Supplies; Professional Services; Real Estate; Real Estate; Real Estate Development; Real Estate Management and Development; Real Estate Management Services; Real Estate Operating Companies; Real Estate Operators And Lessors; Research and Consulting Services; Residential Building Operators and Lessors; Trading Companies and Distributors; Trading Companies and Distributors</t>
  </si>
  <si>
    <t>Greentech Technology International Limited (SEHK:195)</t>
  </si>
  <si>
    <t>SEHK:195</t>
  </si>
  <si>
    <t>The Stock Exchange of Hong Kong Ltd. (SEHK)</t>
  </si>
  <si>
    <t>Diversified Metal Ores (Primary); Diversified Metals and Mining (Primary); Materials (Primary); Materials (Primary); Metals and Mining (Primary); Tin Ores (Primary); Copper; Copper Ores</t>
  </si>
  <si>
    <t>Lung Kee (Bermuda) Holdings Limited (SEHK:255)</t>
  </si>
  <si>
    <t>SEHK:255</t>
  </si>
  <si>
    <t>The Stock Exchange of Hong Kong Ltd. (SEHK)</t>
  </si>
  <si>
    <t>Capital Goods (Primary); Die Sets, Jigs and Industrial Molds (Primary); Industrial Machinery (Primary); Industrials (Primary); Machinery (Primary); Metalworking Machinery and Equipment (Primary)</t>
  </si>
  <si>
    <t>Lam Soon (Hong Kong) Limited (SEHK:411)</t>
  </si>
  <si>
    <t>SEHK:411</t>
  </si>
  <si>
    <t>The Stock Exchange of Hong Kong Ltd. (SEHK)</t>
  </si>
  <si>
    <t>Consumer Staples (Primary); Edible Oils (Primary); Flour (Primary); Food Products (Primary); Food, Beverage and Tobacco (Primary); Grain Mill Products (Primary); Packaged Foods and Meats (Primary); Air Freight and Logistics; Air Freight and Logistics; Asset Management and Custody Banks; Capital Markets; Cleaning Products; Commercial and Professional Services; Commercial Services and Supplies; Consumer Discretionary; Consumer Services; Dishwashing Detergents; Distributors; Distributors; Diversified Financials; Diversified Support Services; Financials; Floor Cleaners and Waxes; Food and Staples Retailing; Food and Staples Retailing; Food Distributors; Food Service Contractors; Hotels, Restaurants and Leisure; Household and Personal Product Distribution; Household and Personal Products; Household Products; Household Products; Industrials; Information Technology; Information Technology (IT) Consulting; IT Consulting and Other Services; IT Services; Laundry Products; Motor Vehicle Rental and Leasing; Non-Durable Goods Distribution; Real Estate; Real Estate; Real Estate Management and Development; Real Estate Operating Companies; Real Estate Operators And Lessors; Restaurants; Retailing; Road and Rail; Software and Services; Transportation; Truck Rental and Leasing; Trucking; Warehousing and Storage</t>
  </si>
  <si>
    <t>Shougang Fushan Resources Group Limited (SEHK:639)</t>
  </si>
  <si>
    <t>SEHK:639</t>
  </si>
  <si>
    <t>The Stock Exchange of Hong Kong Ltd. (SEHK)</t>
  </si>
  <si>
    <t>Materials (Primary); Materials (Primary); Metallurgical (Coking) Coal Mining (Primary); Metals and Mining (Primary); Steel (Primary); Coal and Consumable Fuels; Energy; Energy; Oil, Gas and Consumable Fuels</t>
  </si>
  <si>
    <t>Noah Holdings Limited (NYSE:NOAH)</t>
  </si>
  <si>
    <t>NYSE:NOAH</t>
  </si>
  <si>
    <t>SEHK:6686
Company: Noah Holdings Limited
(IQT365852919) - The Stock Exchange of Hong Kong Ltd. (SEHK)</t>
  </si>
  <si>
    <t>Clifford Modern Living Holdings Limited (SEHK:3686)</t>
  </si>
  <si>
    <t>SEHK:3686</t>
  </si>
  <si>
    <t>The Stock Exchange of Hong Kong Ltd. (SEHK)</t>
  </si>
  <si>
    <t>Capital Goods (Primary); Industrial Conglomerates (Primary); Industrial Conglomerates (Primary); Industrials (Primary); Commercial and Professional Services; Computer and Electronics Retail; Construction and Engineering; Construction and Engineering; Consulting Services; Consumer Discretionary; Consumer Electronics Stores; Consumer Services; Consumer Staples; Convenience Stores; Diversified Consumer Services; Domestic Cleaning and Household Services; Education Services; Food and Staples Retailing; Food and Staples Retailing; Food Retail; Fruit and Vegetable Stores and Markets; Full Stock Supermarkets; Grocery Stores; Human Resource and Employment Services; Information Technology; Information Technology (IT) Consulting; IT Consulting and Other Services; IT Services; Laundry Services; Laundry, Cleaning, and Garment Services; Meat Markets and Butchers; Nonresidential Property Managers; Professional Services; Real Estate; Real Estate; Real Estate Agents And Brokers; Real Estate Management and Development; Real Estate Management Services; Real Estate Operating Companies; Real Estate Services; Research and Consulting Services; Residential Building Care and Improvement Services ; Residential Property Managers; Retailing; Services Outsourcing; Software and Services; Specialized Consumer Services; Specialty Educational Services; Specialty Retail; System and Platform Integration</t>
  </si>
  <si>
    <t>CMGE Technology Group Limited (SEHK:302)</t>
  </si>
  <si>
    <t>SEHK:302</t>
  </si>
  <si>
    <t>The Stock Exchange of Hong Kong Ltd. (SEHK)</t>
  </si>
  <si>
    <t>Communication Services (Primary); Computer and Mobile Games (Primary); Entertainment (Primary); Entertainment Software (Primary); Interactive Home Entertainment (Primary); Media and Entertainment (Primary); Asset Management and Custody Banks; Capital Markets; Diversified Financial Services; Diversified Financials; Financials; Investment Services and Holding Companies; Multi-Sector Holdings; Patent Owners and Lessors</t>
  </si>
  <si>
    <t>Zhejiang Shibao Company Limited (SEHK:1057)</t>
  </si>
  <si>
    <t>SEHK:1057</t>
  </si>
  <si>
    <t>The Stock Exchange of Hong Kong Ltd. (SEHK)</t>
  </si>
  <si>
    <t>Auto Components (Primary); Auto Parts and Equipment (Primary); Automobiles and Components (Primary); Consumer Discretionary (Primary); Steering and Suspension System Components (Primary); Steering Systems (Primary)</t>
  </si>
  <si>
    <t>Prosperous Industrial (Holdings) Limited (SEHK:1731)</t>
  </si>
  <si>
    <t>SEHK:1731</t>
  </si>
  <si>
    <t>The Stock Exchange of Hong Kong Ltd. (SEHK)</t>
  </si>
  <si>
    <t>Apparel, Accessories and Luxury Goods (Primary); Backpacks (Primary); Consumer Discretionary (Primary); Consumer Durables and Apparel (Primary); Luggage (Primary); Luggage and Handbags (Primary); Purses, Handbags and Bags (Primary); Textiles, Apparel and Luxury Goods (Primary); Apparel and Textile Distribution; Apparel Retail; Commercial and Professional Services; Commercial Services and Supplies; Distributors; Distributors; Diversified Support Services; Durable Goods Distribution; Industrials; Luggage and Leather Goods Stores; Retailing; Specialty Retail</t>
  </si>
  <si>
    <t>CMIC Ocean En-Tech Holding Co., Ltd. (SEHK:206)</t>
  </si>
  <si>
    <t>SEHK:206</t>
  </si>
  <si>
    <t>The Stock Exchange of Hong Kong Ltd. (SEHK)</t>
  </si>
  <si>
    <t>Drilling Rigs and Equipment (Primary); Energy (Primary); Energy (Primary); Energy Equipment and Services (Primary); Oil and Gas Equipment and Services (Primary); Oil and Gas Field Services (Primary); Oil and Gas Machinery and Equipment (Primary); Well Drilling Machinery and Equipment (Primary); Capital Goods; Construction and Engineering; Construction and Engineering; Construction Support Services; Engineering and Surveying Services; Engineering Services; Industrial Machinery; Industrials; Machinery; Machinery Distribution; Machinery Rental and Leasing; Material Handling Machinery and Equipment; Oil and Gas Machinery and Equipment Distribution; Trading Companies and Distributors; Trading Companies and Distributors</t>
  </si>
  <si>
    <t>Playmates Toys Limited (SEHK:869)</t>
  </si>
  <si>
    <t>SEHK:869</t>
  </si>
  <si>
    <t>The Stock Exchange of Hong Kong Ltd. (SEHK)</t>
  </si>
  <si>
    <t>Consumer Discretionary (Primary); Consumer Durables and Apparel (Primary); Games and Toys (Primary); Hobbies, Toys and Games (Primary); Leisure Products (Primary); Leisure Products (Primary); Sporting and Recreational Goods (Primary)</t>
  </si>
  <si>
    <t>Maoyan Entertainment (SEHK:1896)</t>
  </si>
  <si>
    <t>SEHK:1896</t>
  </si>
  <si>
    <t>The Stock Exchange of Hong Kong Ltd. (SEHK)</t>
  </si>
  <si>
    <t>Consumer Discretionary (Primary); Internet and Direct Marketing Retail (Primary); Internet and Direct Marketing Retail (Primary); Online Entertainment Ticket Agencies (Primary); Retailing (Primary); Advertising; Broadcast Advertising; Broadcasting; Commercial Distribution Film Libraries; Communication Services; Computer and Mobile Games; Entertainment; Entertainment Production Companies; Entertainment Services; Entertainment Software; Entertainment Venues; Interactive Home Entertainment; Internet Advertising; Media; Media and Entertainment; Motion Picture and Video Production Companies; Motion Picture And Video Tape Distribution; Motion Picture Distribution And Allied Services; Movies and Entertainment; Online Entertainment; Radio; Radio Production Companies; Stage and Theater Services; Talent Management and Talent Service Agencies; Television; Television and Video Post-Production Services; Television Content and Programming; Television Production Companies; Ticket Agencies</t>
  </si>
  <si>
    <t>ENM Holdings Limited (SEHK:128)</t>
  </si>
  <si>
    <t>SEHK:128</t>
  </si>
  <si>
    <t>The Stock Exchange of Hong Kong Ltd. (SEHK)</t>
  </si>
  <si>
    <t>Apparel Retail (Primary); Consumer Discretionary (Primary); Retailing (Primary); Specialty Retail (Primary); Amusement And Recreation Services; Apparel; Apparel and Textile Distribution; Apparel, Accessories and Luxury Goods; Asset Management and Custody Banks; Capital Markets; Consumer Durables and Apparel; Consumer Services; Distributors; Distributors; Diversified Financials; Durable Goods Distribution; Financials; Hotels And Motels; Hotels, Resorts and Cruise Lines; Hotels, Restaurants and Leisure; Leisure Facilities; Lodging; Men's Apparel; Recreation Clubs; Resorts; Textiles, Apparel and Luxury Goods</t>
  </si>
  <si>
    <t>Crystal International Group Limited (SEHK:2232)</t>
  </si>
  <si>
    <t>SEHK:2232</t>
  </si>
  <si>
    <t>The Stock Exchange of Hong Kong Ltd. (SEHK)</t>
  </si>
  <si>
    <t>Apparel (Primary); Apparel, Accessories and Luxury Goods (Primary); Athletic Uniforms (Primary); Consumer Discretionary (Primary); Consumer Durables and Apparel (Primary); Specialty Apparel (Primary); Textiles, Apparel and Luxury Goods (Primary); Women's Intimate Apparel (Primary); Women's, Misses', and Juniors' Apparel (Primary); Women's, Misses', and Juniors' Blouses, Shirts and Sweaters (Primary); Women's, Misses', and Juniors' Underwear and Nightwear (Primary)</t>
  </si>
  <si>
    <t>Kangqiao Service Group Limited (SEHK:2205)</t>
  </si>
  <si>
    <t>SEHK:2205</t>
  </si>
  <si>
    <t>The Stock Exchange of Hong Kong Ltd. (SEHK)</t>
  </si>
  <si>
    <t>Financial Street Property Co., Limited (SEHK:1502)</t>
  </si>
  <si>
    <t>SEHK:1502</t>
  </si>
  <si>
    <t>The Stock Exchange of Hong Kong Ltd. (SEHK)</t>
  </si>
  <si>
    <t>Nonresidential Property Managers (Primary); Real Estate (Primary); Real Estate (Primary); Real Estate Management and Development (Primary); Real Estate Management Services (Primary); Real Estate Operating Companies (Primary); Residential Property Managers (Primary); Catering Services; Consumer Discretionary; Consumer Services; Financials; Hotels; Hotels And Motels; Hotels, Resorts and Cruise Lines; Hotels, Restaurants and Leisure; Insurance; Insurance; Insurance Brokers; Lodging; Real Estate Agents And Brokers; Real Estate Services; Restaurants</t>
  </si>
  <si>
    <t>Dream International Limited (SEHK:1126)</t>
  </si>
  <si>
    <t>SEHK:1126</t>
  </si>
  <si>
    <t>The Stock Exchange of Hong Kong Ltd. (SEHK)</t>
  </si>
  <si>
    <t>Consumer Discretionary (Primary); Consumer Durables and Apparel (Primary); Dolls and Stuffed Toys (Primary); Hobbies, Toys and Games (Primary); Leisure Products (Primary); Leisure Products (Primary); Sporting and Recreational Goods (Primary); Chemicals; Commercial and Professional Services; Commercial Services and Supplies; Commodity Chemicals; Communications Equipment; Communications Equipment; Electronic Equipment and Instruments; Electronic Equipment, Instruments and Components; Fabrics; Industrials; Information Technology; Materials; Materials; Office Products; Office Services and Supplies; Plastic and Synthetic Resins; Plastic Products; Specialty Chemicals; Technology Hardware and Equipment; Textile Mill Products; Textiles; Textiles, Apparel and Luxury Goods</t>
  </si>
  <si>
    <t>BetterLife Holding Limited (SEHK:6909)</t>
  </si>
  <si>
    <t>SEHK:6909</t>
  </si>
  <si>
    <t>The Stock Exchange of Hong Kong Ltd. (SEHK)</t>
  </si>
  <si>
    <t>Automotive Retail (Primary); Consumer Discretionary (Primary); Motor Vehicle Dealers (New) (Primary); Motor Vehicle Retail (Primary); Retailing (Primary); Specialty Retail (Primary); Car Loans; Consumer Finance; Consumer Finance; Consumer Services; Diversified Consumer Services; Diversified Financials; Financials; Insurance; Insurance; Insurance Brokers; Motor Vehicle Repair and Services; Personal Credit Agencies; Personal Loan Services; Specialized Consumer Services</t>
  </si>
  <si>
    <t>Cheerwin Group Limited (SEHK:6601)</t>
  </si>
  <si>
    <t>SEHK:6601</t>
  </si>
  <si>
    <t>The Stock Exchange of Hong Kong Ltd. (SEHK)</t>
  </si>
  <si>
    <t>Air Fresheners (Primary); Animal Care Products (Primary); Cleaning Products (Primary); Consumer Staples (Primary); Household and Personal Products (Primary); Household Disinfectants (Primary); Household Products (Primary); Household Products (Primary); Soaps (Primary); Advertising; Beauty Care Products; Communication Services; Consumer Discretionary; Distributors; Distributors; Marketing Services; Media; Media and Entertainment; Motor Vehicles and Parts Distribution; Personal Products; Personal Products; Retailing; Skin Care Products</t>
  </si>
  <si>
    <t>Golden Resources Development International Limited (SEHK:677)</t>
  </si>
  <si>
    <t>SEHK:677</t>
  </si>
  <si>
    <t>The Stock Exchange of Hong Kong Ltd. (SEHK)</t>
  </si>
  <si>
    <t>Consumer Staples (Primary); Food and Staples Retailing (Primary); Food and Staples Retailing (Primary); Food Distributors (Primary); Air Freight and Logistics; Air Freight and Logistics; Asset Management and Custody Banks; Capital Markets; Commercial and Professional Services; Commercial Services and Supplies; Convenience Stores; Diversified Financial Services; Diversified Financials; Diversified Support Services; Financials; Food Retail; Grocery Stores; Industrials; Information Technology; Investment Services and Holding Companies; IT Consulting and Other Services; IT Services; Multi-Sector Holdings; Patent Owners and Lessors; Real Estate; Real Estate; Real Estate Development; Real Estate Management and Development; Real Estate Operating Companies; Real Estate Operators And Lessors; Software and Services; Specialized Finance; Transportation; Warehousing and Storage</t>
  </si>
  <si>
    <t>Jinke Smart Services Group Co., Ltd. (SEHK:9666)</t>
  </si>
  <si>
    <t>SEHK:9666</t>
  </si>
  <si>
    <t>The Stock Exchange of Hong Kong Ltd. (SEHK)</t>
  </si>
  <si>
    <t>Nonresidential Property Managers (Primary); Real Estate (Primary); Real Estate (Primary); Real Estate Management and Development (Primary); Real Estate Management Services (Primary); Real Estate Operating Companies (Primary); Residential Property Managers (Primary); Advertising; Building Care and Improvement Services; Capital Goods; Catering Services; Commercial and Professional Services; Commercial Services and Supplies; Communication Services; Construction and Engineering; Construction and Engineering; Construction Management Services; Construction Support Services; Consulting Services; Consumer Discretionary; Consumer Services; Diversified Support Services; Hotels; Hotels And Motels; Hotels, Resorts and Cruise Lines; Hotels, Restaurants and Leisure; Industrials; Lodging; Media; Media and Entertainment; Professional Services; Real Estate Agents And Brokers; Real Estate Services; Research and Consulting Services; Restaurants; Trading Companies and Distributors; Trading Companies and Distributors; Travel and Tourism Services</t>
  </si>
  <si>
    <t>Upbest Group Limited (SEHK:335)</t>
  </si>
  <si>
    <t>SEHK:335</t>
  </si>
  <si>
    <t>The Stock Exchange of Hong Kong Ltd. (SEHK)</t>
  </si>
  <si>
    <t>Consumer Discretionary (Primary); Distributors (Primary); Distributors (Primary); Retailing (Primary); Asset Management and Custody Banks; Capital Goods; Capital Markets; Commodity Contract Services; Consumer Finance; Consumer Finance; Diversified Financial Services; Diversified Financials; Financials; Industrials; Investment Advice; Investment Banking; Investment Banking and Brokerage; Other Diversified Financial Services; Personal Credit Agencies; Real Estate; Real Estate; Real Estate Management and Development; Real Estate Management Services; Real Estate Operating Companies; Real Estate Operators And Lessors; Securities and Commodities Markets Services; Security Brokers; Security Brokers and Dealers; Security Underwriting Services; Specialized Finance; Trading Companies and Distributors; Trading Companies and Distributors</t>
  </si>
  <si>
    <t>Archosaur Games Inc. (SEHK:9990)</t>
  </si>
  <si>
    <t>SEHK:9990</t>
  </si>
  <si>
    <t>The Stock Exchange of Hong Kong Ltd. (SEHK)</t>
  </si>
  <si>
    <t>AAG Energy Holdings Limited (SEHK:2686)</t>
  </si>
  <si>
    <t>SEHK:2686</t>
  </si>
  <si>
    <t>The Stock Exchange of Hong Kong Ltd. (SEHK)</t>
  </si>
  <si>
    <t>Energy (Primary); Energy (Primary); Oil and Gas Exploration and Production (Primary); Oil, Gas and Consumable Fuels (Primary)</t>
  </si>
  <si>
    <t>Cathay Media and Education Group Inc. (SEHK:1981)</t>
  </si>
  <si>
    <t>SEHK:1981</t>
  </si>
  <si>
    <t>The Stock Exchange of Hong Kong Ltd. (SEHK)</t>
  </si>
  <si>
    <t>N/A
Company: Cathay Media and Education Group Inc.
(IQT670723266) - The Stock Exchange of Hong Kong Ltd. (SEHK)</t>
  </si>
  <si>
    <t>Communication Services (Primary); Entertainment (Primary); Entertainment Production Companies (Primary); Media and Entertainment (Primary); Motion Picture and Video Production Companies (Primary); Movies and Entertainment (Primary); Television Production Companies (Primary); Consumer Discretionary; Consumer Services; Diversified Consumer Services; Education Services</t>
  </si>
  <si>
    <t>KWG Living Group Holdings Limited (SEHK:3913)</t>
  </si>
  <si>
    <t>SEHK:3913</t>
  </si>
  <si>
    <t>The Stock Exchange of Hong Kong Ltd. (SEHK)</t>
  </si>
  <si>
    <t>A8 New Media Group Limited (SEHK:800)</t>
  </si>
  <si>
    <t>SEHK:800</t>
  </si>
  <si>
    <t>The Stock Exchange of Hong Kong Ltd. (SEHK)</t>
  </si>
  <si>
    <t>Real Estate (Primary); Real Estate (Primary); Real Estate Management and Development (Primary); Real Estate Operating Companies (Primary); Real Estate Operators And Lessors (Primary); Application Software; Communication Services; Diversified Financial Services; Diversified Financials; Entertainment; Entertainment Production Companies; Entertainment Services; Entertainment Software; Financials; Information Technology; Information Technology (IT) Consulting; Interactive Home Entertainment; Investment Services and Holding Companies; IT Consulting and Other Services; IT Services; Media and Entertainment; Motion Picture and Video Production Companies; Movies and Entertainment; Multi-Sector Holdings; Music Services; Patent Owners and Lessors; Software; Software and Services; Television Production Companies</t>
  </si>
  <si>
    <t>Termbray Industries International (Holdings) Limited (SEHK:93)</t>
  </si>
  <si>
    <t>SEHK:93</t>
  </si>
  <si>
    <t>The Stock Exchange of Hong Kong Ltd. (SEHK)</t>
  </si>
  <si>
    <t>Real Estate (Primary); Real Estate (Primary); Real Estate Development (Primary); Real Estate Management and Development (Primary); Consumer Finance; Consumer Finance; Diversified Financials; Financials; Nonresidential Building Operators and Lessors; Real Estate Operating Companies; Real Estate Operators And Lessors; Residential Building Operators and Lessors</t>
  </si>
  <si>
    <t>Honbridge Holdings Limited (SEHK:8137)</t>
  </si>
  <si>
    <t>SEHK:8137</t>
  </si>
  <si>
    <t>The Stock Exchange of Hong Kong Ltd. (SEHK)</t>
  </si>
  <si>
    <t>Batteries (Primary); Capital Goods (Primary); Electrical Components and Equipment (Primary); Electrical Equipment (Primary); Industrials (Primary); Diversified Metals and Mining; Iron Ores; Materials; Materials; Metals and Mining; Steel; Trading Companies and Distributors; Trading Companies and Distributors</t>
  </si>
  <si>
    <t>Greatview Aseptic Packaging Company Limited (SEHK:468)</t>
  </si>
  <si>
    <t>SEHK:468</t>
  </si>
  <si>
    <t>The Stock Exchange of Hong Kong Ltd. (SEHK)</t>
  </si>
  <si>
    <t>Containers and Packaging (Primary); Materials (Primary); Materials (Primary); Paper Packaging (Primary); Application Software; Capital Goods; Commercial and Professional Services; Commercial Services and Supplies; Diversified Support Services; Industrial Machinery; Industrials; Information Technology; Machinery; Machinery Components; Metal and Glass Containers; Packaging Machinery and Equipment; Plastic Packaging; Plastic Packaging Film And Sheet; Software; Software and Services</t>
  </si>
  <si>
    <t>Neo-Neon Holdings Limited (SEHK:1868)</t>
  </si>
  <si>
    <t>SEHK:1868</t>
  </si>
  <si>
    <t>The Stock Exchange of Hong Kong Ltd. (SEHK)</t>
  </si>
  <si>
    <t>Capital Goods (Primary); Electric Lighting and Wiring Equipment (Primary); Electrical Components and Equipment (Primary); Electrical Equipment (Primary); Industrials (Primary); Diversified Financial Services; Diversified Financials; Electrical Equipment Distribution; Financials; Specialized Finance; Trading Companies and Distributors; Trading Companies and Distributors</t>
  </si>
  <si>
    <t>Hong Kong Economic Times Holdings Limited (SEHK:423)</t>
  </si>
  <si>
    <t>SEHK:423</t>
  </si>
  <si>
    <t>The Stock Exchange of Hong Kong Ltd. (SEHK)</t>
  </si>
  <si>
    <t>Book Publishing (Primary); Communication Services (Primary); Magazine Publishing (Primary); Media (Primary); Media and Entertainment (Primary); Newspaper and Magazine Publishing (Primary); Newspaper Publishing (Primary); Periodical Publishing (Primary); Printed Media Publishing (Primary); Published Electronic Materials (Primary); Publishing (Primary); Advertising; Capital Markets; Commercial and Professional Services; Commercial Printing; Commercial Services and Supplies; Diversified Financials; Financials; Human Resource and Employment Services; Industrials; Interactive Media and Services; Interactive Media and Services; Investment Banking and Brokerage; Online Services; Printing Services; Professional and Management Development Training; Professional Services; Real Estate; Real Estate; Real Estate Management and Development; Real Estate Operating Companies; Securities and Commodities Markets Services; Security Brokers and Dealers</t>
  </si>
  <si>
    <t>Duiba Group Limited (SEHK:1753)</t>
  </si>
  <si>
    <t>SEHK:1753</t>
  </si>
  <si>
    <t>The Stock Exchange of Hong Kong Ltd. (SEHK)</t>
  </si>
  <si>
    <t>Communication Services (Primary); Interactive Media and Services (Primary); Interactive Media and Services (Primary); Media and Entertainment (Primary); Advertising; Application Hosting Services; Application Service Providers (ASPs); Application Software; Information Technology; Media; Software; Software and Services</t>
  </si>
  <si>
    <t>The Cross-Harbour (Holdings) Limited (SEHK:32)</t>
  </si>
  <si>
    <t>SEHK:32</t>
  </si>
  <si>
    <t>The Stock Exchange of Hong Kong Ltd. (SEHK)</t>
  </si>
  <si>
    <t>Automobile Driving Instruction (Primary); Consumer Discretionary (Primary); Consumer Services (Primary); Diversified Consumer Services (Primary); Education Services (Primary); Specialty Educational Services (Primary); Asset Management and Custody Banks; Capital Markets; Commercial and Professional Services; Consulting Services; Diversified Financial Services; Diversified Financials; Electronic Equipment and Instruments; Electronic Equipment, Instruments and Components; Financials; Industrials; Information Technology; IT Consulting and Other Services; IT Services; Professional Services; Real Estate; Real Estate; Real Estate Management and Development; Real Estate Operating Companies; Real Estate Operators And Lessors; Research and Consulting Services; Security, Control, Surveillance and Detection Equipment; Software and Services; Specialized Finance; Technology Hardware and Equipment</t>
  </si>
  <si>
    <t>Strawbear Entertainment Group (SEHK:2125)</t>
  </si>
  <si>
    <t>SEHK:2125</t>
  </si>
  <si>
    <t>The Stock Exchange of Hong Kong Ltd. (SEHK)</t>
  </si>
  <si>
    <t>Communication Services (Primary); Entertainment (Primary); Entertainment Production Companies (Primary); Entertainment Services (Primary); Media and Entertainment (Primary); Motion Picture Distribution And Allied Services (Primary); Movies and Entertainment (Primary); Television Production Companies (Primary); Diversified Financial Services; Diversified Financials; Financials; Investment Services and Holding Companies; Multi-Sector Holdings; Patent Owners and Lessors</t>
  </si>
  <si>
    <t>Lonking Holdings Limited (SEHK:3339)</t>
  </si>
  <si>
    <t>SEHK:3339</t>
  </si>
  <si>
    <t>The Stock Exchange of Hong Kong Ltd. (SEHK)</t>
  </si>
  <si>
    <t>Capital Goods (Primary); Construction Machinery and Equipment (Primary); Construction Machinery and Heavy Trucks (Primary); Industrials (Primary); Machinery (Primary); Business Credit Agencies; Construction Machinery Distribution; Credit Agencies; Diversified Financial Services; Diversified Financials; Finance Leasing; Financials; Forklifts; Industrial Machinery; Lifting Equipment; Machinery Components; Machinery Distribution; Material Handling Machinery and Equipment; Specialized Finance; Trading Companies and Distributors; Trading Companies and Distributors</t>
  </si>
  <si>
    <t>Kingmaker Footwear Holdings Limited (SEHK:1170)</t>
  </si>
  <si>
    <t>SEHK:1170</t>
  </si>
  <si>
    <t>The Stock Exchange of Hong Kong Ltd. (SEHK)</t>
  </si>
  <si>
    <t>Athletic Footwear (Primary); Consumer Discretionary (Primary); Consumer Durables and Apparel (Primary); Footwear (Primary); Men's and Boys' Footwear (Primary); Textiles, Apparel and Luxury Goods (Primary); Women's and Girls' Footwear (Primary); Commercial and Professional Services; Commercial Services and Supplies; General Management Services; Industrials; Office Services and Supplies; Real Estate; Real Estate; Real Estate Management and Development; Real Estate Operating Companies</t>
  </si>
  <si>
    <t>Sino Hotels (Holdings) Limited (SEHK:1221)</t>
  </si>
  <si>
    <t>SEHK:1221</t>
  </si>
  <si>
    <t>The Stock Exchange of Hong Kong Ltd. (SEHK)</t>
  </si>
  <si>
    <t>Consumer Discretionary (Primary); Consumer Services (Primary); Hotels (Primary); Hotels And Motels (Primary); Hotels, Resorts and Cruise Lines (Primary); Hotels, Restaurants and Leisure (Primary); Lodging (Primary); Amusement And Recreation Services; Asset Management and Custody Banks; Beverage and Tobacco Bars; Cafeterias; Capital Markets; Diversified Financial Services; Diversified Financials; Financials; Leisure Facilities; Pubs, Bars and Taverns; Recreation Clubs; Restaurants; Specialized Finance</t>
  </si>
  <si>
    <t>Hutchison Telecommunications Hong Kong Holdings Limited (SEHK:215)</t>
  </si>
  <si>
    <t>SEHK:215</t>
  </si>
  <si>
    <t>The Stock Exchange of Hong Kong Ltd. (SEHK)</t>
  </si>
  <si>
    <t>Cellular Services (Primary); Communication Services (Primary); Mobile Data Services (Primary); Telecommunication Services (Primary); Wireless Telecommunication Services (Primary); Wireless Telecommunication Services (Primary); Advertising; Diversified Telecommunication Services; Information Technology; Information Technology (IT) Consulting; Integrated Telecommunication Services; IT Consulting and Other Services; IT Services; Media; Media and Entertainment; Software and Services</t>
  </si>
  <si>
    <t>Renrui Human Resources Technology Holdings Limited (SEHK:6919)</t>
  </si>
  <si>
    <t>SEHK:6919</t>
  </si>
  <si>
    <t>The Stock Exchange of Hong Kong Ltd. (SEHK)</t>
  </si>
  <si>
    <t>Commercial and Professional Services (Primary); Executive Placing Services (Primary); Human Resource and Employment Services (Primary); Human Resources and Personnel Management (Primary); Industrials (Primary); Professional and Management Development Training (Primary); Professional Services (Primary); Temporary Help Supply (Primary)</t>
  </si>
  <si>
    <t>BAIOO Family Interactive Limited (SEHK:2100)</t>
  </si>
  <si>
    <t>SEHK:2100</t>
  </si>
  <si>
    <t>The Stock Exchange of Hong Kong Ltd. (SEHK)</t>
  </si>
  <si>
    <t>Communication Services (Primary); Entertainment (Primary); Interactive Home Entertainment (Primary); Media and Entertainment (Primary); Application Software; Casinos and Gaming; Consumer Discretionary; Consumer Services; Entertainment Services; Gaming Operations; Hotels, Restaurants and Leisure; Information Technology; Information Technology (IT) Consulting; Interactive Media and Services; Interactive Media and Services; IT Consulting and Other Services; IT Services; Movies and Entertainment; Online Gaming Operations; Online Services; Software; Software and Services</t>
  </si>
  <si>
    <t>Lion Rock Group Limited (SEHK:1127)</t>
  </si>
  <si>
    <t>SEHK:1127</t>
  </si>
  <si>
    <t>The Stock Exchange of Hong Kong Ltd. (SEHK)</t>
  </si>
  <si>
    <t>Book Printing (Primary); Commercial and Professional Services (Primary); Commercial Printing (Primary); Commercial Services and Supplies (Primary); Industrials (Primary); Printing Services (Primary); Publication Printing (Primary); Book Publishing; Commercial Design Services; Communication Services; Consumer Discretionary; Distributors; Distributors; Diversified Support Services; Graphic Design; Media; Media and Entertainment; Media Distribution; Printed Media Distribution; Printed Media Publishing; Publishing; Retailing</t>
  </si>
  <si>
    <t>CNT Group Limited (SEHK:701)</t>
  </si>
  <si>
    <t>SEHK:701</t>
  </si>
  <si>
    <t>The Stock Exchange of Hong Kong Ltd. (SEHK)</t>
  </si>
  <si>
    <t>Chemicals (Primary); Materials (Primary); Materials (Primary); Paints, Varnishes, and Lacquers (Primary); Specialty Chemicals (Primary); Asset Management and Custody Banks; Capital Goods; Capital Markets; Commercial and Professional Services; Commercial Services and Supplies; Consulting Services; Consumer Discretionary; Consumer Services; Diversified Financials; Financials; General Management Services; Hotels; Hotels And Motels; Hotels, Resorts and Cruise Lines; Hotels, Restaurants and Leisure; Industrial Property Operators and Lessors; Industrials; Investment Banking and Brokerage; Lodging; Nonresidential Building Operators and Lessors; Office Services and Supplies; Professional Services; Real Estate; Real Estate; Real Estate Development; Real Estate Management and Development; Real Estate Operating Companies; Real Estate Operators And Lessors; Research and Consulting Services; Residential Building Operators and Lessors; Securities and Commodities Markets Services; Security Brokers and Dealers; Trading Companies and Distributors; Trading Companies and Distributors</t>
  </si>
  <si>
    <t>Inkeverse Group Limited (SEHK:3700)</t>
  </si>
  <si>
    <t>SEHK:3700</t>
  </si>
  <si>
    <t>The Stock Exchange of Hong Kong Ltd. (SEHK)</t>
  </si>
  <si>
    <t>Communication Services (Primary); Interactive Media and Services (Primary); Interactive Media and Services (Primary); Media and Entertainment (Primary); Online Services (Primary); Social Media and Networking Platforms (Primary); Commercial and Professional Services; Commercial Services and Supplies; Consulting Services; Diversified Support Services; Entertainment; Entertainment Services; Entertainment Venues; Industrials; Movies and Entertainment; Multimedia Streaming Services; Online Entertainment; Professional Services; Research and Consulting Services; Talent Management and Talent Service Agencies</t>
  </si>
  <si>
    <t>Pan Asia Environmental Protection Group Limited (SEHK:556)</t>
  </si>
  <si>
    <t>SEHK:556</t>
  </si>
  <si>
    <t>The Stock Exchange of Hong Kong Ltd. (SEHK)</t>
  </si>
  <si>
    <t>Commercial and Professional Services (Primary); Commercial Services and Supplies (Primary); Environmental and Facilities Services (Primary); Industrials (Primary); Capital Goods; Construction and Engineering; Construction and Engineering; Construction Support Services; Engineering and Surveying Services; Engineering Services; Machinery Distribution; Trading Companies and Distributors; Trading Companies and Distributors</t>
  </si>
  <si>
    <t>Glorious Sun Enterprises Limited (SEHK:393)</t>
  </si>
  <si>
    <t>SEHK:393</t>
  </si>
  <si>
    <t>The Stock Exchange of Hong Kong Ltd. (SEHK)</t>
  </si>
  <si>
    <t>Apparel Retail (Primary); Consumer Discretionary (Primary); Retailing (Primary); Specialty Retail (Primary); Air Freight and Logistics; Air Freight and Logistics; Apparel; Apparel and Textile Distribution; Apparel, Accessories and Luxury Goods; Asset Management and Custody Banks; Capital Markets; Commercial and Professional Services; Commercial Design Services; Commercial Interior Design ; Commercial Services and Supplies; Consulting Services; Consumer Durables and Apparel; Consumer Services; Distributors; Distributors; Diversified Consumer Services; Diversified Financial Services; Diversified Financials; Diversified Support Services; Durable Goods Distribution; Financials; Household Durables Distribution; Industrials; Information Technology; Information Technology (IT) Consulting; Internet Services and Infrastructure; Investment Services and Holding Companies; IT Consulting and Other Services; IT Services; Maintenance Repair (Break-Fix/Warranty); Multi-Sector Holdings; Patent Owners and Lessors; Professional Services; Real Estate; Real Estate; Real Estate Development; Real Estate Management and Development; Real Estate Management Services; Real Estate Operating Companies; Research and Consulting Services; Residential Design Services ; Residential Interior Services ; Software and Services; Specialized Consumer Services; Textiles, Apparel and Luxury Goods; Transportation; Warehousing and Storage</t>
  </si>
  <si>
    <t>China BlueChemical Ltd. (SEHK:3983)</t>
  </si>
  <si>
    <t>SEHK:3983</t>
  </si>
  <si>
    <t>The Stock Exchange of Hong Kong Ltd. (SEHK)</t>
  </si>
  <si>
    <t>Chemicals (Primary); Fertilizers and Agricultural Chemicals (Primary); Materials (Primary); Materials (Primary); Nitrogenous Fertilizers (Primary); Phosphatic Fertilizers (Primary); Air Freight and Logistics; Air Freight and Logistics; Capital Goods; Chemical And Fertilizer Mineral Mining; Chemical Distribution; Commodity Chemicals; Containers and Packaging; Diversified Metals and Mining; Industrial Gases; Industrial Organic Chemicals; Industrials; Marine Ports and Services; Metal and Glass Containers; Metals and Mining; Phosphate Rock; Plastic Bags; Plastic Packaging; Trading Companies and Distributors; Trading Companies and Distributors; Transportation; Transportation Infrastructure</t>
  </si>
  <si>
    <t>Associated International Hotels Limited (SEHK:105)</t>
  </si>
  <si>
    <t>SEHK:105</t>
  </si>
  <si>
    <t>The Stock Exchange of Hong Kong Ltd. (SEHK)</t>
  </si>
  <si>
    <t>Industrial Property Operators and Lessors (Primary); Nonresidential Building Operators and Lessors (Primary); Real Estate (Primary); Real Estate (Primary); Real Estate Management and Development (Primary); Real Estate Operating Companies (Primary); Real Estate Operators And Lessors (Primary); Residential Building Operators and Lessors (Primary); Shopping Mall Operators and Lessors (Primary)</t>
  </si>
  <si>
    <t>Phoenix Media Investment (Holdings) Limited (SEHK:2008)</t>
  </si>
  <si>
    <t>SEHK:2008</t>
  </si>
  <si>
    <t>The Stock Exchange of Hong Kong Ltd. (SEHK)</t>
  </si>
  <si>
    <t>Broadcasting (Primary); Communication Services (Primary); Media (Primary); Media and Entertainment (Primary); Radio (Primary); Radio Broadcasting Stations (Primary); Television (Primary); Television Networks (Primary); Advertising; Aerospace and Defense; Aerospace and Defense; Application Software; Capital Goods; Commercial and Professional Services; Consumer Discretionary; Consumer Services; Diversified Consumer Services; Diversified Telecommunication Services; Education Services; Entertainment; Entertainment Production Companies; Entertainment Software; Industrials; Information Technology; Integrated Telecommunication Services; Interactive Home Entertainment; Interactive Media and Services; Interactive Media and Services; IT Consulting and Other Services; IT Services; Magazine Publishing; Movies and Entertainment; Newspaper and Magazine Publishing; Online Services; Passenger and Cargo Aircraft and Airplanes; Passenger and Cargo Aircraft Rental and Leasing; Periodical Publishing; Printed Media Publishing; Professional Services; Publishing; Real Estate; Real Estate; Real Estate Development; Real Estate Management and Development; Real Estate Operating Companies; Real Estate Operators And Lessors; Research and Consulting Services; Research, Development, and Testing Services; Software; Software and Services; Telecommunication Services; Television Production Companies</t>
  </si>
  <si>
    <t>China Motor Bus Company, Limited (SEHK:26)</t>
  </si>
  <si>
    <t>SEHK:26</t>
  </si>
  <si>
    <t>The Stock Exchange of Hong Kong Ltd. (SEHK)</t>
  </si>
  <si>
    <t>Diversified Real Estate Activities (Primary); Real Estate (Primary); Real Estate (Primary); Real Estate Management and Development (Primary); Apartment Building Operators and Lessors; Nonresidential Building Operators and Lessors; Office Building Operators and Lessors; Real Estate Development; Real Estate Operating Companies; Real Estate Operators And Lessors; Residential Building Operators and Lessors</t>
  </si>
  <si>
    <t>KuangChi Science Limited (SEHK:439)</t>
  </si>
  <si>
    <t>SEHK:439</t>
  </si>
  <si>
    <t>The Stock Exchange of Hong Kong Ltd. (SEHK)</t>
  </si>
  <si>
    <t>Aerospace and Defense (Primary); Aerospace and Defense (Primary); Capital Goods (Primary); Industrials (Primary); Application Software; Commercial and Professional Services; Commercial Services and Supplies; General Management Services; Information Technology; Office Services and Supplies; Real Estate; Real Estate; Real Estate Management and Development; Real Estate Operating Companies; Software; Software and Services</t>
  </si>
  <si>
    <t>Miramar Hotel and Investment Company, Limited (SEHK:71)</t>
  </si>
  <si>
    <t>SEHK:71</t>
  </si>
  <si>
    <t>The Stock Exchange of Hong Kong Ltd. (SEHK)</t>
  </si>
  <si>
    <t>Consumer Discretionary (Primary); Consumer Services (Primary); Hotels (Primary); Hotels And Motels (Primary); Hotels, Resorts and Cruise Lines (Primary); Hotels, Restaurants and Leisure (Primary); Lodging (Primary); Travel Agencies (Primary); Travel and Tourism Services (Primary); Diversified Financial Services; Diversified Financials; Financials; Nonresidential Building Operators and Lessors; Office Building Operators and Lessors; Real Estate; Real Estate; Real Estate Management and Development; Real Estate Management Services; Real Estate Operating Companies; Real Estate Operators And Lessors; Restaurants; Shopping Mall Operators and Lessors; Specialized Finance</t>
  </si>
  <si>
    <t>Get Nice Financial Group Limited (SEHK:1469)</t>
  </si>
  <si>
    <t>SEHK:1469</t>
  </si>
  <si>
    <t>The Stock Exchange of Hong Kong Ltd. (SEHK)</t>
  </si>
  <si>
    <t>Capital Markets (Primary); Diversified Financials (Primary); Financials (Primary); Investment Banking (Primary); Investment Banking and Brokerage (Primary); Securities and Commodities Markets Services (Primary); Security Brokers and Dealers (Primary); Security Underwriting Services (Primary); Asset Management and Custody Banks; Real Estate; Real Estate; Real Estate Management and Development; Real Estate Operating Companies; Real Estate Operators And Lessors</t>
  </si>
  <si>
    <t>Wah Ha Realty Company Limited (SEHK:278)</t>
  </si>
  <si>
    <t>SEHK:278</t>
  </si>
  <si>
    <t>The Stock Exchange of Hong Kong Ltd. (SEHK)</t>
  </si>
  <si>
    <t>Diversified Real Estate Activities (Primary); Real Estate (Primary); Real Estate (Primary); Real Estate Management and Development (Primary); Capital Goods; Commercial Construction and Engineering; Commercial Construction, General Contractors and Operative Builders; Construction and Engineering; Construction and Engineering; Industrials; Nonresidential Building Operators and Lessors; Real Estate Development; Real Estate Management Services; Real Estate Operating Companies; Real Estate Operators And Lessors; Residential Building Operators and Lessors</t>
  </si>
  <si>
    <t>China Xinhua Education Group Limited (SEHK:2779)</t>
  </si>
  <si>
    <t>SEHK:2779</t>
  </si>
  <si>
    <t>The Stock Exchange of Hong Kong Ltd. (SEHK)</t>
  </si>
  <si>
    <t>Colleges, Universities, and Professional Schools (Primary); Colleges, Universities, Professional Schools, and Junior Colleges (Primary); Consumer Discretionary (Primary); Consumer Services (Primary); Diversified Consumer Services (Primary); Education Services (Primary); Junior Colleges and Technical Institutes (Primary); Schools (Primary); Vocational Schools (Primary); Commercial and Professional Services; Consulting Services; Industrials; Information Technology; IT Consulting and Other Services; IT Services; Management Consulting Services; Professional Services; Research and Consulting Services; Software and Services</t>
  </si>
  <si>
    <t>COSCO SHIPPING International (Hong Kong) Co., Ltd. (SEHK:517)</t>
  </si>
  <si>
    <t>SEHK:517</t>
  </si>
  <si>
    <t>The Stock Exchange of Hong Kong Ltd. (SEHK)</t>
  </si>
  <si>
    <t>Industrials (Primary); Marine Ports and Services (Primary); Transportation (Primary); Transportation Infrastructure (Primary); Capital Goods; Chemicals; Commercial and Professional Services; Communications Equipment Distribution; Consulting Services; Electronic Equipment, Instruments and Components; Energy; Energy; Financials; Industrial Coatings; Information Technology; Insurance; Insurance; Insurance Brokers; Materials; Materials; Oil and Gas Refining and Marketing; Oil and Gas Refining and Marketing; Oil, Gas and Consumable Fuels; Professional Services; Research and Consulting Services; Specialty Chemicals; Technology Distributors; Technology Hardware and Equipment; Trading Companies and Distributors; Trading Companies and Distributors; Transportation Equipment and Supplies Distribution</t>
  </si>
  <si>
    <t>Hong Kong Ferry (Holdings) Company Limited (SEHK:50)</t>
  </si>
  <si>
    <t>SEHK:50</t>
  </si>
  <si>
    <t>The Stock Exchange of Hong Kong Ltd. (SEHK)</t>
  </si>
  <si>
    <t>Diversified Real Estate Activities (Primary); Real Estate (Primary); Real Estate (Primary); Real Estate Management and Development (Primary); Asset Management and Custody Banks; Capital Goods; Capital Markets; Construction Machinery and Heavy Trucks; Consumer Discretionary; Consumer Services; Distributors; Distributors; Diversified Consumer Services; Diversified Financial Services; Diversified Financials; Financials; Hotels, Restaurants and Leisure; Industrials; Machinery; Marine; Marine; Marine Transportation Equipment; Marine Transportation Of Freight; Motor Vehicle Parking; Motor Vehicle Repair and Services; Motor Vehicle Services; Real Estate Development; Real Estate Management Services; Real Estate Operating Companies; Real Estate Operators And Lessors; Restaurants; Retailing; Ship and Boat Repairing; Specialized Consumer Services; Specialized Finance; Trading Companies and Distributors; Trading Companies and Distributors; Transportation</t>
  </si>
  <si>
    <t>Sinopec Kantons Holdings Limited (SEHK:934)</t>
  </si>
  <si>
    <t>SEHK:934</t>
  </si>
  <si>
    <t>The Stock Exchange of Hong Kong Ltd. (SEHK)</t>
  </si>
  <si>
    <t>Energy (Primary); Energy (Primary); Oil and Gas Storage and Transportation (Primary); Oil, Gas and Consumable Fuels (Primary); Air Freight and Logistics; Air Freight and Logistics; Gas Utilities; Gas Utilities; Industrials; Natural Gas Transmission; Oil and Gas Distribution; Oil and Gas Refining and Marketing; Oil and Gas Refining and Marketing; Transportation; Utilities; Utilities</t>
  </si>
  <si>
    <t>Tai Cheung Holdings Limited (SEHK:88)</t>
  </si>
  <si>
    <t>SEHK:88</t>
  </si>
  <si>
    <t>The Stock Exchange of Hong Kong Ltd. (SEHK)</t>
  </si>
  <si>
    <t>Diversified Real Estate Activities (Primary); Real Estate (Primary); Real Estate (Primary); Real Estate Management and Development (Primary); Capital Goods; Commercial and Professional Services; Construction and Engineering; Construction and Engineering; Human Resource and Employment Services; Industrials; Land Sub Dividers And Developers; Land Sub Dividers and Developers, except Cemetery; Nonresidential Building Operators and Lessors; Professional Services; Real Estate Development; Real Estate Management Services; Real Estate Operating Companies; Real Estate Operators And Lessors; Residential Building Operators and Lessors; Secretarial Services</t>
  </si>
  <si>
    <t>Melbourne Enterprises Limited (SEHK:158)</t>
  </si>
  <si>
    <t>SEHK:158</t>
  </si>
  <si>
    <t>The Stock Exchange of Hong Kong Ltd. (SEHK)</t>
  </si>
  <si>
    <t>Nonresidential Building Operators and Lessors (Primary); Real Estate (Primary); Real Estate (Primary); Real Estate Management and Development (Primary); Real Estate Operating Companies (Primary); Real Estate Operators And Lessors (Primary)</t>
  </si>
  <si>
    <t>IPE Group Limited (SEHK:929)</t>
  </si>
  <si>
    <t>SEHK:929</t>
  </si>
  <si>
    <t>The Stock Exchange of Hong Kong Ltd. (SEHK)</t>
  </si>
  <si>
    <t>Capital Goods (Primary); Industrial Machinery (Primary); Industrials (Primary); Machinery (Primary); Machinery Components (Primary); Auto Components; Auto Parts and Equipment; Automobiles and Components; Commercial and Professional Services; Commercial Services and Supplies; Consumer Discretionary; Diversified Metals and Mining; Diversified Support Services; Electronic Components; Electronic Components; Electronic Equipment, Instruments and Components; Fabricated Structural Metal Products; Information Technology; Materials; Materials; Metals and Mining; Technology Hardware and Equipment; Trading Companies and Distributors; Trading Companies and Distributors</t>
  </si>
  <si>
    <t>Capital Industrial Financial Services Group Limited (SEHK:730)</t>
  </si>
  <si>
    <t>SEHK:730</t>
  </si>
  <si>
    <t>The Stock Exchange of Hong Kong Ltd. (SEHK)</t>
  </si>
  <si>
    <t>Consumer Finance (Primary); Consumer Finance (Primary); Diversified Financials (Primary); Financials (Primary); Asset Management and Custody Banks; Business Credit Agencies; Capital Markets; Commercial and Professional Services; Commercial Services and Supplies; Credit Agencies; Diversified Financial Services; Finance Leasing; General Management Services; Industrials; Nonresidential Building Operators and Lessors; Office Services and Supplies; Real Estate; Real Estate; Real Estate Management and Development; Real Estate Management Services; Real Estate Operating Companies; Real Estate Operators And Lessors; Real Estate Services; Residential Building Operators and Lessors; Specialized Finance</t>
  </si>
  <si>
    <t>Chen Hsong Holdings Limited (SEHK:57)</t>
  </si>
  <si>
    <t>SEHK:57</t>
  </si>
  <si>
    <t>The Stock Exchange of Hong Kong Ltd. (SEHK)</t>
  </si>
  <si>
    <t>Capital Goods (Primary); Chemical Processing Machinery and Equipment (Primary); Fluid Power Pumps and Motors (Primary); Industrial Machinery (Primary); Industrials (Primary); Injection Molding Machinery and Equipment (Primary); Machinery (Primary); Machinery Components (Primary); Pumps and Pumping Equipment (Primary); Rubber and Plastics Processing Machinery (Primary); Diversified Metal Foundries And Castings; Diversified Metals and Mining; Materials; Materials; Metals and Mining; Real Estate; Real Estate; Real Estate Management and Development; Real Estate Operating Companies; Real Estate Operators And Lessors; Rolling, Drawing, And Extruding Of Diversified Metals</t>
  </si>
  <si>
    <t>Tian Teck Land Limited (SEHK:266)</t>
  </si>
  <si>
    <t>SEHK:266</t>
  </si>
  <si>
    <t>The Stock Exchange of Hong Kong Ltd. (SEHK)</t>
  </si>
  <si>
    <t>China Rare Earth Holdings Limited (SEHK:769)</t>
  </si>
  <si>
    <t>SEHK:769</t>
  </si>
  <si>
    <t>The Stock Exchange of Hong Kong Ltd. (SEHK)</t>
  </si>
  <si>
    <t>Diversified Metals and Mining (Primary); Materials (Primary); Materials (Primary); Metals and Mining (Primary); Capital Goods; Clay Refractories; Clays; Construction Materials; Construction Materials; Industrials; Structural Clay Products; Trading Companies and Distributors; Trading Companies and Distributors</t>
  </si>
  <si>
    <t>Shenguan Holdings (Group) Limited (SEHK:829)</t>
  </si>
  <si>
    <t>SEHK:829</t>
  </si>
  <si>
    <t>The Stock Exchange of Hong Kong Ltd. (SEHK)</t>
  </si>
  <si>
    <t>Consumer Staples (Primary); Food Products (Primary); Food, Beverage and Tobacco (Primary); Meat Products (Primary); Meats, Meat Processing And Meat Related Products (Primary); Packaged Foods and Meats (Primary); Sausage and Hot Dogs (Primary); Beauty Care Products; Chemicals; Health Care; Household and Personal Products; Materials; Materials; Medicinal Chemicals and Botanical Products; Personal Products; Personal Products; Pharmaceutical Products; Pharmaceuticals; Pharmaceuticals; Pharmaceuticals, Biotechnology and Life Sciences; Skin Care Products; Specialty Chemicals</t>
  </si>
  <si>
    <t>Tianjin Jinran Public Utilities Company Limited (SEHK:1265)</t>
  </si>
  <si>
    <t>SEHK:1265</t>
  </si>
  <si>
    <t>The Stock Exchange of Hong Kong Ltd. (SEHK)</t>
  </si>
  <si>
    <t>Gas Utilities (Primary); Gas Utilities (Primary); Oil and Gas Distribution (Primary); Utilities (Primary); Utilities (Primary); Consumer Discretionary; Distributors; Distributors; Diversified Metals and Mining; Durable Goods Distribution; Energy; Energy; Household Durables Distribution; Materials; Materials; Metals and Mining; Natural Gas Pipelines; Nonresidential Building Operators and Lessors; Oil and Gas Storage and Transportation; Oil, Gas and Consumable Fuels; Real Estate; Real Estate; Real Estate Management and Development; Real Estate Operating Companies; Real Estate Operators And Lessors; Retailing</t>
  </si>
  <si>
    <t>Fountain Set (Holdings) Limited (SEHK:420)</t>
  </si>
  <si>
    <t>SEHK:420</t>
  </si>
  <si>
    <t>The Stock Exchange of Hong Kong Ltd. (SEHK)</t>
  </si>
  <si>
    <t>Consumer Discretionary (Primary); Consumer Durables and Apparel (Primary); Fabrics (Primary); Textile Mill Products (Primary); Textiles (Primary); Textiles, Apparel and Luxury Goods (Primary); Yarns (Primary); Apparel; Apparel and Textile Distribution; Apparel, Accessories and Luxury Goods; Capital Goods; Chemical Distribution; Distributors; Distributors; Durable Goods Distribution; Industrials; Retailing; Trading Companies and Distributors; Trading Companies and Distributors; Utilities; Utilities; Water Utilities; Water Utilities</t>
  </si>
  <si>
    <t>Singamas Container Holdings Limited (SEHK:716)</t>
  </si>
  <si>
    <t>SEHK:716</t>
  </si>
  <si>
    <t>The Stock Exchange of Hong Kong Ltd. (SEHK)</t>
  </si>
  <si>
    <t>Capital Goods (Primary); Industrial Machinery (Primary); Industrials (Primary); Machinery (Primary); Commercial and Professional Services; Commercial Repair Services; Commercial Services and Supplies; Diversified Metals and Mining; Diversified Support Services; Fabricated Structural Metal Products; General Management Services; Heavy Gauge Tanks; Human Resource and Employment Services; Human Resources and Personnel Management; Marine Ports and Services; Materials; Materials; Metals and Mining; Office Services and Supplies; Professional Services; Real Estate; Real Estate; Real Estate Management and Development; Real Estate Operating Companies; Real Estate Operators And Lessors; Road and Rail; Transportation; Transportation Infrastructure; Trucking; Warehousing and Storage</t>
  </si>
  <si>
    <t>China Starch Holdings Limited (SEHK:3838)</t>
  </si>
  <si>
    <t>SEHK:3838</t>
  </si>
  <si>
    <t>The Stock Exchange of Hong Kong Ltd. (SEHK)</t>
  </si>
  <si>
    <t>Consumer Staples (Primary); Food Products (Primary); Food, Beverage and Tobacco (Primary); Grain Mill Products (Primary); Packaged Foods and Meats (Primary); Sweeteners (Primary); Biochemical Polymers; Chemicals; Commodity Chemicals; Materials; Materials; Polymers</t>
  </si>
  <si>
    <t>APT Satellite Holdings Limited (SEHK:1045)</t>
  </si>
  <si>
    <t>SEHK:1045</t>
  </si>
  <si>
    <t>The Stock Exchange of Hong Kong Ltd. (SEHK)</t>
  </si>
  <si>
    <t>Alternative Carriers (Primary); Broadband Telecommunications Services (Primary); Communication Services (Primary); Digital Telecommunications Services (Primary); Diversified Telecommunication Services (Primary); Satellite Communication Services (Primary); Telecommunication Services (Primary); Cable and Satellite; Co-location/Data Centers; Commercial and Professional Services; Consulting Services; Industrials; Information Technology; Internet Services and Infrastructure; IT Services; Management Consulting Services; Media; Media and Entertainment; Professional Services; Real Estate; Real Estate; Real Estate Management and Development; Real Estate Operating Companies; Real Estate Operators And Lessors; Research and Consulting Services; Software and Services</t>
  </si>
  <si>
    <t>New Silkroad Culturaltainment Limited (SEHK:472)</t>
  </si>
  <si>
    <t>SEHK:472</t>
  </si>
  <si>
    <t>The Stock Exchange of Hong Kong Ltd. (SEHK)</t>
  </si>
  <si>
    <t>Beverages (Primary); Consumer Staples (Primary); Distillers and Vintners (Primary); Food, Beverage and Tobacco (Primary); Wine (Primary); Consumer Discretionary; Consumer Services; Food and Staples Retailing; Food and Staples Retailing; Food Distribution; Food Distributors; Hotels And Motels; Hotels, Resorts and Cruise Lines; Hotels, Restaurants and Leisure; Lodging; Real Estate; Real Estate; Real Estate Development; Real Estate Management and Development; Real Estate Operating Companies; Real Estate Operators And Lessors; Resorts; Tour Operators; Travel and Tourism Services</t>
  </si>
  <si>
    <t>Time Watch Investments Limited (SEHK:2033)</t>
  </si>
  <si>
    <t>SEHK:2033</t>
  </si>
  <si>
    <t>The Stock Exchange of Hong Kong Ltd. (SEHK)</t>
  </si>
  <si>
    <t>Apparel, Accessories and Luxury Goods (Primary); Consumer Discretionary (Primary); Consumer Durables and Apparel (Primary); Jewelry, Timepieces and Gemstone Products (Primary); Textiles, Apparel and Luxury Goods (Primary); Timepieces (Primary); Watches (Primary); Advertising; Apparel Retail; Commercial and Professional Services; Communication Services; Consulting Services; Distributors; Distributors; Durable Goods Distribution; Industrials; Internet and Direct Marketing Retail; Internet and Direct Marketing Retail; Jewelry, Timepieces and Gemstone Product Distribution; Marketing Services; Media; Media and Entertainment; Online Accessory Retail; Online Apparel and Accessory Retail; Online Specialty Retail; Professional Services; Real Estate; Real Estate; Real Estate Management and Development; Real Estate Operating Companies; Real Estate Operators And Lessors; Research and Consulting Services; Retailing; Specialty Retail; Watch and Timepiece Stores</t>
  </si>
  <si>
    <t>APAC Resources Limited (SEHK:1104)</t>
  </si>
  <si>
    <t>SEHK:1104</t>
  </si>
  <si>
    <t>The Stock Exchange of Hong Kong Ltd. (SEHK)</t>
  </si>
  <si>
    <t>Capital Goods (Primary); Industrials (Primary); Trading Companies and Distributors (Primary); Trading Companies and Distributors (Primary); Asset Management and Custody Banks; Capital Markets; Commercial and Professional Services; Consulting Services; Diversified Financials; Diversified Metals and Mining; Financials; Materials; Materials; Metals and Mining; Professional Services; Research and Consulting Services</t>
  </si>
  <si>
    <t>Wealthking Investments Limited (SEHK:1140)</t>
  </si>
  <si>
    <t>SEHK:1140</t>
  </si>
  <si>
    <t>The Stock Exchange of Hong Kong Ltd. (SEHK)</t>
  </si>
  <si>
    <t>Qingling Motors Co., Ltd. (SEHK:1122)</t>
  </si>
  <si>
    <t>SEHK:1122</t>
  </si>
  <si>
    <t>The Stock Exchange of Hong Kong Ltd. (SEHK)</t>
  </si>
  <si>
    <t>Automobile Manufacturers (Primary); Automobiles (Primary); Automobiles and Components (Primary); Consumer Discretionary (Primary); Passenger Motor Vehicles (Primary); Auto Components; Auto Parts and Equipment; Automotive Retail; Capital Goods; Construction Machinery and Heavy Trucks; Die Sets, Jigs and Industrial Molds; Heavy Duty Trucks; Industrial Machinery; Industrials; Machinery; Metalworking Machinery and Equipment; Motor Vehicle Accessories; Motor Vehicle Retail; Retailing; Specialty Retail</t>
  </si>
  <si>
    <t>Continental Aerospace Technologies Holding Limited (SEHK:232)</t>
  </si>
  <si>
    <t>SEHK:232</t>
  </si>
  <si>
    <t>The Stock Exchange of Hong Kong Ltd. (SEHK)</t>
  </si>
  <si>
    <t>Aerospace and Defense (Primary); Aerospace and Defense (Primary); Aircraft Engines and Engine Parts (Primary); Aircraft Systems, Components and Equipment (Primary); Capital Goods (Primary); Industrials (Primary); Aircraft Maintenance and Repair; Airport Services; Real Estate; Real Estate; Real Estate Development; Real Estate Management and Development; Transportation; Transportation Infrastructure</t>
  </si>
  <si>
    <t>Oshidori International Holdings Limited (SEHK:622)</t>
  </si>
  <si>
    <t>SEHK:622</t>
  </si>
  <si>
    <t>The Stock Exchange of Hong Kong Ltd. (SEHK)</t>
  </si>
  <si>
    <t>Consumer Finance (Primary); Consumer Finance (Primary); Diversified Financials (Primary); Financials (Primary); Asset Management and Custody Banks; Capital Markets; Commercial and Professional Services; Commercial Services and Supplies; Consulting Services; General Management Services; Industrials; Investment Banking; Investment Banking and Brokerage; Investment Brokerage Services; Motor Vehicle Rental and Leasing; Office Services and Supplies; Professional Services; Research and Consulting Services; Road and Rail; Securities and Commodities Markets Services; Security Brokers and Dealers; Security Underwriting Services; Transportation; Trucking</t>
  </si>
  <si>
    <t>Lippo China Resources Limited (SEHK:156)</t>
  </si>
  <si>
    <t>SEHK:156</t>
  </si>
  <si>
    <t>The Stock Exchange of Hong Kong Ltd. (SEHK)</t>
  </si>
  <si>
    <t>Consumer Staples (Primary); Food and Staples Retailing (Primary); Food and Staples Retailing (Primary); Food Distribution (Primary); Food Distributors (Primary); Groceries and Related Product Distribution (Primary); Asset Management and Custody Banks; Capital Markets; Commercial and Professional Services; Consulting Services; Consumer Discretionary; Consumer Services; Development Tools; Diversified Financial Services; Diversified Financials; Diversified Metal Ores; Diversified Metals and Mining; Diversified Real Estate Activities; Financials; Food Products; Food Retail; Food, Beverage and Tobacco; Hotels, Restaurants and Leisure; Industrials; Information Technology; Investment Banking and Brokerage; Materials; Materials; Metals and Mining; Packaged Foods and Meats; Professional Services; Real Estate; Real Estate; Real Estate Agents And Brokers; Real Estate Development; Real Estate Management and Development; Real Estate Management Services; Real Estate Operating Companies; Real Estate Operators And Lessors; Real Estate Services; Research and Consulting Services; Restaurants; Securities and Commodities Markets Services; Software; Software and Services; Software Development; Specialized Finance; Systems Software</t>
  </si>
  <si>
    <t>Asia Financial Holdings Limited (SEHK:662)</t>
  </si>
  <si>
    <t>SEHK:662</t>
  </si>
  <si>
    <t>The Stock Exchange of Hong Kong Ltd. (SEHK)</t>
  </si>
  <si>
    <t>Financials (Primary); Insurance (Primary); Insurance (Primary); Multi-line Insurance (Primary); Banks; Capital Markets; Diversified Financials; Health Care; Health Care Equipment and Services; Health Care Providers and Services; Health Care Services; Investment Banking and Brokerage; Life and Health Insurance; Life Insurance; Mortgage Bankers and Loan Correspondents; Property and Casualty Insurance; Real Estate; Real Estate; Real Estate Management and Development; Real Estate Operating Companies; Real Estate Operators And Lessors; Securities and Commodities Markets Services; Thrifts and Mortgage Finance; Thrifts and Mortgage Finance</t>
  </si>
  <si>
    <t>Chu Kong Shipping Enterprises (Group) Company Limited (SEHK:560)</t>
  </si>
  <si>
    <t>SEHK:560</t>
  </si>
  <si>
    <t>The Stock Exchange of Hong Kong Ltd. (SEHK)</t>
  </si>
  <si>
    <t>Cargo or Container Ships (Primary); Ferries (Primary); Industrials (Primary); Marine (Primary); Marine (Primary); Marine Transportation Of Freight (Primary); Marine Transportation Of Passengers (Primary); Transportation (Primary); Air Freight and Logistics; Air Freight and Logistics; Commercial and Professional Services; Commercial Services and Supplies; Consumer Discretionary; Consumer Services; Diversified Support Services; Energy; Energy; Hotels, Resorts and Cruise Lines; Hotels, Restaurants and Leisure; Information Technology; IT Consulting and Other Services; IT Services; Marine Ports and Services; Oil and Gas Refining and Marketing; Oil, Gas and Consumable Fuels; Real Estate; Real Estate; Real Estate Management and Development; Real Estate Operating Companies; Real Estate Operators And Lessors; Road and Rail; Road Transportation of Freight; Software and Services; Tour Operators; Transportation Infrastructure; Travel Agencies; Travel and Tourism Services; Trucking; Warehousing and Storage</t>
  </si>
  <si>
    <t>Asia Cement (China) Holdings Corporation (SEHK:743)</t>
  </si>
  <si>
    <t>SEHK:743</t>
  </si>
  <si>
    <t>The Stock Exchange of Hong Kong Ltd. (SEHK)</t>
  </si>
  <si>
    <t>Cement, Hydraulic (Primary); Concrete (Primary); Construction Materials (Primary); Construction Materials (Primary); Limestone (Primary); Materials (Primary); Materials (Primary); Ready-Mixed Concrete (Primary); Stone Materials (Primary); Industrials; Road and Rail; Transportation; Trucking</t>
  </si>
  <si>
    <t>Texwinca Holdings Limited (SEHK:321)</t>
  </si>
  <si>
    <t>SEHK:321</t>
  </si>
  <si>
    <t>The Stock Exchange of Hong Kong Ltd. (SEHK)</t>
  </si>
  <si>
    <t>Consumer Discretionary (Primary); Consumer Durables and Apparel (Primary); Fabrics (Primary); Textile Mill Products (Primary); Textiles (Primary); Textiles, Apparel and Luxury Goods (Primary); Yarns (Primary); Apparel and Textile Distribution; Apparel Retail; Capital Goods; Commercial and Professional Services; Commercial Services and Supplies; Distributors; Distributors; Diversified Financial Services; Diversified Financials; Durable Goods Distribution; Financials; General Management Services; Industrials; Investment Services and Holding Companies; Machinery Distribution; Multi-Sector Holdings; Office Services and Supplies; Patent Owners and Lessors; Real Estate; Real Estate; Real Estate Management and Development; Real Estate Operating Companies; Real Estate Operators And Lessors; Retailing; Specialty Retail; Trading Companies and Distributors; Trading Companies and Distributors</t>
  </si>
  <si>
    <t>Hung Hing Printing Group Limited (SEHK:450)</t>
  </si>
  <si>
    <t>SEHK:450</t>
  </si>
  <si>
    <t>The Stock Exchange of Hong Kong Ltd. (SEHK)</t>
  </si>
  <si>
    <t>Containers and Packaging (Primary); Converted Paper And Paperboard Products (Primary); Corrugated And Solid Fiber Boxes (Primary); Materials (Primary); Materials (Primary); Paper Packaging (Primary); Paperboard Containers And Boxes (Primary); Setup Paperboard Boxes (Primary); Book Printing; Capital Goods; Commercial and Professional Services; Commercial Printing; Commercial Services and Supplies; Communication Services; Consumer Discretionary; Diversified Support Services; Greeting Card Printing; Industrials; Internet and Direct Marketing Retail; Internet and Direct Marketing Retail; Media; Media and Entertainment; Paper and Forest Product Distribution; Printing Services; Publication Printing; Published Electronic Materials; Publishing; Retailing; Stationery and Business Form Printing; Trading Companies and Distributors; Trading Companies and Distributors; Typesetting</t>
  </si>
  <si>
    <t>C.banner International Holdings Limited (SEHK:1028)</t>
  </si>
  <si>
    <t>SEHK:1028</t>
  </si>
  <si>
    <t>The Stock Exchange of Hong Kong Ltd. (SEHK)</t>
  </si>
  <si>
    <t>Consumer Discretionary (Primary); Consumer Durables and Apparel (Primary); Footwear (Primary); Textiles, Apparel and Luxury Goods (Primary); Women's and Girls' Footwear (Primary); Apparel Retail; Hobbies, Games and Toy Stores; Leisure Equipment Stores; Retailing; Shoe Stores; Specialty Retail; Specialty Stores; Women's Shoe Stores</t>
  </si>
  <si>
    <t>BabyTree Group (SEHK:1761)</t>
  </si>
  <si>
    <t>SEHK:1761</t>
  </si>
  <si>
    <t>The Stock Exchange of Hong Kong Ltd. (SEHK)</t>
  </si>
  <si>
    <t>Communication Services (Primary); Interactive Media and Services (Primary); Interactive Media and Services (Primary); Media and Entertainment (Primary); Online Services (Primary); Social Media and Networking Platforms (Primary); Advertising; Consumer Discretionary; Diversified Financial Services; Diversified Financials; Financials; Internet and Direct Marketing Retail; Internet and Direct Marketing Retail; Marketing Services; Media; Retailing; Specialized Finance</t>
  </si>
  <si>
    <t>Mason Group Holdings Limited (SEHK:273)</t>
  </si>
  <si>
    <t>SEHK:273</t>
  </si>
  <si>
    <t>The Stock Exchange of Hong Kong Ltd. (SEHK)</t>
  </si>
  <si>
    <t>Capital Markets (Primary); Diversified Financials (Primary); Financials (Primary); Investment Banking (Primary); Investment Banking and Brokerage (Primary); Securities and Commodities Markets Services (Primary); Asset Management and Custody Banks; Consumer Discretionary; Consumer Finance; Consumer Finance; Consumer Staples; Diversified Financial Services; Food and Staples Retailing; Food and Staples Retailing; Food Products; Food Retail; Food, Beverage and Tobacco; Grocery Stores; Health Care; Health Care Equipment and Services; Health Care Providers and Services; Health Care Services; Health Food Stores; Household and Personal Products; Infant Food; Investment Advice; Investment Services and Holding Companies; Medical Laboratory Services; Multi-Sector Holdings; Packaged Foods and Meats; Patent Owners and Lessors; Personal Products; Personal Products; Prepared and Preserved Foods; Retailing; Specialized Finance; Specialty Retail; Specialty Stores; Vitamins and Nutritional Supplements</t>
  </si>
  <si>
    <t>Hengdeli Holdings Limited (SEHK:3389)</t>
  </si>
  <si>
    <t>SEHK:3389</t>
  </si>
  <si>
    <t>The Stock Exchange of Hong Kong Ltd. (SEHK)</t>
  </si>
  <si>
    <t>Consumer Discretionary (Primary); Retailing (Primary); Specialty Retail (Primary); Specialty Stores (Primary); Apparel Retail; Apparel, Accessories and Luxury Goods; Consumer Durables and Apparel; Containers and Packaging; Jewelry, Timepieces and Gemstone Products; Materials; Materials; Paper Packaging; Textiles, Apparel and Luxury Goods; Timepieces; Watch and Clock parts; Watch and Timepiece Stores; Watches</t>
  </si>
  <si>
    <t>Asiasec Properties Limited (SEHK:271)</t>
  </si>
  <si>
    <t>SEHK:271</t>
  </si>
  <si>
    <t>The Stock Exchange of Hong Kong Ltd. (SEHK)</t>
  </si>
  <si>
    <t>Nonresidential Building Operators and Lessors (Primary); Real Estate (Primary); Real Estate (Primary); Real Estate Management and Development (Primary); Real Estate Management Services (Primary); Real Estate Operating Companies (Primary); Real Estate Operators And Lessors (Primary); Residential Building Operators and Lessors (Primary); Diversified Financial Services; Diversified Financials; Financials; Specialized Finance</t>
  </si>
  <si>
    <t>Rizhao Port Jurong Co., Ltd. (SEHK:6117)</t>
  </si>
  <si>
    <t>SEHK:6117</t>
  </si>
  <si>
    <t>The Stock Exchange of Hong Kong Ltd. (SEHK)</t>
  </si>
  <si>
    <t>Industrials (Primary); Marine Cargo Services (Primary); Marine Ports and Services (Primary); Transportation (Primary); Transportation Infrastructure (Primary); Marine; Marine; Marine Transportation Of Freight; Marine Transportation Of Passengers</t>
  </si>
  <si>
    <t>Safety Godown Company, Limited (SEHK:237)</t>
  </si>
  <si>
    <t>SEHK:237</t>
  </si>
  <si>
    <t>The Stock Exchange of Hong Kong Ltd. (SEHK)</t>
  </si>
  <si>
    <t>Nonresidential Building Operators and Lessors (Primary); Real Estate (Primary); Real Estate (Primary); Real Estate Management and Development (Primary); Real Estate Operating Companies (Primary); Real Estate Operators And Lessors (Primary); Asset Management and Custody Banks; Capital Markets; Commercial and Professional Services; Commercial Services and Supplies; Diversified Financials; Diversified Support Services; Financials; Industrials; Investment Banking and Brokerage; Public Warehousing and Storage; Securities and Commodities Markets Services; Warehousing and Storage</t>
  </si>
  <si>
    <t>Get Nice Holdings Limited (SEHK:64)</t>
  </si>
  <si>
    <t>SEHK:64</t>
  </si>
  <si>
    <t>The Stock Exchange of Hong Kong Ltd. (SEHK)</t>
  </si>
  <si>
    <t>Capital Markets (Primary); Commodity Contract Services (Primary); Diversified Financials (Primary); Financials (Primary); Investment Banking (Primary); Investment Banking and Brokerage (Primary); Private Placement Advisory Services (Primary); Securities and Commodities Markets Services (Primary); Security Brokers and Dealers (Primary); Security Underwriting Services (Primary); Asset Management and Custody Banks; Banks; Business Credit Agencies; Consumer Finance; Consumer Finance; Credit Agencies; Diversified Financial Services; Personal Credit Agencies; Personal Loan Services; Real Estate; Real Estate; Real Estate Agents And Brokers; Real Estate Development; Real Estate Management and Development; Real Estate Operating Companies; Real Estate Operators And Lessors; Real Estate Services; Specialized Finance; Thrifts and Mortgage Finance; Thrifts and Mortgage Finance</t>
  </si>
  <si>
    <t>Goldlion Holdings Limited (SEHK:533)</t>
  </si>
  <si>
    <t>SEHK:533</t>
  </si>
  <si>
    <t>The Stock Exchange of Hong Kong Ltd. (SEHK)</t>
  </si>
  <si>
    <t>Accessory Stores (Primary); Apparel Retail (Primary); Consumer Discretionary (Primary); Luggage and Leather Goods Stores (Primary); Retailing (Primary); Specialty Retail (Primary); Accessories; Apparel; Apparel, Accessories and Luxury Goods; Consumer Durables and Apparel; Diversified Financial Services; Diversified Financials; Financials; Internet and Direct Marketing Retail; Internet and Direct Marketing Retail; Investment Services and Holding Companies; Leather and Leather Products; Multi-Sector Holdings; Online Accessory Retail; Online Apparel and Accessory Retail; Online Apparel Retail; Online Luggage and Leather Goods Retail; Online Specialty Retail; Patent Owners and Lessors; Real Estate; Real Estate; Real Estate Development; Real Estate Management and Development; Real Estate Management Services; Real Estate Operating Companies; Real Estate Operators And Lessors; Textile Mill Products; Textiles; Textiles, Apparel and Luxury Goods</t>
  </si>
  <si>
    <t>China Strategic Holdings Limited (SEHK:235)</t>
  </si>
  <si>
    <t>SEHK:235</t>
  </si>
  <si>
    <t>The Stock Exchange of Hong Kong Ltd. (SEHK)</t>
  </si>
  <si>
    <t>Capital Goods (Primary); Industrials (Primary); Trading Companies and Distributors (Primary); Trading Companies and Distributors (Primary); Asset Management and Custody Banks; Capital Markets; Commercial and Professional Services; Commercial Electronics Distribution; Commercial Services and Supplies; Consumer Finance; Consumer Finance; Diversified Financial Services; Diversified Financials; Electronic Equipment, Instruments and Components; Financials; General Management Services; Information Technology; Investment Banking; Investment Banking and Brokerage; Office Services and Supplies; Securities and Commodities Markets Services; Security Brokers; Security Brokers and Dealers; Security Underwriting Services; Specialized Finance; Technology Distributors; Technology Hardware and Equipment</t>
  </si>
  <si>
    <t>China Merchants China Direct Investments Limited (SEHK:133)</t>
  </si>
  <si>
    <t>SEHK:133</t>
  </si>
  <si>
    <t>The Stock Exchange of Hong Kong Ltd. (SEHK)</t>
  </si>
  <si>
    <t>Diversified Financial Services (Primary); Diversified Financials (Primary); Financials (Primary); Multi-Sector Holdings (Primary); Asset Management and Custody Banks; Capital Markets; Investment Funds</t>
  </si>
  <si>
    <t>Yuxing InfoTech Investment Holdings Limited (SEHK:8005)</t>
  </si>
  <si>
    <t>SEHK:8005</t>
  </si>
  <si>
    <t>The Stock Exchange of Hong Kong Ltd. (SEHK)</t>
  </si>
  <si>
    <t>Audio Equipment (Primary); Consumer Discretionary (Primary); Consumer Durables and Apparel (Primary); Consumer Electronics (Primary); Household Durables (Primary); Video Equipment (Primary); Asset Management and Custody Banks; Cable Network Equipment; Capital Goods; Capital Markets; Commercial and Professional Services; Commercial Electronics Distribution; Communications Equipment; Communications Equipment; Diversified Financials; Electronic Equipment, Instruments and Components; Financials; Industrials; Information Technology; Information Technology (IT) Consulting; Investment Banking and Brokerage; IT Consulting and Other Services; IT Services; Networking Equipment; Professional Services; Real Estate; Real Estate; Real Estate Management and Development; Real Estate Operating Companies; Real Estate Operators And Lessors; Research and Consulting Services; Securities and Commodities Markets Services; Services Outsourcing; Software and Services; Technology Distributors; Technology Hardware and Equipment; Trading Companies and Distributors; Trading Companies and Distributors</t>
  </si>
  <si>
    <t>Summit Ascent Holdings Limited (SEHK:102)</t>
  </si>
  <si>
    <t>SEHK:102</t>
  </si>
  <si>
    <t>The Stock Exchange of Hong Kong Ltd. (SEHK)</t>
  </si>
  <si>
    <t>Casinos and Gaming (Primary); Consumer Discretionary (Primary); Consumer Services (Primary); Gaming Operations (Primary); Hotels, Restaurants and Leisure (Primary); Apparel Retail; Beauty Care Services; Beauty, Hair and Nail Salons; Beverage and Tobacco Bars; Bus Transportation; Commercial and Professional Services; Commercial Services and Supplies; Diversified Consumer Services; General Management Services; Hotels And Motels; Hotels, Resorts and Cruise Lines; Industrials; Lodging; Office Services and Supplies; Pubs, Bars and Taverns; Resorts; Restaurants; Retailing; Road and Rail; Road Transportation of Passengers; Specialized Consumer Services; Specialty Retail; Transportation; Trucking; Watch and Timepiece Stores</t>
  </si>
  <si>
    <t>Tian Ge Interactive Holdings Limited (SEHK:1980)</t>
  </si>
  <si>
    <t>SEHK:1980</t>
  </si>
  <si>
    <t>The Stock Exchange of Hong Kong Ltd. (SEHK)</t>
  </si>
  <si>
    <t>Communication Services (Primary); Interactive Media and Services (Primary); Interactive Media and Services (Primary); Media and Entertainment (Primary); Online Services (Primary); Social Media and Networking Platforms (Primary); Advertising; Application Software; Asset Management and Custody Banks; Capital Markets; Computer and Mobile Games; Consumer Digital Lending; Consumer Finance; Consumer Finance; Development Consulting; Diversified Financials; Entertainment; Entertainment Software; Financials; Information Technology; Information Technology (IT) Consulting; Interactive Home Entertainment; Internet Software; IT Consulting and Other Services; IT Services; Media; Personal Credit Agencies; Services Outsourcing; Software; Software and Services</t>
  </si>
  <si>
    <t>China Ting Group Holdings Limited (SEHK:3398)</t>
  </si>
  <si>
    <t>SEHK:3398</t>
  </si>
  <si>
    <t>The Stock Exchange of Hong Kong Ltd. (SEHK)</t>
  </si>
  <si>
    <t>Apparel (Primary); Apparel, Accessories and Luxury Goods (Primary); Consumer Discretionary (Primary); Consumer Durables and Apparel (Primary); Textiles, Apparel and Luxury Goods (Primary); Apparel and Textile Distribution; Apparel Retail; Distributors; Distributors; Diversified Financial Services; Diversified Financials; Durable Goods Distribution; Dyeing and Finishing Textiles; Fabrics; Financials; Internet and Direct Marketing Retail; Internet and Direct Marketing Retail; Investment Services and Holding Companies; Multi-Sector Holdings; Online Apparel and Accessory Retail; Online Apparel Retail; Online Specialty Retail; Patent Owners and Lessors; Real Estate; Real Estate; Real Estate Management and Development; Real Estate Operating Companies; Real Estate Operators And Lessors; Retailing; Specialty Retail; Textile Mill Products; Textile Mills; Textiles</t>
  </si>
  <si>
    <t>Playmates Holdings Limited (SEHK:635)</t>
  </si>
  <si>
    <t>SEHK:635</t>
  </si>
  <si>
    <t>The Stock Exchange of Hong Kong Ltd. (SEHK)</t>
  </si>
  <si>
    <t>Consumer Discretionary (Primary); Consumer Durables and Apparel (Primary); Hobbies, Toys and Games (Primary); Leisure Products (Primary); Leisure Products (Primary); Sporting and Recreational Goods (Primary); Asset Management and Custody Banks; Capital Markets; Diversified Financials; Financials; Nonresidential Building Operators and Lessors; Real Estate; Real Estate; Real Estate Management and Development; Real Estate Management Services; Real Estate Operating Companies; Real Estate Operators And Lessors; Residential Building Operators and Lessors</t>
  </si>
  <si>
    <t>Ajisen (China) Holdings Limited (SEHK:538)</t>
  </si>
  <si>
    <t>SEHK:538</t>
  </si>
  <si>
    <t>The Stock Exchange of Hong Kong Ltd. (SEHK)</t>
  </si>
  <si>
    <t>Consumer Discretionary (Primary); Consumer Services (Primary); Fast-Food Restaurants (Primary); Hotels, Restaurants and Leisure (Primary); Limited Service Restaurants (Primary); Restaurants (Primary); Asset Management and Custody Banks; Capital Markets; Consumer Staples; Diversified Financials; Financials; Food and Staples Retailing; Food and Staples Retailing; Food Distribution; Food Distributors; Food Products; Food, Beverage and Tobacco; Groceries and Related Product Distribution; Packaged Foods and Meats; Prepared and Preserved Foods; Real Estate; Real Estate; Real Estate Management and Development; Real Estate Operating Companies; Real Estate Operators And Lessors</t>
  </si>
  <si>
    <t>Wing On Company International Limited (SEHK:289)</t>
  </si>
  <si>
    <t>SEHK:289</t>
  </si>
  <si>
    <t>The Stock Exchange of Hong Kong Ltd. (SEHK)</t>
  </si>
  <si>
    <t>Consumer Discretionary (Primary); Department Stores (Primary); Multiline Retail (Primary); Retailing (Primary); Capital Markets; Diversified Financial Services; Diversified Financials; Financials; Information Technology; Internet and Direct Marketing Retail; Internet and Direct Marketing Retail; Investment Banking and Brokerage; Investment Services and Holding Companies; IT Consulting and Other Services; IT Services; Multi-Sector Holdings; Nonresidential Building Operators and Lessors; Online Specialty Retail; Patent Owners and Lessors; Real Estate; Real Estate; Real Estate Management and Development; Real Estate Management Services; Real Estate Operating Companies; Real Estate Operators And Lessors; Securities and Commodities Markets Services; Security Brokers; Security Brokers and Dealers; Software and Services; Trusts</t>
  </si>
  <si>
    <t>Huisen Household International Group Limited (SEHK:2127)</t>
  </si>
  <si>
    <t>SEHK:2127</t>
  </si>
  <si>
    <t>The Stock Exchange of Hong Kong Ltd. (SEHK)</t>
  </si>
  <si>
    <t>Consumer Discretionary (Primary); Consumer Durables and Apparel (Primary); Home Furnishings (Primary); Household Durables (Primary); Metal Household Furniture (Primary); Metal Tables (Primary); Outdoor Furniture (Primary); Upholstery (Primary); Wood Household Furniture (Primary); Wood Household Furniture, Upholstered (Primary); Wood Tables (Primary); Bookcases; Classroom and Institutional Furniture; Commercial and Professional Services; Commercial Services and Supplies; Desks; Industrials; Office Furnishings; Office Furnishings and Equipment; Office Services and Supplies; Wood Office Furniture</t>
  </si>
  <si>
    <t>GDH Guangnan (Holdings) Limited (SEHK:1203)</t>
  </si>
  <si>
    <t>SEHK:1203</t>
  </si>
  <si>
    <t>The Stock Exchange of Hong Kong Ltd. (SEHK)</t>
  </si>
  <si>
    <t>Cold-Rolled Steel Sheet, Strip, And Bars (Primary); Materials (Primary); Materials (Primary); Metals and Mining (Primary); Steel (Primary); Steel Nails, Spikes, And Wire (Primary); Steel Wire Drawing, Nails and Spikes (Primary); Steel Works, Blast Furnaces, And Finishing Mills (Primary); Steel Works, Blast Furnaces, And Rolling Mills (Primary); Agricultural Products; Animal Feed; Consumer Staples; Factory Outlet Center Operators and Lessors; Food and Staples Retailing; Food and Staples Retailing; Food Distribution; Food Distributors; Food Products; Food, Beverage and Tobacco; Grain And Field Beans; Groceries and Related Product Distribution; Meat Processing; Meat Slaughtering; Meats, Meat Processing And Meat Related Products; Nonresidential Building Operators and Lessors; Office Building Operators and Lessors; Packaged Foods and Meats; Real Estate; Real Estate; Real Estate Management and Development; Real Estate Operating Companies; Real Estate Operators And Lessors</t>
  </si>
  <si>
    <t>DaChan Food (Asia) Limited (SEHK:3999)</t>
  </si>
  <si>
    <t>SEHK:3999</t>
  </si>
  <si>
    <t>The Stock Exchange of Hong Kong Ltd. (SEHK)</t>
  </si>
  <si>
    <t>Animal Feed (Primary); Consumer Staples (Primary); Dairy Products (Primary); Dairy Products and Eggs (Primary); Eggs and Egg Products (Primary); Food Products (Primary); Food, Beverage and Tobacco (Primary); Frozen Foods (Primary); Livestock And Animal Specialties (Primary); Livestock Feed (Primary); Meats, Meat Processing And Meat Related Products (Primary); Packaged Foods and Meats (Primary); Poultry Processing (Primary); Prepared and Preserved Foods (Primary); Seafood, Seafood Processing and Seafood Products (Primary); Food and Staples Retailing; Food and Staples Retailing; Food Retail; Health Care; Nonresidential Building Operators and Lessors; Pharmaceuticals; Pharmaceuticals; Pharmaceuticals, Biotechnology and Life Sciences; Real Estate; Real Estate; Real Estate Management and Development; Real Estate Operating Companies; Real Estate Operators And Lessors; Veterinary Drugs</t>
  </si>
  <si>
    <t>Luks Group (Vietnam Holdings) Company Limited (SEHK:366)</t>
  </si>
  <si>
    <t>SEHK:366</t>
  </si>
  <si>
    <t>The Stock Exchange of Hong Kong Ltd. (SEHK)</t>
  </si>
  <si>
    <t>Cement, Hydraulic (Primary); Concrete (Primary); Construction Materials (Primary); Construction Materials (Primary); Materials (Primary); Materials (Primary); Commercial Electronics Distribution; Consumer Discretionary; Consumer Services; Electronic Equipment, Instruments and Components; Forest Products; Hotels; Hotels And Motels; Hotels, Resorts and Cruise Lines; Hotels, Restaurants and Leisure; Industrial Property Operators and Lessors; Information Technology; Lodging; Lumber Products; Nonresidential Building Operators and Lessors; Office Building Operators and Lessors; Paper and Forest Products; Real Estate; Real Estate; Real Estate Development; Real Estate Management and Development; Real Estate Management Services; Real Estate Operating Companies; Real Estate Operators And Lessors; Residential Building Operators and Lessors; Technology Distributors; Technology Hardware and Equipment; Veneer, Plywood And Structural Wood Products</t>
  </si>
  <si>
    <t>Wai Kee Holdings Limited (SEHK:610)</t>
  </si>
  <si>
    <t>SEHK:610</t>
  </si>
  <si>
    <t>The Stock Exchange of Hong Kong Ltd. (SEHK)</t>
  </si>
  <si>
    <t>Capital Goods (Primary); Commercial Construction and Engineering (Primary); Commercial Construction, General Contractors and Operative Builders (Primary); Construction and Engineering (Primary); Construction and Engineering (Primary); Construction Support Services (Primary); Engineering and Surveying Services (Primary); Engineering Services (Primary); Heavy Construction (Primary); Industrials (Primary); Specialty Contract Work (Primary); Asphalt Paving and Roofing Materials; Asset Management and Custody Banks; Building Products; Building Products; Capital Markets; Concrete; Construction Material Distribution; Construction Materials; Construction Materials; Diversified Financial Services; Diversified Financials; Financials; Highways and Railtracks; Investment Advice; Investment Banking and Brokerage; Marine Ports and Services; Materials; Materials; Real Estate; Real Estate; Real Estate Development; Real Estate Management and Development; Real Estate Operating Companies; Real Estate Operators And Lessors; Roofing, Siding, and Insulation Materials; Securities and Commodities Markets Services; Security Brokers; Security Brokers and Dealers; Sewage Treatment Systems; Specialized Finance; Trading Companies and Distributors; Trading Companies and Distributors; Transportation; Transportation Infrastructure; Utilities; Utilities; Water Utilities; Water Utilities</t>
  </si>
  <si>
    <t>Liu Chong Hing Investment Limited (SEHK:194)</t>
  </si>
  <si>
    <t>SEHK:194</t>
  </si>
  <si>
    <t>The Stock Exchange of Hong Kong Ltd. (SEHK)</t>
  </si>
  <si>
    <t>Nonresidential Building Operators and Lessors (Primary); Office Building Operators and Lessors (Primary); Real Estate (Primary); Real Estate (Primary); Real Estate Management and Development (Primary); Real Estate Management Services (Primary); Real Estate Operating Companies (Primary); Real Estate Operators And Lessors (Primary); Residential Building Operators and Lessors (Primary); Shopping Mall Operators and Lessors (Primary); Capital Markets; Consumer Discretionary; Consumer Services; Diversified Consumer Services; Diversified Financial Services; Diversified Financials; Financials; Hotels; Hotels And Motels; Hotels, Resorts and Cruise Lines; Hotels, Restaurants and Leisure; Investment Banking and Brokerage; Lodging; Real Estate Development; Residential Design Services ; Residential Interior Services ; Securities and Commodities Markets Services; Security Brokers; Security Brokers and Dealers; Specialized Consumer Services; Specialized Finance</t>
  </si>
  <si>
    <t>Nanyang Holdings Limited (SEHK:212)</t>
  </si>
  <si>
    <t>SEHK:212</t>
  </si>
  <si>
    <t>The Stock Exchange of Hong Kong Ltd. (SEHK)</t>
  </si>
  <si>
    <t>Industrial Property Operators and Lessors (Primary); Nonresidential Building Operators and Lessors (Primary); Office Building Operators and Lessors (Primary); Real Estate (Primary); Real Estate (Primary); Real Estate Management and Development (Primary); Real Estate Operating Companies (Primary); Real Estate Operators And Lessors (Primary); Asset Management and Custody Banks; Capital Markets; Diversified Financials; Financials; Investment Banking and Brokerage; Securities and Commodities Markets Services; Security Brokers; Security Brokers and Dealers</t>
  </si>
  <si>
    <t>Emperor Watch &amp; Jewellery Limited (SEHK:887)</t>
  </si>
  <si>
    <t>SEHK:887</t>
  </si>
  <si>
    <t>The Stock Exchange of Hong Kong Ltd. (SEHK)</t>
  </si>
  <si>
    <t>Apparel Retail (Primary); Consumer Discretionary (Primary); Jewelry Stores (Primary); Retailing (Primary); Specialty Retail (Primary); Watch and Timepiece Stores (Primary); Internet and Direct Marketing Retail; Internet and Direct Marketing Retail; Online Apparel and Accessory Retail; Online Jewelry Retail; Online Specialty Retail</t>
  </si>
  <si>
    <t>China Dongxiang (Group) Co., Ltd. (SEHK:3818)</t>
  </si>
  <si>
    <t>SEHK:3818</t>
  </si>
  <si>
    <t>The Stock Exchange of Hong Kong Ltd. (SEHK)</t>
  </si>
  <si>
    <t>Apparel (Primary); Apparel, Accessories and Luxury Goods (Primary); Boys' Apparel (Primary); Consumer Discretionary (Primary); Consumer Durables and Apparel (Primary); Girls' Apparel (Primary); Specialty Apparel (Primary); Textiles, Apparel and Luxury Goods (Primary); Apparel and Textile Distribution; Apparel Retail; Asset Management and Custody Banks; Capital Markets; Consumer Services; Distributors; Distributors; Diversified Financials; Durable Goods Distribution; Financials; Footwear; Hotels, Resorts and Cruise Lines; Hotels, Restaurants and Leisure; Internet and Direct Marketing Retail; Internet and Direct Marketing Retail; Leisure Products; Leisure Products; Online Accessory Retail; Online Apparel and Accessory Retail; Online Apparel Retail; Online Shoe Retail; Online Specialty Retail; Real Estate; Real Estate; Real Estate Development; Real Estate Management and Development; Real Estate Operating Companies; Real Estate Operators And Lessors; Retailing; Shoe Stores; Specialty Retail; Sporting and Recreational Goods; Travel and Tourism Services</t>
  </si>
  <si>
    <t>YuanShengTai Dairy Farm Limited (SEHK:1431)</t>
  </si>
  <si>
    <t>SEHK:1431</t>
  </si>
  <si>
    <t>The Stock Exchange of Hong Kong Ltd. (SEHK)</t>
  </si>
  <si>
    <t>Agricultural Products (Primary); Consumer Staples (Primary); Food Products (Primary); Food, Beverage and Tobacco (Primary); Dairy Products; Dairy Products and Eggs; Milk; Packaged Foods and Meats</t>
  </si>
  <si>
    <t>Emperor Entertainment Hotel Limited (SEHK:296)</t>
  </si>
  <si>
    <t>SEHK:296</t>
  </si>
  <si>
    <t>The Stock Exchange of Hong Kong Ltd. (SEHK)</t>
  </si>
  <si>
    <t>Casinos (Primary); Casinos and Gaming (Primary); Consumer Discretionary (Primary); Consumer Services (Primary); Hotels, Restaurants and Leisure (Primary); Advertising; Catering Services; Communication Services; Diversified Financial Services; Diversified Financials; Financials; Hotels; Hotels And Motels; Hotels, Resorts and Cruise Lines; Lodging; Marketing Services; Media; Media and Entertainment; Public Relations Services; Restaurants; Specialized Finance; Travel Agencies; Travel and Tourism Services</t>
  </si>
  <si>
    <t>Chuang's China Investments Limited (SEHK:298)</t>
  </si>
  <si>
    <t>SEHK:298</t>
  </si>
  <si>
    <t>The Stock Exchange of Hong Kong Ltd. (SEHK)</t>
  </si>
  <si>
    <t>Cemetery Sub Dividers And Developers (Primary); Land Sub Dividers And Developers (Primary); Real Estate (Primary); Real Estate (Primary); Real Estate Development (Primary); Real Estate Management and Development (Primary); Asset Management and Custody Banks; Capital Goods; Capital Markets; Cemeteries; Cemeteries and Funeral Home Services; Construction Machinery and Heavy Trucks; Consumer Discretionary; Consumer Services; Distributors; Distributors; Diversified Consumer Services; Diversified Financial Services; Diversified Financials; Durable Goods Distribution; Financials; Hotels; Hotels And Motels; Hotels, Resorts and Cruise Lines; Hotels, Restaurants and Leisure; Household Durables Distribution; Industrials; Investment Banking and Brokerage; Lodging; Machinery; Marine Transportation Equipment; Real Estate Operating Companies; Real Estate Operators And Lessors; Retailing; Securities and Commodities Markets Services; Security Brokers and Dealers; Ship and Boat Building; Specialized Consumer Services; Specialized Finance</t>
  </si>
  <si>
    <t>China New Town Development Company Limited (SEHK:1278)</t>
  </si>
  <si>
    <t>SEHK:1278</t>
  </si>
  <si>
    <t>The Stock Exchange of Hong Kong Ltd. (SEHK)</t>
  </si>
  <si>
    <t>Land Sub Dividers And Developers (Primary); Land Sub Dividers and Developers, except Cemetery (Primary); Real Estate (Primary); Real Estate (Primary); Real Estate Development (Primary); Real Estate Management and Development (Primary); Asset Management and Custody Banks; Capital Goods; Capital Markets; Commercial and Professional Services; Construction and Engineering; Construction and Engineering; Construction Support Services; Consulting Services; Diversified Financials; Financials; Industrials; Professional Services; Real Estate Management Services; Real Estate Operating Companies; Real Estate Operators And Lessors; Real Estate Services; Research and Consulting Services</t>
  </si>
  <si>
    <t>CRCC High-Tech Equipment Corporation Limited (SEHK:1786)</t>
  </si>
  <si>
    <t>SEHK:1786</t>
  </si>
  <si>
    <t>The Stock Exchange of Hong Kong Ltd. (SEHK)</t>
  </si>
  <si>
    <t>Capital Goods (Primary); Construction Machinery and Heavy Trucks (Primary); Industrials (Primary); Locomotives and Electronic Trolleys (Primary); Machinery (Primary); Railroad Equipment (Primary); Railroad Support Equipment and Systems (Primary); Railway and Tramway Cars (Primary); Railway Track Maintenance Equipment (Primary); Commercial and Professional Services; Commercial Services and Supplies; Diversified Support Services; Railroad Switching and Terminal Establishments; Railroads; Road and Rail; Services Incidental to Railroad Transportation; Transportation</t>
  </si>
  <si>
    <t>Tianjin Development Holdings Limited (SEHK:882)</t>
  </si>
  <si>
    <t>SEHK:882</t>
  </si>
  <si>
    <t>The Stock Exchange of Hong Kong Ltd. (SEHK)</t>
  </si>
  <si>
    <t>Multi-Utilities (Primary); Multi-Utilities (Primary); Utilities (Primary); Utilities (Primary); Building Product and Home Supply Stores; Building Product Distribution; Business Credit Agencies; Capital Goods; Commercial and Professional Services; Commercial Services and Supplies; Consulting Services; Consumer Discretionary; Consumer Services; Containers and Packaging; Credit Agencies; Diversified Financial Services; Diversified Financials; Diversified Support Services; Electric Power Distribution; Electric Utilities; Electric Utilities; Electrical Equipment; Elevators and Moving Stairways; Escalators; Finance Leasing; Financials; Health Care; Heavy Electrical Equipment; Home Improvement Retail; Hotels; Hotels And Motels; Hotels, Resorts and Cruise Lines; Hotels, Restaurants and Leisure; Industrial Machinery; Industrials; Lifting Equipment; Lodging; Machinery; Marine Ports and Services; Material Handling Machinery and Equipment; Materials; Materials; Paper Packaging; Pharmaceutical Products; Pharmaceuticals; Pharmaceuticals; Pharmaceuticals, Biotechnology and Life Sciences; Professional Services; Pumps and Pumping Equipment; Research and Consulting Services; Retailing; Specialized Finance; Specialty Retail; Trading Companies and Distributors; Trading Companies and Distributors; Transportation; Transportation Infrastructure; Water Supply; Water Utilities; Water Utilities</t>
  </si>
  <si>
    <t>Weiqiao Textile Company Limited (SEHK:2698)</t>
  </si>
  <si>
    <t>SEHK:2698</t>
  </si>
  <si>
    <t>The Stock Exchange of Hong Kong Ltd. (SEHK)</t>
  </si>
  <si>
    <t>Consumer Discretionary (Primary); Consumer Durables and Apparel (Primary); Cotton Yarn (Primary); Fabrics (Primary); Polyester Yarn (Primary); Textile Mill Products (Primary); Textiles (Primary); Textiles, Apparel and Luxury Goods (Primary); Yarns (Primary); Apparel and Textile Distribution; Distributors; Distributors; Durable Goods Distribution; Electric Utilities; Electric Utilities; Retailing; Utilities; Utilities; Water Utilities; Water Utilities</t>
  </si>
  <si>
    <t>G-Resources Group Limited (SEHK:1051)</t>
  </si>
  <si>
    <t>SEHK:1051</t>
  </si>
  <si>
    <t>The Stock Exchange of Hong Kong Ltd. (SEHK)</t>
  </si>
  <si>
    <t>Diversified Financial Services (Primary); Diversified Financials (Primary); Financials (Primary); Other Diversified Financial Services (Primary); Asset Management and Custody Banks; Capital Markets; Investment Banking and Brokerage; Real Estate; Real Estate; Real Estate Management and Development; Real Estate Operating Companies; Real Estate Operators And Lessors; Securities and Commodities Markets Services; Security Brokers; Security Brokers and Dealers; Specialized Finance</t>
  </si>
  <si>
    <t>Screening Aggregates</t>
  </si>
  <si>
    <t>Company Screening Aggregates</t>
  </si>
  <si>
    <t xml:space="preserve"> </t>
  </si>
  <si>
    <t>Total</t>
  </si>
  <si>
    <t>Average</t>
  </si>
  <si>
    <t>Minimum</t>
  </si>
  <si>
    <t>Maximum</t>
  </si>
  <si>
    <t>Standard Deviation</t>
  </si>
  <si>
    <t>Market Cap. Weighted Avg.</t>
  </si>
  <si>
    <t>N/A</t>
  </si>
  <si>
    <t>Screening Criteria</t>
  </si>
  <si>
    <r>
      <t xml:space="preserve">1) </t>
    </r>
    <r>
      <rPr>
        <b/>
        <sz val="8"/>
        <color indexed="8"/>
        <rFont val="Arial"/>
      </rPr>
      <t xml:space="preserve">Exchanges (All Listings): </t>
    </r>
    <r>
      <rPr>
        <sz val="8"/>
        <color indexed="8"/>
        <rFont val="Arial"/>
      </rPr>
      <t>(SEHK) The Stock Exchange of Hong Kong Ltd.</t>
    </r>
  </si>
  <si>
    <r>
      <t xml:space="preserve">2) </t>
    </r>
    <r>
      <rPr>
        <b/>
        <sz val="8"/>
        <color indexed="8"/>
        <rFont val="Arial"/>
      </rPr>
      <t xml:space="preserve">Quick Ratio [Latest Annual]: </t>
    </r>
    <r>
      <rPr>
        <sz val="8"/>
        <color indexed="8"/>
        <rFont val="Arial"/>
      </rPr>
      <t>is greater than 1</t>
    </r>
  </si>
  <si>
    <r>
      <t xml:space="preserve">3) </t>
    </r>
    <r>
      <rPr>
        <b/>
        <sz val="8"/>
        <color indexed="8"/>
        <rFont val="Arial"/>
      </rPr>
      <t xml:space="preserve">Net Debt [Latest Annual] (HKDmm, Historical rate): </t>
    </r>
    <r>
      <rPr>
        <sz val="8"/>
        <color indexed="8"/>
        <rFont val="Arial"/>
      </rPr>
      <t>is less than 0 (Unreported data set to 0)</t>
    </r>
  </si>
  <si>
    <r>
      <t xml:space="preserve">4) </t>
    </r>
    <r>
      <rPr>
        <b/>
        <sz val="8"/>
        <color indexed="8"/>
        <rFont val="Arial"/>
      </rPr>
      <t xml:space="preserve">Market Capitalization [Latest] (HKDmm, Historical rate): </t>
    </r>
    <r>
      <rPr>
        <sz val="8"/>
        <color indexed="8"/>
        <rFont val="Arial"/>
      </rPr>
      <t>is less than 20000</t>
    </r>
  </si>
  <si>
    <r>
      <t xml:space="preserve">5) </t>
    </r>
    <r>
      <rPr>
        <b/>
        <sz val="8"/>
        <color indexed="8"/>
        <rFont val="Arial"/>
      </rPr>
      <t xml:space="preserve">Market Capitalization [Latest] (HKDmm, Historical rate): </t>
    </r>
    <r>
      <rPr>
        <sz val="8"/>
        <color indexed="8"/>
        <rFont val="Arial"/>
      </rPr>
      <t>is greater than 500</t>
    </r>
  </si>
  <si>
    <r>
      <t xml:space="preserve">6) </t>
    </r>
    <r>
      <rPr>
        <b/>
        <sz val="8"/>
        <color indexed="8"/>
        <rFont val="Arial"/>
      </rPr>
      <t xml:space="preserve">Total Liabilities/Total Assets % [Latest Annual]: </t>
    </r>
    <r>
      <rPr>
        <sz val="8"/>
        <color indexed="8"/>
        <rFont val="Arial"/>
      </rPr>
      <t>is less than 40</t>
    </r>
  </si>
  <si>
    <r>
      <t xml:space="preserve">7) </t>
    </r>
    <r>
      <rPr>
        <b/>
        <sz val="8"/>
        <color indexed="8"/>
        <rFont val="Arial"/>
      </rPr>
      <t xml:space="preserve">P/BV [Latest] (x): </t>
    </r>
    <r>
      <rPr>
        <sz val="8"/>
        <color indexed="8"/>
        <rFont val="Arial"/>
      </rPr>
      <t>is less than 2</t>
    </r>
  </si>
  <si>
    <r>
      <t xml:space="preserve">8) </t>
    </r>
    <r>
      <rPr>
        <b/>
        <sz val="8"/>
        <color indexed="8"/>
        <rFont val="Arial"/>
      </rPr>
      <t>Industry Classifications: NOT (</t>
    </r>
    <r>
      <rPr>
        <sz val="8"/>
        <color indexed="8"/>
        <rFont val="Arial"/>
      </rPr>
      <t>Health Care (Primary)</t>
    </r>
    <r>
      <rPr>
        <b/>
        <sz val="8"/>
        <color indexed="8"/>
        <rFont val="Arial"/>
      </rPr>
      <t xml:space="preserve"> OR </t>
    </r>
    <r>
      <rPr>
        <sz val="8"/>
        <color indexed="8"/>
        <rFont val="Arial"/>
      </rPr>
      <t>Information Technology (Primary)</t>
    </r>
    <r>
      <rPr>
        <b/>
        <sz val="8"/>
        <color indexed="8"/>
        <rFont val="Arial"/>
      </rPr>
      <t>)</t>
    </r>
  </si>
  <si>
    <t>'6663.HK','1689.HK','1458.HK','1425.HK','1448.HK','2150.HK','6616.HK','1945.HK','1475.HK','1586.HK','0580.HK','1935.HK','9899.HK','9699.HK',,'6820.HK','8032.HK','0265.HK','1483.HK','1995.HK','9986.HK','2101.HK','2265.HK','1971.HK','6626.HK','6100.HK','1925.HK','1543.HK','9983.HK','6858.HK','1970.HK','0799.HK','6668.HK','0189.HK','0606.HK','0709.HK','0543.HK','3658.HK','1303.HK','1651.HK','8479.HK','2180.HK','1357.HK','2119.HK','6822.HK','0398.HK','0837.HK','0777.HK','2327.HK','6677.HK','6989.HK','1234.HK','0609.HK','2175.HK','9836.HK','0029.HK','0166.HK','6988.HK','1516.HK','1277.HK','1316.HK','1060.HK','3798.HK','1412.HK','1022.HK','9982.HK','0806.HK','1361.HK','2660.HK','1230.HK','6608.HK','1328.HK',,'2218.HK','6896.HK','0697.HK','0721.HK','1301.HK','6913.HK','3319.HK','0336.HK','1836.HK','1837.HK','2801.HK','0018.HK','0687.HK','0195.HK','0255.HK','0411.HK','0639.HK',,'3686.HK','0302.HK','1057.HK','1731.HK','0206.HK','0869.HK','1896.HK','0128.HK','2232.HK','2205.HK','1502.HK','1126.HK','6909.HK','6601.HK','0677.HK','9666.HK','0335.HK','9990.HK','2686.HK','1981.HK','3913.HK','0800.HK','0093.HK','8137.HK','0468.HK','1868.HK','0423.HK','1753.HK','0032.HK','2125.HK','3339.HK','1170.HK','1221.HK','0215.HK','6919.HK','2100.HK','1127.HK','0701.HK','3700.HK','0556.HK','0393.HK','3983.HK','0105.HK','2008.HK','0026.HK','0439.HK','0071.HK','1469.HK','0278.HK','2779.HK','0517.HK','0050.HK','0934.HK','0088.HK','0158.HK','0929.HK','0730.HK','0057.HK','0266.HK','0769.HK','0829.HK','1265.HK','0420.HK','0716.HK','3838.HK','1045.HK','0472.HK','2033.HK','1104.HK','1140.HK','1122.HK','0232.HK','0622.HK','0156.HK','0662.HK','0560.HK','0743.HK','0321.HK','0450.HK','1028.HK','1761.HK','0273.HK','3389.HK','0271.HK','6117.HK','0237.HK','0064.HK','0533.HK','0235.HK','0133.HK','8005.HK','0102.HK','1980.HK','3398.HK','0635.HK','0538.HK','0289.HK','2127.HK','1203.HK','3999.HK','0366.HK','0610.HK','0194.HK','0212.HK','0887.HK','3818.HK','1431.HK','0296.HK','0298.HK','1278.HK','1786.HK','0882.HK','2698.HK','1051.HK'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</si>
</sst>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164" formatCode="_(* #,##0.0_);_(* \(#,##0.0\)_)\ ;_(* 0_)"/>
    <numFmt numFmtId="165" formatCode="_(* #,##0.0#_);_(* \(#,##0.0#\)_)\ ;_(* 0_)"/>
    <numFmt numFmtId="166" formatCode="_(* #,##0.0##_);_(* \(#,##0.0##\)_)\ ;_(* 0_)"/>
    <numFmt numFmtId="167" formatCode="_(\ #,##0.0#_);_(\(\ #,##0.0#\)_);_(\ &quot; - &quot;_)"/>
  </numFmts>
  <fonts count="17" x14ac:knownFonts="1">
    <font>
      <sz val="10"/>
      <name val="Arial"/>
    </font>
    <font>
      <sz val="8"/>
      <name val="Arial"/>
    </font>
    <font>
      <b/>
      <sz val="13"/>
      <color indexed="8"/>
      <name val="Verdana"/>
    </font>
    <font>
      <b/>
      <sz val="12"/>
      <color indexed="8"/>
      <name val="Verdana"/>
    </font>
    <font>
      <b/>
      <sz val="10"/>
      <color indexed="9"/>
      <name val="Arial"/>
    </font>
    <font>
      <b/>
      <u val="singleAccounting"/>
      <sz val="8"/>
      <color indexed="8"/>
      <name val="Verdana"/>
    </font>
    <font>
      <b/>
      <sz val="8"/>
      <color indexed="9"/>
      <name val="Verdana"/>
    </font>
    <font>
      <b/>
      <u val="singleAccounting"/>
      <sz val="8"/>
      <color indexed="8"/>
      <name val="Arial"/>
    </font>
    <font>
      <sz val="8"/>
      <color indexed="8"/>
      <name val="Arial"/>
    </font>
    <font>
      <vertAlign val="superscript"/>
      <sz val="8"/>
      <color indexed="8"/>
      <name val="Arial"/>
    </font>
    <font>
      <vertAlign val="subscript"/>
      <sz val="8"/>
      <color indexed="8"/>
      <name val="Arial"/>
    </font>
    <font>
      <b/>
      <sz val="8"/>
      <color indexed="8"/>
      <name val="Arial"/>
    </font>
    <font>
      <i/>
      <sz val="8"/>
      <color indexed="8"/>
      <name val="Arial"/>
    </font>
    <font>
      <sz val="1"/>
      <color indexed="9"/>
      <name val="Symbol"/>
    </font>
    <font>
      <sz val="10"/>
      <color indexed="8"/>
      <name val="Arial"/>
    </font>
    <font>
      <b/>
      <sz val="8"/>
      <color indexed="8"/>
      <name val="Verdana"/>
    </font>
    <font>
      <b/>
      <sz val="8"/>
      <name val="Arial"/>
    </font>
  </fonts>
  <fills count="6">
    <fill>
      <patternFill patternType="none"/>
    </fill>
    <fill>
      <patternFill patternType="gray125"/>
    </fill>
    <fill>
      <patternFill patternType="solid">
        <fgColor indexed="63"/>
        <bgColor indexed="64"/>
      </patternFill>
    </fill>
    <fill>
      <patternFill patternType="solid">
        <fgColor indexed="62"/>
        <bgColor indexed="64"/>
      </patternFill>
    </fill>
    <fill>
      <patternFill patternType="solid">
        <fgColor indexed="56"/>
        <bgColor indexed="64"/>
      </patternFill>
    </fill>
    <fill>
      <patternFill patternType="solid">
        <fgColor indexed="60"/>
        <bgColor indexed="64"/>
      </patternFill>
    </fill>
  </fills>
  <borders count="1">
    <border>
      <left/>
      <right/>
      <top/>
      <bottom/>
      <diagonal/>
    </border>
  </borders>
  <cellStyleXfs count="16">
    <xf numFmtId="0" fontId="0" fillId="0" borderId="0"/>
    <xf numFmtId="0" fontId="2" fillId="0" borderId="0" applyAlignment="0"/>
    <xf numFmtId="0" fontId="3" fillId="0" borderId="0" applyAlignment="0"/>
    <xf numFmtId="0" fontId="4" fillId="2" borderId="0" applyAlignment="0"/>
    <xf numFmtId="0" fontId="5" fillId="3" borderId="0" applyAlignment="0"/>
    <xf numFmtId="0" fontId="6" fillId="4" borderId="0" applyAlignment="0"/>
    <xf numFmtId="0" fontId="7" fillId="5" borderId="0" applyAlignment="0"/>
    <xf numFmtId="0" fontId="8" fillId="0" borderId="0" applyAlignment="0"/>
    <xf numFmtId="0" fontId="9" fillId="0" borderId="0" applyAlignment="0"/>
    <xf numFmtId="0" fontId="10" fillId="0" borderId="0" applyAlignment="0"/>
    <xf numFmtId="0" fontId="11" fillId="0" borderId="0" applyAlignment="0"/>
    <xf numFmtId="0" fontId="12" fillId="0" borderId="0" applyAlignment="0"/>
    <xf numFmtId="0" fontId="11" fillId="0" borderId="0" applyAlignment="0">
      <alignment wrapText="1"/>
    </xf>
    <xf numFmtId="0" fontId="13" fillId="0" borderId="0" applyAlignment="0"/>
    <xf numFmtId="0" fontId="14" fillId="0" borderId="0" applyAlignment="0"/>
    <xf numFmtId="0" fontId="15" fillId="0" borderId="0" applyAlignment="0"/>
  </cellStyleXfs>
  <cellXfs count="22">
    <xf numFmtId="0" fontId="1" fillId="0" borderId="0" xfId="0" applyFont="1"/>
    <xf numFmtId="0" fontId="2" fillId="0" borderId="0" xfId="0" applyFont="1"/>
    <xf numFmtId="0" fontId="8" fillId="0" borderId="0" xfId="7" applyAlignment="1">
      <alignment horizontal="left" vertical="top" wrapText="1"/>
    </xf>
    <xf numFmtId="0" fontId="7" fillId="5" borderId="0" xfId="6" applyAlignment="1">
      <alignment horizontal="left" wrapText="1"/>
    </xf>
    <xf numFmtId="49" fontId="16" fillId="0" borderId="0" xfId="0" applyNumberFormat="1" applyFont="1" applyAlignment="1">
      <alignment horizontal="left" vertical="top" wrapText="1"/>
    </xf>
    <xf numFmtId="49" fontId="1" fillId="0" borderId="0" xfId="0" applyNumberFormat="1" applyFont="1" applyAlignment="1">
      <alignment horizontal="left" vertical="top" wrapText="1"/>
    </xf>
    <xf numFmtId="0" fontId="1" fillId="0" borderId="0" xfId="0" applyFont="1" applyAlignment="1">
      <alignment vertical="top" wrapText="1"/>
    </xf>
    <xf numFmtId="165" fontId="1" fillId="0" borderId="0" xfId="0" applyNumberFormat="1" applyFont="1" applyAlignment="1">
      <alignment horizontal="right" vertical="top" wrapText="1"/>
    </xf>
    <xf numFmtId="164" fontId="1" fillId="0" borderId="0" xfId="0" applyNumberFormat="1" applyFont="1" applyAlignment="1">
      <alignment horizontal="right" vertical="top" wrapText="1"/>
    </xf>
    <xf numFmtId="0" fontId="7" fillId="5" borderId="0" xfId="6" applyAlignment="1">
      <alignment horizontal="right" wrapText="1"/>
    </xf>
    <xf numFmtId="166" fontId="1" fillId="0" borderId="0" xfId="0" applyNumberFormat="1" applyFont="1" applyAlignment="1">
      <alignment horizontal="right" vertical="top" wrapText="1"/>
    </xf>
    <xf numFmtId="0" fontId="1" fillId="0" borderId="0" xfId="0" applyFont="1" applyAlignment="1">
      <alignment horizontal="left" vertical="top" wrapText="1"/>
    </xf>
    <xf numFmtId="1" fontId="1" fillId="0" borderId="0" xfId="0" applyNumberFormat="1" applyFont="1" applyAlignment="1">
      <alignment horizontal="left" vertical="top" wrapText="1"/>
    </xf>
    <xf numFmtId="49" fontId="6" fillId="4" borderId="0" xfId="0" applyNumberFormat="1" applyFont="1" applyFill="1" applyAlignment="1">
      <alignment horizontal="left"/>
    </xf>
    <xf numFmtId="0" fontId="6" fillId="4" borderId="0" xfId="0" applyFont="1" applyFill="1" applyAlignment="1">
      <alignment horizontal="left"/>
    </xf>
    <xf numFmtId="0" fontId="7" fillId="5" borderId="0" xfId="0" applyFont="1" applyFill="1" applyAlignment="1">
      <alignment horizontal="center" wrapText="1"/>
    </xf>
    <xf numFmtId="0" fontId="11" fillId="0" borderId="0" xfId="0" applyFont="1"/>
    <xf numFmtId="167" fontId="8" fillId="0" borderId="0" xfId="0" applyNumberFormat="1" applyFont="1" applyAlignment="1">
      <alignment horizontal="right"/>
    </xf>
    <xf numFmtId="0" fontId="8" fillId="0" borderId="0" xfId="0" applyFont="1" applyAlignment="1">
      <alignment horizontal="right"/>
    </xf>
    <xf numFmtId="0" fontId="7" fillId="5" borderId="0" xfId="0" applyFont="1" applyFill="1"/>
    <xf numFmtId="49" fontId="8" fillId="0" borderId="0" xfId="0" applyNumberFormat="1" applyFont="1" applyAlignment="1">
      <alignment vertical="top"/>
    </xf>
    <xf numFmtId="0" fontId="13" fillId="0" borderId="0" xfId="13" applyAlignment="1"/>
  </cellXfs>
  <cellStyles count="16">
    <cellStyle name="ChartingText" xfId="14" xr:uid="{00000000-0005-0000-0000-000000000000}"/>
    <cellStyle name="CHPTop" xfId="15" xr:uid="{00000000-0005-0000-0000-000001000000}"/>
    <cellStyle name="ColumnHeaderNormal" xfId="6" xr:uid="{00000000-0005-0000-0000-000002000000}"/>
    <cellStyle name="Invisible" xfId="13" xr:uid="{00000000-0005-0000-0000-000003000000}"/>
    <cellStyle name="NewColumnHeaderNormal" xfId="4" xr:uid="{00000000-0005-0000-0000-000004000000}"/>
    <cellStyle name="NewSectionHeaderNormal" xfId="3" xr:uid="{00000000-0005-0000-0000-000005000000}"/>
    <cellStyle name="NewTitleNormal" xfId="2" xr:uid="{00000000-0005-0000-0000-000006000000}"/>
    <cellStyle name="Normal" xfId="0" builtinId="0"/>
    <cellStyle name="SectionHeaderNormal" xfId="5" xr:uid="{00000000-0005-0000-0000-000008000000}"/>
    <cellStyle name="SubScript" xfId="9" xr:uid="{00000000-0005-0000-0000-000009000000}"/>
    <cellStyle name="SuperScript" xfId="8" xr:uid="{00000000-0005-0000-0000-00000A000000}"/>
    <cellStyle name="TextBold" xfId="10" xr:uid="{00000000-0005-0000-0000-00000B000000}"/>
    <cellStyle name="TextItalic" xfId="11" xr:uid="{00000000-0005-0000-0000-00000C000000}"/>
    <cellStyle name="TextNormal" xfId="7" xr:uid="{00000000-0005-0000-0000-00000D000000}"/>
    <cellStyle name="TitleNormal" xfId="1" xr:uid="{00000000-0005-0000-0000-00000E000000}"/>
    <cellStyle name="Total" xfId="12" builtinId="25" customBuiltin="1"/>
  </cellStyles>
  <dxfs count="0"/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FA4040"/>
      <rgbColor rgb="00FFFFEB"/>
      <rgbColor rgb="00EEEEEE"/>
      <rgbColor rgb="00F0F0DC"/>
      <rgbColor rgb="00993366"/>
      <rgbColor rgb="00F5F5E1"/>
      <rgbColor rgb="00004080"/>
    </indexed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0</xdr:col>
      <xdr:colOff>635000</xdr:colOff>
      <xdr:row>2</xdr:row>
      <xdr:rowOff>57150</xdr:rowOff>
    </xdr:to>
    <xdr:pic>
      <xdr:nvPicPr>
        <xdr:cNvPr id="1026" name="Picture 2">
          <a:extLst>
            <a:ext uri="{FF2B5EF4-FFF2-40B4-BE49-F238E27FC236}">
              <a16:creationId xmlns:a16="http://schemas.microsoft.com/office/drawing/2014/main" id="{7BA1F153-776B-8C45-3D92-4555415EA9FF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0"/>
          <a:ext cx="635000" cy="3111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0</xdr:col>
      <xdr:colOff>641350</xdr:colOff>
      <xdr:row>2</xdr:row>
      <xdr:rowOff>57150</xdr:rowOff>
    </xdr:to>
    <xdr:pic>
      <xdr:nvPicPr>
        <xdr:cNvPr id="3074" name="Picture 2">
          <a:extLst>
            <a:ext uri="{FF2B5EF4-FFF2-40B4-BE49-F238E27FC236}">
              <a16:creationId xmlns:a16="http://schemas.microsoft.com/office/drawing/2014/main" id="{0095372F-E83C-F8B9-7B1F-F7BCD5515B38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0"/>
          <a:ext cx="641350" cy="3111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0</xdr:col>
      <xdr:colOff>641350</xdr:colOff>
      <xdr:row>2</xdr:row>
      <xdr:rowOff>57150</xdr:rowOff>
    </xdr:to>
    <xdr:pic>
      <xdr:nvPicPr>
        <xdr:cNvPr id="5122" name="Picture 2">
          <a:extLst>
            <a:ext uri="{FF2B5EF4-FFF2-40B4-BE49-F238E27FC236}">
              <a16:creationId xmlns:a16="http://schemas.microsoft.com/office/drawing/2014/main" id="{59620209-6085-3CDD-E072-BFC1B7B54A68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0"/>
          <a:ext cx="641350" cy="3111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410000" mc:Ignorable="a14" a14:legacySpreadsheetColorIndex="65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a:spPr>
      <a:bodyPr wrap="none" lIns="18288" tIns="0" rIns="0" bIns="0" upright="1">
        <a:spAutoFit/>
      </a:bodyPr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410000" mc:Ignorable="a14" a14:legacySpreadsheetColorIndex="65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a:spPr>
      <a:bodyPr wrap="none" lIns="18288" tIns="0" rIns="0" bIns="0" upright="1">
        <a:spAutoFit/>
      </a:bodyPr>
      <a:lstStyle/>
    </a:lnDef>
  </a:objectDefaults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 filterMode="1">
    <outlinePr summaryBelow="0" summaryRight="0"/>
    <pageSetUpPr autoPageBreaks="0"/>
  </sheetPr>
  <dimension ref="A6:M217"/>
  <sheetViews>
    <sheetView tabSelected="1" topLeftCell="A211" zoomScaleNormal="100" workbookViewId="0">
      <selection activeCell="E217" sqref="E217"/>
    </sheetView>
  </sheetViews>
  <sheetFormatPr defaultRowHeight="10" x14ac:dyDescent="0.2"/>
  <cols>
    <col min="1" max="1" width="25.81640625" customWidth="1"/>
    <col min="2" max="5" width="15.81640625" customWidth="1"/>
    <col min="6" max="7" width="40.81640625" customWidth="1"/>
    <col min="8" max="12" width="25.81640625" customWidth="1"/>
    <col min="13" max="13" width="40.81640625" customWidth="1"/>
  </cols>
  <sheetData>
    <row r="6" spans="1:13" ht="16.5" customHeight="1" x14ac:dyDescent="0.35">
      <c r="A6" s="1" t="s">
        <v>0</v>
      </c>
    </row>
    <row r="8" spans="1:13" ht="79.25" customHeight="1" x14ac:dyDescent="0.55000000000000004">
      <c r="A8" s="3" t="s">
        <v>1</v>
      </c>
      <c r="B8" s="3" t="s">
        <v>2</v>
      </c>
      <c r="C8" s="3"/>
      <c r="D8" s="3"/>
      <c r="E8" s="3"/>
      <c r="F8" s="3" t="s">
        <v>3</v>
      </c>
      <c r="G8" s="3" t="s">
        <v>4</v>
      </c>
      <c r="H8" s="9" t="s">
        <v>5</v>
      </c>
      <c r="I8" s="9" t="s">
        <v>6</v>
      </c>
      <c r="J8" s="9" t="s">
        <v>7</v>
      </c>
      <c r="K8" s="9" t="s">
        <v>8</v>
      </c>
      <c r="L8" s="9" t="s">
        <v>9</v>
      </c>
      <c r="M8" s="3" t="s">
        <v>10</v>
      </c>
    </row>
    <row r="9" spans="1:13" ht="150" x14ac:dyDescent="0.2">
      <c r="A9" s="2" t="s">
        <v>11</v>
      </c>
      <c r="B9" s="2" t="s">
        <v>12</v>
      </c>
      <c r="C9" s="2" t="str">
        <f>RIGHT(B9,SUM(LEN(B9)-LEN(SUBSTITUTE(B9,{"0","1","2","3","4","5","6","7","8","9"},""))))</f>
        <v>6663</v>
      </c>
      <c r="D9" s="2" t="str">
        <f>IF(LEN(C9)=4,C9,IF(LEN(C9)&lt;4,REPT("0",4-LEN(C9))&amp;C9))</f>
        <v>6663</v>
      </c>
      <c r="E9" s="2" t="str">
        <f>"'"&amp;D9&amp;".HK"&amp;"'"</f>
        <v>'6663.HK'</v>
      </c>
      <c r="F9" s="4" t="s">
        <v>13</v>
      </c>
      <c r="G9" s="6" t="s">
        <v>14</v>
      </c>
      <c r="H9" s="7">
        <v>4.66</v>
      </c>
      <c r="I9" s="8">
        <v>-114.7</v>
      </c>
      <c r="J9" s="8">
        <v>512</v>
      </c>
      <c r="K9" s="8">
        <v>20.5</v>
      </c>
      <c r="L9" s="7">
        <v>1.99</v>
      </c>
      <c r="M9" s="11" t="s">
        <v>15</v>
      </c>
    </row>
    <row r="10" spans="1:13" ht="110" x14ac:dyDescent="0.2">
      <c r="A10" s="2" t="s">
        <v>16</v>
      </c>
      <c r="B10" s="2" t="s">
        <v>17</v>
      </c>
      <c r="C10" s="2" t="str">
        <f>RIGHT(B10,SUM(LEN(B10)-LEN(SUBSTITUTE(B10,{"0","1","2","3","4","5","6","7","8","9"},""))))</f>
        <v>1689</v>
      </c>
      <c r="D10" s="2" t="str">
        <f t="shared" ref="D10:D22" si="0">IF(LEN(C10)=4,C10,IF(LEN(C10)&lt;4,REPT("0",4-LEN(C10))&amp;C10))</f>
        <v>1689</v>
      </c>
      <c r="E10" s="2" t="str">
        <f t="shared" ref="E10:E22" si="1">"'"&amp;D10&amp;".HK"&amp;"'"</f>
        <v>'1689.HK'</v>
      </c>
      <c r="F10" s="4" t="s">
        <v>18</v>
      </c>
      <c r="G10" s="6" t="s">
        <v>14</v>
      </c>
      <c r="H10" s="7">
        <v>2.19</v>
      </c>
      <c r="I10" s="8">
        <v>-134.19999999999999</v>
      </c>
      <c r="J10" s="8">
        <v>848.7</v>
      </c>
      <c r="K10" s="8">
        <v>38.5</v>
      </c>
      <c r="L10" s="7">
        <v>1.97</v>
      </c>
      <c r="M10" s="11" t="s">
        <v>19</v>
      </c>
    </row>
    <row r="11" spans="1:13" ht="140" x14ac:dyDescent="0.2">
      <c r="A11" s="2" t="s">
        <v>20</v>
      </c>
      <c r="B11" s="2" t="s">
        <v>21</v>
      </c>
      <c r="C11" s="2" t="str">
        <f>RIGHT(B11,SUM(LEN(B11)-LEN(SUBSTITUTE(B11,{"0","1","2","3","4","5","6","7","8","9"},""))))</f>
        <v>1458</v>
      </c>
      <c r="D11" s="2" t="str">
        <f t="shared" si="0"/>
        <v>1458</v>
      </c>
      <c r="E11" s="2" t="str">
        <f t="shared" si="1"/>
        <v>'1458.HK'</v>
      </c>
      <c r="F11" s="4" t="s">
        <v>22</v>
      </c>
      <c r="G11" s="6" t="s">
        <v>14</v>
      </c>
      <c r="H11" s="7">
        <v>3.84</v>
      </c>
      <c r="I11" s="8">
        <v>-1917.5</v>
      </c>
      <c r="J11" s="8">
        <v>8887.4</v>
      </c>
      <c r="K11" s="8">
        <v>36.6</v>
      </c>
      <c r="L11" s="7">
        <v>1.87</v>
      </c>
      <c r="M11" s="11" t="s">
        <v>23</v>
      </c>
    </row>
    <row r="12" spans="1:13" ht="60" x14ac:dyDescent="0.2">
      <c r="A12" s="2" t="s">
        <v>24</v>
      </c>
      <c r="B12" s="2" t="s">
        <v>25</v>
      </c>
      <c r="C12" s="2" t="str">
        <f>RIGHT(B12,SUM(LEN(B12)-LEN(SUBSTITUTE(B12,{"0","1","2","3","4","5","6","7","8","9"},""))))</f>
        <v>1425</v>
      </c>
      <c r="D12" s="2" t="str">
        <f t="shared" si="0"/>
        <v>1425</v>
      </c>
      <c r="E12" s="2" t="str">
        <f t="shared" si="1"/>
        <v>'1425.HK'</v>
      </c>
      <c r="F12" s="4" t="s">
        <v>26</v>
      </c>
      <c r="G12" s="6" t="s">
        <v>14</v>
      </c>
      <c r="H12" s="7">
        <v>1.54</v>
      </c>
      <c r="I12" s="8">
        <v>-189.1</v>
      </c>
      <c r="J12" s="8">
        <v>825</v>
      </c>
      <c r="K12" s="8">
        <v>30.2</v>
      </c>
      <c r="L12" s="7">
        <v>1.85</v>
      </c>
      <c r="M12" s="11" t="s">
        <v>27</v>
      </c>
    </row>
    <row r="13" spans="1:13" ht="130" x14ac:dyDescent="0.2">
      <c r="A13" s="2" t="s">
        <v>28</v>
      </c>
      <c r="B13" s="2" t="s">
        <v>29</v>
      </c>
      <c r="C13" s="2" t="str">
        <f>RIGHT(B13,SUM(LEN(B13)-LEN(SUBSTITUTE(B13,{"0","1","2","3","4","5","6","7","8","9"},""))))</f>
        <v>1448</v>
      </c>
      <c r="D13" s="2" t="str">
        <f t="shared" si="0"/>
        <v>1448</v>
      </c>
      <c r="E13" s="2" t="str">
        <f t="shared" si="1"/>
        <v>'1448.HK'</v>
      </c>
      <c r="F13" s="4" t="s">
        <v>30</v>
      </c>
      <c r="G13" s="6" t="s">
        <v>14</v>
      </c>
      <c r="H13" s="7">
        <v>2.2799999999999998</v>
      </c>
      <c r="I13" s="8">
        <v>-2747.9</v>
      </c>
      <c r="J13" s="8">
        <v>11244.2</v>
      </c>
      <c r="K13" s="8">
        <v>23.4</v>
      </c>
      <c r="L13" s="7">
        <v>1.85</v>
      </c>
      <c r="M13" s="11" t="s">
        <v>31</v>
      </c>
    </row>
    <row r="14" spans="1:13" ht="40" x14ac:dyDescent="0.2">
      <c r="A14" s="2" t="s">
        <v>32</v>
      </c>
      <c r="B14" s="2" t="s">
        <v>33</v>
      </c>
      <c r="C14" s="2" t="str">
        <f>RIGHT(B14,SUM(LEN(B14)-LEN(SUBSTITUTE(B14,{"0","1","2","3","4","5","6","7","8","9"},""))))</f>
        <v>2150</v>
      </c>
      <c r="D14" s="2" t="str">
        <f t="shared" si="0"/>
        <v>2150</v>
      </c>
      <c r="E14" s="2" t="str">
        <f t="shared" si="1"/>
        <v>'2150.HK'</v>
      </c>
      <c r="F14" s="4" t="s">
        <v>34</v>
      </c>
      <c r="G14" s="6" t="s">
        <v>14</v>
      </c>
      <c r="H14" s="7">
        <v>3.22</v>
      </c>
      <c r="I14" s="8">
        <v>-3247.4</v>
      </c>
      <c r="J14" s="8">
        <v>10513.7</v>
      </c>
      <c r="K14" s="8">
        <v>32.5</v>
      </c>
      <c r="L14" s="7">
        <v>1.82</v>
      </c>
      <c r="M14" s="5" t="s">
        <v>35</v>
      </c>
    </row>
    <row r="15" spans="1:13" ht="30" x14ac:dyDescent="0.2">
      <c r="A15" s="2" t="s">
        <v>36</v>
      </c>
      <c r="B15" s="2" t="s">
        <v>37</v>
      </c>
      <c r="C15" s="2" t="str">
        <f>RIGHT(B15,SUM(LEN(B15)-LEN(SUBSTITUTE(B15,{"0","1","2","3","4","5","6","7","8","9"},""))))</f>
        <v>6616</v>
      </c>
      <c r="D15" s="2" t="str">
        <f t="shared" si="0"/>
        <v>6616</v>
      </c>
      <c r="E15" s="2" t="str">
        <f t="shared" si="1"/>
        <v>'6616.HK'</v>
      </c>
      <c r="F15" s="4" t="s">
        <v>38</v>
      </c>
      <c r="G15" s="6" t="s">
        <v>14</v>
      </c>
      <c r="H15" s="7">
        <v>7.08</v>
      </c>
      <c r="I15" s="8">
        <v>-1726.5</v>
      </c>
      <c r="J15" s="8">
        <v>4814.7</v>
      </c>
      <c r="K15" s="8">
        <v>10</v>
      </c>
      <c r="L15" s="7">
        <v>1.82</v>
      </c>
      <c r="M15" s="5" t="s">
        <v>39</v>
      </c>
    </row>
    <row r="16" spans="1:13" ht="170" x14ac:dyDescent="0.2">
      <c r="A16" s="2" t="s">
        <v>40</v>
      </c>
      <c r="B16" s="2" t="s">
        <v>41</v>
      </c>
      <c r="C16" s="2" t="str">
        <f>RIGHT(B16,SUM(LEN(B16)-LEN(SUBSTITUTE(B16,{"0","1","2","3","4","5","6","7","8","9"},""))))</f>
        <v>1945</v>
      </c>
      <c r="D16" s="2" t="str">
        <f t="shared" si="0"/>
        <v>1945</v>
      </c>
      <c r="E16" s="2" t="str">
        <f t="shared" si="1"/>
        <v>'1945.HK'</v>
      </c>
      <c r="F16" s="4" t="s">
        <v>42</v>
      </c>
      <c r="G16" s="6" t="s">
        <v>14</v>
      </c>
      <c r="H16" s="7">
        <v>4.9000000000000004</v>
      </c>
      <c r="I16" s="8">
        <v>-658.4</v>
      </c>
      <c r="J16" s="8">
        <v>1033.5999999999999</v>
      </c>
      <c r="K16" s="8">
        <v>20.9</v>
      </c>
      <c r="L16" s="7">
        <v>1.76</v>
      </c>
      <c r="M16" s="11" t="s">
        <v>43</v>
      </c>
    </row>
    <row r="17" spans="1:13" ht="130" x14ac:dyDescent="0.2">
      <c r="A17" s="2" t="s">
        <v>44</v>
      </c>
      <c r="B17" s="2" t="s">
        <v>45</v>
      </c>
      <c r="C17" s="2" t="str">
        <f>RIGHT(B17,SUM(LEN(B17)-LEN(SUBSTITUTE(B17,{"0","1","2","3","4","5","6","7","8","9"},""))))</f>
        <v>1475</v>
      </c>
      <c r="D17" s="2" t="str">
        <f t="shared" si="0"/>
        <v>1475</v>
      </c>
      <c r="E17" s="2" t="str">
        <f t="shared" si="1"/>
        <v>'1475.HK'</v>
      </c>
      <c r="F17" s="4" t="s">
        <v>46</v>
      </c>
      <c r="G17" s="6" t="s">
        <v>14</v>
      </c>
      <c r="H17" s="7">
        <v>2.44</v>
      </c>
      <c r="I17" s="8">
        <v>-2033.5</v>
      </c>
      <c r="J17" s="8">
        <v>6689.7</v>
      </c>
      <c r="K17" s="8">
        <v>21.7</v>
      </c>
      <c r="L17" s="7">
        <v>1.75</v>
      </c>
      <c r="M17" s="11" t="s">
        <v>47</v>
      </c>
    </row>
    <row r="18" spans="1:13" ht="180" x14ac:dyDescent="0.2">
      <c r="A18" s="2" t="s">
        <v>48</v>
      </c>
      <c r="B18" s="2" t="s">
        <v>49</v>
      </c>
      <c r="C18" s="2" t="str">
        <f>RIGHT(B18,SUM(LEN(B18)-LEN(SUBSTITUTE(B18,{"0","1","2","3","4","5","6","7","8","9"},""))))</f>
        <v>1586</v>
      </c>
      <c r="D18" s="2" t="str">
        <f t="shared" si="0"/>
        <v>1586</v>
      </c>
      <c r="E18" s="2" t="str">
        <f t="shared" si="1"/>
        <v>'1586.HK'</v>
      </c>
      <c r="F18" s="4" t="s">
        <v>50</v>
      </c>
      <c r="G18" s="6" t="s">
        <v>14</v>
      </c>
      <c r="H18" s="7">
        <v>1.44</v>
      </c>
      <c r="I18" s="8">
        <v>-24.4</v>
      </c>
      <c r="J18" s="8">
        <v>644</v>
      </c>
      <c r="K18" s="8">
        <v>36</v>
      </c>
      <c r="L18" s="7">
        <v>1.7</v>
      </c>
      <c r="M18" s="11" t="s">
        <v>51</v>
      </c>
    </row>
    <row r="19" spans="1:13" ht="130" x14ac:dyDescent="0.2">
      <c r="A19" s="2" t="s">
        <v>52</v>
      </c>
      <c r="B19" s="2" t="s">
        <v>53</v>
      </c>
      <c r="C19" s="2" t="str">
        <f>RIGHT(B19,SUM(LEN(B19)-LEN(SUBSTITUTE(B19,{"0","1","2","3","4","5","6","7","8","9"},""))))</f>
        <v>580</v>
      </c>
      <c r="D19" s="2" t="str">
        <f t="shared" si="0"/>
        <v>0580</v>
      </c>
      <c r="E19" s="2" t="str">
        <f t="shared" si="1"/>
        <v>'0580.HK'</v>
      </c>
      <c r="F19" s="4" t="s">
        <v>54</v>
      </c>
      <c r="G19" s="6" t="s">
        <v>14</v>
      </c>
      <c r="H19" s="7">
        <v>3.54</v>
      </c>
      <c r="I19" s="8">
        <v>-615.9</v>
      </c>
      <c r="J19" s="8">
        <v>3235.2</v>
      </c>
      <c r="K19" s="8">
        <v>24.3</v>
      </c>
      <c r="L19" s="7">
        <v>1.66</v>
      </c>
      <c r="M19" s="11" t="s">
        <v>55</v>
      </c>
    </row>
    <row r="20" spans="1:13" ht="80" x14ac:dyDescent="0.2">
      <c r="A20" s="2" t="s">
        <v>56</v>
      </c>
      <c r="B20" s="2" t="s">
        <v>57</v>
      </c>
      <c r="C20" s="2" t="str">
        <f>RIGHT(B20,SUM(LEN(B20)-LEN(SUBSTITUTE(B20,{"0","1","2","3","4","5","6","7","8","9"},""))))</f>
        <v>1935</v>
      </c>
      <c r="D20" s="2" t="str">
        <f t="shared" si="0"/>
        <v>1935</v>
      </c>
      <c r="E20" s="2" t="str">
        <f t="shared" si="1"/>
        <v>'1935.HK'</v>
      </c>
      <c r="F20" s="4" t="s">
        <v>58</v>
      </c>
      <c r="G20" s="6" t="s">
        <v>14</v>
      </c>
      <c r="H20" s="7">
        <v>2.31</v>
      </c>
      <c r="I20" s="8">
        <v>-1569.5</v>
      </c>
      <c r="J20" s="8">
        <v>3633.9</v>
      </c>
      <c r="K20" s="8">
        <v>19.2</v>
      </c>
      <c r="L20" s="7">
        <v>1.63</v>
      </c>
      <c r="M20" s="11" t="s">
        <v>59</v>
      </c>
    </row>
    <row r="21" spans="1:13" ht="100" x14ac:dyDescent="0.2">
      <c r="A21" s="2" t="s">
        <v>60</v>
      </c>
      <c r="B21" s="2" t="s">
        <v>61</v>
      </c>
      <c r="C21" s="2" t="str">
        <f>RIGHT(B21,SUM(LEN(B21)-LEN(SUBSTITUTE(B21,{"0","1","2","3","4","5","6","7","8","9"},""))))</f>
        <v>9899</v>
      </c>
      <c r="D21" s="2" t="str">
        <f t="shared" si="0"/>
        <v>9899</v>
      </c>
      <c r="E21" s="2" t="str">
        <f t="shared" si="1"/>
        <v>'9899.HK'</v>
      </c>
      <c r="F21" s="4" t="s">
        <v>62</v>
      </c>
      <c r="G21" s="6" t="s">
        <v>14</v>
      </c>
      <c r="H21" s="7">
        <v>3.88</v>
      </c>
      <c r="I21" s="8">
        <v>-8115.5</v>
      </c>
      <c r="J21" s="8">
        <v>17260.099999999999</v>
      </c>
      <c r="K21" s="8">
        <v>21.4</v>
      </c>
      <c r="L21" s="7">
        <v>1.62</v>
      </c>
      <c r="M21" s="11" t="s">
        <v>63</v>
      </c>
    </row>
    <row r="22" spans="1:13" ht="90" x14ac:dyDescent="0.2">
      <c r="A22" s="2" t="s">
        <v>64</v>
      </c>
      <c r="B22" s="2" t="s">
        <v>65</v>
      </c>
      <c r="C22" s="2" t="str">
        <f>RIGHT(B22,SUM(LEN(B22)-LEN(SUBSTITUTE(B22,{"0","1","2","3","4","5","6","7","8","9"},""))))</f>
        <v>9699</v>
      </c>
      <c r="D22" s="2" t="str">
        <f t="shared" si="0"/>
        <v>9699</v>
      </c>
      <c r="E22" s="2" t="str">
        <f t="shared" si="1"/>
        <v>'9699.HK'</v>
      </c>
      <c r="F22" s="4" t="s">
        <v>66</v>
      </c>
      <c r="G22" s="6" t="s">
        <v>14</v>
      </c>
      <c r="H22" s="7">
        <v>4.2699999999999996</v>
      </c>
      <c r="I22" s="8">
        <v>-3475.2</v>
      </c>
      <c r="J22" s="8">
        <v>6114.1</v>
      </c>
      <c r="K22" s="8">
        <v>21.4</v>
      </c>
      <c r="L22" s="7">
        <v>1.61</v>
      </c>
      <c r="M22" s="11" t="s">
        <v>67</v>
      </c>
    </row>
    <row r="23" spans="1:13" ht="190" hidden="1" x14ac:dyDescent="0.2">
      <c r="A23" s="2" t="s">
        <v>68</v>
      </c>
      <c r="B23" s="2" t="s">
        <v>69</v>
      </c>
      <c r="C23" s="2" t="str">
        <f>RIGHT(B23,SUM(LEN(B23)-LEN(SUBSTITUTE(B23,{"0","1","2","3","4","5","6","7","8","9"},""))))</f>
        <v/>
      </c>
      <c r="D23" s="2"/>
      <c r="E23" s="2"/>
      <c r="F23" s="5" t="s">
        <v>14</v>
      </c>
      <c r="G23" s="6" t="s">
        <v>70</v>
      </c>
      <c r="H23" s="7">
        <v>1.81</v>
      </c>
      <c r="I23" s="8">
        <v>-6018.4</v>
      </c>
      <c r="J23" s="8">
        <v>13675.2</v>
      </c>
      <c r="K23" s="8">
        <v>37.700000000000003</v>
      </c>
      <c r="L23" s="7">
        <v>1.59</v>
      </c>
      <c r="M23" s="11" t="s">
        <v>71</v>
      </c>
    </row>
    <row r="24" spans="1:13" ht="90" x14ac:dyDescent="0.2">
      <c r="A24" s="2" t="s">
        <v>72</v>
      </c>
      <c r="B24" s="2" t="s">
        <v>73</v>
      </c>
      <c r="C24" s="2" t="str">
        <f>RIGHT(B24,SUM(LEN(B24)-LEN(SUBSTITUTE(B24,{"0","1","2","3","4","5","6","7","8","9"},""))))</f>
        <v>6820</v>
      </c>
      <c r="D24" s="2" t="str">
        <f t="shared" ref="D24:D87" si="2">IF(LEN(C24)=4,C24,IF(LEN(C24)&lt;4,REPT("0",4-LEN(C24))&amp;C24))</f>
        <v>6820</v>
      </c>
      <c r="E24" s="2" t="str">
        <f t="shared" ref="E24:E80" si="3">"'"&amp;D24&amp;".HK"&amp;"'"</f>
        <v>'6820.HK'</v>
      </c>
      <c r="F24" s="4" t="s">
        <v>74</v>
      </c>
      <c r="G24" s="6" t="s">
        <v>14</v>
      </c>
      <c r="H24" s="7">
        <v>8.1</v>
      </c>
      <c r="I24" s="8">
        <v>-1317.9</v>
      </c>
      <c r="J24" s="8">
        <v>2573.4</v>
      </c>
      <c r="K24" s="7">
        <v>8.8699999999999992</v>
      </c>
      <c r="L24" s="7">
        <v>1.56</v>
      </c>
      <c r="M24" s="11" t="s">
        <v>75</v>
      </c>
    </row>
    <row r="25" spans="1:13" ht="150" x14ac:dyDescent="0.2">
      <c r="A25" s="2" t="s">
        <v>76</v>
      </c>
      <c r="B25" s="2" t="s">
        <v>77</v>
      </c>
      <c r="C25" s="2" t="str">
        <f>RIGHT(B25,SUM(LEN(B25)-LEN(SUBSTITUTE(B25,{"0","1","2","3","4","5","6","7","8","9"},""))))</f>
        <v>8032</v>
      </c>
      <c r="D25" s="2" t="str">
        <f t="shared" si="2"/>
        <v>8032</v>
      </c>
      <c r="E25" s="2" t="str">
        <f t="shared" si="3"/>
        <v>'8032.HK'</v>
      </c>
      <c r="F25" s="4" t="s">
        <v>78</v>
      </c>
      <c r="G25" s="6" t="s">
        <v>14</v>
      </c>
      <c r="H25" s="7">
        <v>3.59</v>
      </c>
      <c r="I25" s="8">
        <v>-2634.8</v>
      </c>
      <c r="J25" s="8">
        <v>11798.3</v>
      </c>
      <c r="K25" s="8">
        <v>14.9</v>
      </c>
      <c r="L25" s="7">
        <v>1.55</v>
      </c>
      <c r="M25" s="11" t="s">
        <v>79</v>
      </c>
    </row>
    <row r="26" spans="1:13" ht="140" x14ac:dyDescent="0.2">
      <c r="A26" s="2" t="s">
        <v>80</v>
      </c>
      <c r="B26" s="2" t="s">
        <v>81</v>
      </c>
      <c r="C26" s="2" t="str">
        <f>RIGHT(B26,SUM(LEN(B26)-LEN(SUBSTITUTE(B26,{"0","1","2","3","4","5","6","7","8","9"},""))))</f>
        <v>265</v>
      </c>
      <c r="D26" s="2" t="str">
        <f t="shared" si="2"/>
        <v>0265</v>
      </c>
      <c r="E26" s="2" t="str">
        <f t="shared" si="3"/>
        <v>'0265.HK'</v>
      </c>
      <c r="F26" s="4" t="s">
        <v>82</v>
      </c>
      <c r="G26" s="6" t="s">
        <v>14</v>
      </c>
      <c r="H26" s="7">
        <v>2.19</v>
      </c>
      <c r="I26" s="8">
        <v>-187.7</v>
      </c>
      <c r="J26" s="8">
        <v>749.5</v>
      </c>
      <c r="K26" s="8">
        <v>27.6</v>
      </c>
      <c r="L26" s="7">
        <v>1.5</v>
      </c>
      <c r="M26" s="11" t="s">
        <v>83</v>
      </c>
    </row>
    <row r="27" spans="1:13" ht="110" x14ac:dyDescent="0.2">
      <c r="A27" s="2" t="s">
        <v>84</v>
      </c>
      <c r="B27" s="2" t="s">
        <v>85</v>
      </c>
      <c r="C27" s="2" t="str">
        <f>RIGHT(B27,SUM(LEN(B27)-LEN(SUBSTITUTE(B27,{"0","1","2","3","4","5","6","7","8","9"},""))))</f>
        <v>1483</v>
      </c>
      <c r="D27" s="2" t="str">
        <f t="shared" si="2"/>
        <v>1483</v>
      </c>
      <c r="E27" s="2" t="str">
        <f t="shared" si="3"/>
        <v>'1483.HK'</v>
      </c>
      <c r="F27" s="4" t="s">
        <v>86</v>
      </c>
      <c r="G27" s="6" t="s">
        <v>14</v>
      </c>
      <c r="H27" s="7">
        <v>3.29</v>
      </c>
      <c r="I27" s="8">
        <v>-329.3</v>
      </c>
      <c r="J27" s="8">
        <v>803</v>
      </c>
      <c r="K27" s="8">
        <v>22.7</v>
      </c>
      <c r="L27" s="7">
        <v>1.5</v>
      </c>
      <c r="M27" s="11" t="s">
        <v>87</v>
      </c>
    </row>
    <row r="28" spans="1:13" ht="140" x14ac:dyDescent="0.2">
      <c r="A28" s="2" t="s">
        <v>88</v>
      </c>
      <c r="B28" s="2" t="s">
        <v>89</v>
      </c>
      <c r="C28" s="2" t="str">
        <f>RIGHT(B28,SUM(LEN(B28)-LEN(SUBSTITUTE(B28,{"0","1","2","3","4","5","6","7","8","9"},""))))</f>
        <v>1995</v>
      </c>
      <c r="D28" s="2" t="str">
        <f t="shared" si="2"/>
        <v>1995</v>
      </c>
      <c r="E28" s="2" t="str">
        <f t="shared" si="3"/>
        <v>'1995.HK'</v>
      </c>
      <c r="F28" s="4" t="s">
        <v>90</v>
      </c>
      <c r="G28" s="6" t="s">
        <v>14</v>
      </c>
      <c r="H28" s="7">
        <v>2.15</v>
      </c>
      <c r="I28" s="8">
        <v>-5441.2</v>
      </c>
      <c r="J28" s="8">
        <v>8326.2999999999993</v>
      </c>
      <c r="K28" s="8">
        <v>35.4</v>
      </c>
      <c r="L28" s="7">
        <v>1.43</v>
      </c>
      <c r="M28" s="11" t="s">
        <v>91</v>
      </c>
    </row>
    <row r="29" spans="1:13" ht="100" x14ac:dyDescent="0.2">
      <c r="A29" s="2" t="s">
        <v>92</v>
      </c>
      <c r="B29" s="2" t="s">
        <v>93</v>
      </c>
      <c r="C29" s="2" t="str">
        <f>RIGHT(B29,SUM(LEN(B29)-LEN(SUBSTITUTE(B29,{"0","1","2","3","4","5","6","7","8","9"},""))))</f>
        <v>9986</v>
      </c>
      <c r="D29" s="2" t="str">
        <f t="shared" si="2"/>
        <v>9986</v>
      </c>
      <c r="E29" s="2" t="str">
        <f t="shared" si="3"/>
        <v>'9986.HK'</v>
      </c>
      <c r="F29" s="4" t="s">
        <v>94</v>
      </c>
      <c r="G29" s="6" t="s">
        <v>14</v>
      </c>
      <c r="H29" s="7">
        <v>4.0599999999999996</v>
      </c>
      <c r="I29" s="8">
        <v>-296.5</v>
      </c>
      <c r="J29" s="8">
        <v>560</v>
      </c>
      <c r="K29" s="8">
        <v>25.1</v>
      </c>
      <c r="L29" s="7">
        <v>1.39</v>
      </c>
      <c r="M29" s="11" t="s">
        <v>95</v>
      </c>
    </row>
    <row r="30" spans="1:13" ht="40" x14ac:dyDescent="0.2">
      <c r="A30" s="2" t="s">
        <v>96</v>
      </c>
      <c r="B30" s="2" t="s">
        <v>97</v>
      </c>
      <c r="C30" s="2" t="str">
        <f>RIGHT(B30,SUM(LEN(B30)-LEN(SUBSTITUTE(B30,{"0","1","2","3","4","5","6","7","8","9"},""))))</f>
        <v>2101</v>
      </c>
      <c r="D30" s="2" t="str">
        <f t="shared" si="2"/>
        <v>2101</v>
      </c>
      <c r="E30" s="2" t="str">
        <f t="shared" si="3"/>
        <v>'2101.HK'</v>
      </c>
      <c r="F30" s="4" t="s">
        <v>98</v>
      </c>
      <c r="G30" s="6" t="s">
        <v>14</v>
      </c>
      <c r="H30" s="7">
        <v>2.96</v>
      </c>
      <c r="I30" s="8">
        <v>-255</v>
      </c>
      <c r="J30" s="8">
        <v>1869.7</v>
      </c>
      <c r="K30" s="8">
        <v>15.5</v>
      </c>
      <c r="L30" s="7">
        <v>1.37</v>
      </c>
      <c r="M30" s="5" t="s">
        <v>99</v>
      </c>
    </row>
    <row r="31" spans="1:13" ht="60" x14ac:dyDescent="0.2">
      <c r="A31" s="2" t="s">
        <v>100</v>
      </c>
      <c r="B31" s="2" t="s">
        <v>101</v>
      </c>
      <c r="C31" s="2" t="str">
        <f>RIGHT(B31,SUM(LEN(B31)-LEN(SUBSTITUTE(B31,{"0","1","2","3","4","5","6","7","8","9"},""))))</f>
        <v>2265</v>
      </c>
      <c r="D31" s="2" t="str">
        <f t="shared" si="2"/>
        <v>2265</v>
      </c>
      <c r="E31" s="2" t="str">
        <f t="shared" si="3"/>
        <v>'2265.HK'</v>
      </c>
      <c r="F31" s="4" t="s">
        <v>102</v>
      </c>
      <c r="G31" s="6" t="s">
        <v>14</v>
      </c>
      <c r="H31" s="7">
        <v>3.51</v>
      </c>
      <c r="I31" s="8">
        <v>-247.9</v>
      </c>
      <c r="J31" s="8">
        <v>660</v>
      </c>
      <c r="K31" s="8">
        <v>37.700000000000003</v>
      </c>
      <c r="L31" s="7">
        <v>1.37</v>
      </c>
      <c r="M31" s="11" t="s">
        <v>103</v>
      </c>
    </row>
    <row r="32" spans="1:13" ht="170" x14ac:dyDescent="0.2">
      <c r="A32" s="2" t="s">
        <v>104</v>
      </c>
      <c r="B32" s="2" t="s">
        <v>105</v>
      </c>
      <c r="C32" s="2" t="str">
        <f>RIGHT(B32,SUM(LEN(B32)-LEN(SUBSTITUTE(B32,{"0","1","2","3","4","5","6","7","8","9"},""))))</f>
        <v>1971</v>
      </c>
      <c r="D32" s="2" t="str">
        <f t="shared" si="2"/>
        <v>1971</v>
      </c>
      <c r="E32" s="2" t="str">
        <f t="shared" si="3"/>
        <v>'1971.HK'</v>
      </c>
      <c r="F32" s="4" t="s">
        <v>106</v>
      </c>
      <c r="G32" s="6" t="s">
        <v>14</v>
      </c>
      <c r="H32" s="7">
        <v>1.84</v>
      </c>
      <c r="I32" s="8">
        <v>-854.6</v>
      </c>
      <c r="J32" s="8">
        <v>1328</v>
      </c>
      <c r="K32" s="8">
        <v>39.5</v>
      </c>
      <c r="L32" s="7">
        <v>1.36</v>
      </c>
      <c r="M32" s="11" t="s">
        <v>107</v>
      </c>
    </row>
    <row r="33" spans="1:13" ht="180" x14ac:dyDescent="0.2">
      <c r="A33" s="2" t="s">
        <v>108</v>
      </c>
      <c r="B33" s="2" t="s">
        <v>109</v>
      </c>
      <c r="C33" s="2" t="str">
        <f>RIGHT(B33,SUM(LEN(B33)-LEN(SUBSTITUTE(B33,{"0","1","2","3","4","5","6","7","8","9"},""))))</f>
        <v>6626</v>
      </c>
      <c r="D33" s="2" t="str">
        <f t="shared" si="2"/>
        <v>6626</v>
      </c>
      <c r="E33" s="2" t="str">
        <f t="shared" si="3"/>
        <v>'6626.HK'</v>
      </c>
      <c r="F33" s="4" t="s">
        <v>110</v>
      </c>
      <c r="G33" s="6" t="s">
        <v>14</v>
      </c>
      <c r="H33" s="7">
        <v>2.89</v>
      </c>
      <c r="I33" s="8">
        <v>-4601.1000000000004</v>
      </c>
      <c r="J33" s="8">
        <v>4961.8</v>
      </c>
      <c r="K33" s="8">
        <v>39.799999999999997</v>
      </c>
      <c r="L33" s="7">
        <v>1.35</v>
      </c>
      <c r="M33" s="11" t="s">
        <v>111</v>
      </c>
    </row>
    <row r="34" spans="1:13" ht="100" x14ac:dyDescent="0.2">
      <c r="A34" s="2" t="s">
        <v>112</v>
      </c>
      <c r="B34" s="2" t="s">
        <v>113</v>
      </c>
      <c r="C34" s="2" t="str">
        <f>RIGHT(B34,SUM(LEN(B34)-LEN(SUBSTITUTE(B34,{"0","1","2","3","4","5","6","7","8","9"},""))))</f>
        <v>6100</v>
      </c>
      <c r="D34" s="2" t="str">
        <f t="shared" si="2"/>
        <v>6100</v>
      </c>
      <c r="E34" s="2" t="str">
        <f t="shared" si="3"/>
        <v>'6100.HK'</v>
      </c>
      <c r="F34" s="4" t="s">
        <v>114</v>
      </c>
      <c r="G34" s="6" t="s">
        <v>14</v>
      </c>
      <c r="H34" s="7">
        <v>1.04</v>
      </c>
      <c r="I34" s="8">
        <v>-1580.3</v>
      </c>
      <c r="J34" s="8">
        <v>4869.3</v>
      </c>
      <c r="K34" s="8">
        <v>34.6</v>
      </c>
      <c r="L34" s="7">
        <v>1.3</v>
      </c>
      <c r="M34" s="11" t="s">
        <v>115</v>
      </c>
    </row>
    <row r="35" spans="1:13" ht="110" x14ac:dyDescent="0.2">
      <c r="A35" s="2" t="s">
        <v>116</v>
      </c>
      <c r="B35" s="2" t="s">
        <v>117</v>
      </c>
      <c r="C35" s="2" t="str">
        <f>RIGHT(B35,SUM(LEN(B35)-LEN(SUBSTITUTE(B35,{"0","1","2","3","4","5","6","7","8","9"},""))))</f>
        <v>1925</v>
      </c>
      <c r="D35" s="2" t="str">
        <f t="shared" si="2"/>
        <v>1925</v>
      </c>
      <c r="E35" s="2" t="str">
        <f t="shared" si="3"/>
        <v>'1925.HK'</v>
      </c>
      <c r="F35" s="4" t="s">
        <v>118</v>
      </c>
      <c r="G35" s="6" t="s">
        <v>14</v>
      </c>
      <c r="H35" s="7">
        <v>2.14</v>
      </c>
      <c r="I35" s="8">
        <v>-154.4</v>
      </c>
      <c r="J35" s="8">
        <v>563</v>
      </c>
      <c r="K35" s="8">
        <v>31.4</v>
      </c>
      <c r="L35" s="7">
        <v>1.24</v>
      </c>
      <c r="M35" s="11" t="s">
        <v>119</v>
      </c>
    </row>
    <row r="36" spans="1:13" ht="80" x14ac:dyDescent="0.2">
      <c r="A36" s="2" t="s">
        <v>120</v>
      </c>
      <c r="B36" s="2" t="s">
        <v>121</v>
      </c>
      <c r="C36" s="2" t="str">
        <f>RIGHT(B36,SUM(LEN(B36)-LEN(SUBSTITUTE(B36,{"0","1","2","3","4","5","6","7","8","9"},""))))</f>
        <v>1543</v>
      </c>
      <c r="D36" s="2" t="str">
        <f t="shared" si="2"/>
        <v>1543</v>
      </c>
      <c r="E36" s="2" t="str">
        <f t="shared" si="3"/>
        <v>'1543.HK'</v>
      </c>
      <c r="F36" s="4" t="s">
        <v>122</v>
      </c>
      <c r="G36" s="6" t="s">
        <v>14</v>
      </c>
      <c r="H36" s="7">
        <v>8.67</v>
      </c>
      <c r="I36" s="8">
        <v>-421.1</v>
      </c>
      <c r="J36" s="8">
        <v>2965.5</v>
      </c>
      <c r="K36" s="8">
        <v>31.2</v>
      </c>
      <c r="L36" s="7">
        <v>1.24</v>
      </c>
      <c r="M36" s="11" t="s">
        <v>123</v>
      </c>
    </row>
    <row r="37" spans="1:13" ht="130" x14ac:dyDescent="0.2">
      <c r="A37" s="2" t="s">
        <v>124</v>
      </c>
      <c r="B37" s="2" t="s">
        <v>125</v>
      </c>
      <c r="C37" s="2" t="str">
        <f>RIGHT(B37,SUM(LEN(B37)-LEN(SUBSTITUTE(B37,{"0","1","2","3","4","5","6","7","8","9"},""))))</f>
        <v>9983</v>
      </c>
      <c r="D37" s="2" t="str">
        <f t="shared" si="2"/>
        <v>9983</v>
      </c>
      <c r="E37" s="2" t="str">
        <f t="shared" si="3"/>
        <v>'9983.HK'</v>
      </c>
      <c r="F37" s="4" t="s">
        <v>126</v>
      </c>
      <c r="G37" s="6" t="s">
        <v>14</v>
      </c>
      <c r="H37" s="7">
        <v>2.5</v>
      </c>
      <c r="I37" s="8">
        <v>-2786</v>
      </c>
      <c r="J37" s="8">
        <v>4083.9</v>
      </c>
      <c r="K37" s="8">
        <v>39.299999999999997</v>
      </c>
      <c r="L37" s="7">
        <v>1.2</v>
      </c>
      <c r="M37" s="11" t="s">
        <v>127</v>
      </c>
    </row>
    <row r="38" spans="1:13" ht="80" x14ac:dyDescent="0.2">
      <c r="A38" s="2" t="s">
        <v>128</v>
      </c>
      <c r="B38" s="2" t="s">
        <v>129</v>
      </c>
      <c r="C38" s="2" t="str">
        <f>RIGHT(B38,SUM(LEN(B38)-LEN(SUBSTITUTE(B38,{"0","1","2","3","4","5","6","7","8","9"},""))))</f>
        <v>6858</v>
      </c>
      <c r="D38" s="2" t="str">
        <f t="shared" si="2"/>
        <v>6858</v>
      </c>
      <c r="E38" s="2" t="str">
        <f t="shared" si="3"/>
        <v>'6858.HK'</v>
      </c>
      <c r="F38" s="4" t="s">
        <v>130</v>
      </c>
      <c r="G38" s="6" t="s">
        <v>14</v>
      </c>
      <c r="H38" s="7">
        <v>1.47</v>
      </c>
      <c r="I38" s="8">
        <v>-309</v>
      </c>
      <c r="J38" s="8">
        <v>1968.3</v>
      </c>
      <c r="K38" s="8">
        <v>38.799999999999997</v>
      </c>
      <c r="L38" s="7">
        <v>1.2</v>
      </c>
      <c r="M38" s="11" t="s">
        <v>131</v>
      </c>
    </row>
    <row r="39" spans="1:13" ht="120" x14ac:dyDescent="0.2">
      <c r="A39" s="2" t="s">
        <v>132</v>
      </c>
      <c r="B39" s="2" t="s">
        <v>133</v>
      </c>
      <c r="C39" s="2" t="str">
        <f>RIGHT(B39,SUM(LEN(B39)-LEN(SUBSTITUTE(B39,{"0","1","2","3","4","5","6","7","8","9"},""))))</f>
        <v>1970</v>
      </c>
      <c r="D39" s="2" t="str">
        <f t="shared" si="2"/>
        <v>1970</v>
      </c>
      <c r="E39" s="2" t="str">
        <f t="shared" si="3"/>
        <v>'1970.HK'</v>
      </c>
      <c r="F39" s="4" t="s">
        <v>134</v>
      </c>
      <c r="G39" s="6" t="s">
        <v>14</v>
      </c>
      <c r="H39" s="7">
        <v>2.86</v>
      </c>
      <c r="I39" s="8">
        <v>-734.2</v>
      </c>
      <c r="J39" s="8">
        <v>2169.5</v>
      </c>
      <c r="K39" s="8">
        <v>27.4</v>
      </c>
      <c r="L39" s="7">
        <v>1.19</v>
      </c>
      <c r="M39" s="11" t="s">
        <v>135</v>
      </c>
    </row>
    <row r="40" spans="1:13" ht="140" x14ac:dyDescent="0.2">
      <c r="A40" s="2" t="s">
        <v>136</v>
      </c>
      <c r="B40" s="2" t="s">
        <v>137</v>
      </c>
      <c r="C40" s="2" t="str">
        <f>RIGHT(B40,SUM(LEN(B40)-LEN(SUBSTITUTE(B40,{"0","1","2","3","4","5","6","7","8","9"},""))))</f>
        <v>799</v>
      </c>
      <c r="D40" s="2" t="str">
        <f t="shared" si="2"/>
        <v>0799</v>
      </c>
      <c r="E40" s="2" t="str">
        <f t="shared" si="3"/>
        <v>'0799.HK'</v>
      </c>
      <c r="F40" s="4" t="s">
        <v>138</v>
      </c>
      <c r="G40" s="6" t="s">
        <v>14</v>
      </c>
      <c r="H40" s="7">
        <v>2.29</v>
      </c>
      <c r="I40" s="8">
        <v>-1797.8</v>
      </c>
      <c r="J40" s="8">
        <v>3651.9</v>
      </c>
      <c r="K40" s="8">
        <v>25.6</v>
      </c>
      <c r="L40" s="7">
        <v>1.19</v>
      </c>
      <c r="M40" s="11" t="s">
        <v>139</v>
      </c>
    </row>
    <row r="41" spans="1:13" ht="80" x14ac:dyDescent="0.2">
      <c r="A41" s="2" t="s">
        <v>140</v>
      </c>
      <c r="B41" s="2" t="s">
        <v>141</v>
      </c>
      <c r="C41" s="2" t="str">
        <f>RIGHT(B41,SUM(LEN(B41)-LEN(SUBSTITUTE(B41,{"0","1","2","3","4","5","6","7","8","9"},""))))</f>
        <v>6668</v>
      </c>
      <c r="D41" s="2" t="str">
        <f t="shared" si="2"/>
        <v>6668</v>
      </c>
      <c r="E41" s="2" t="str">
        <f t="shared" si="3"/>
        <v>'6668.HK'</v>
      </c>
      <c r="F41" s="4" t="s">
        <v>142</v>
      </c>
      <c r="G41" s="6" t="s">
        <v>14</v>
      </c>
      <c r="H41" s="7">
        <v>5.68</v>
      </c>
      <c r="I41" s="8">
        <v>-1481.7</v>
      </c>
      <c r="J41" s="8">
        <v>1550.2</v>
      </c>
      <c r="K41" s="8">
        <v>20.5</v>
      </c>
      <c r="L41" s="7">
        <v>1.19</v>
      </c>
      <c r="M41" s="11" t="s">
        <v>143</v>
      </c>
    </row>
    <row r="42" spans="1:13" ht="140" x14ac:dyDescent="0.2">
      <c r="A42" s="2" t="s">
        <v>144</v>
      </c>
      <c r="B42" s="2" t="s">
        <v>145</v>
      </c>
      <c r="C42" s="2" t="str">
        <f>RIGHT(B42,SUM(LEN(B42)-LEN(SUBSTITUTE(B42,{"0","1","2","3","4","5","6","7","8","9"},""))))</f>
        <v>189</v>
      </c>
      <c r="D42" s="2" t="str">
        <f t="shared" si="2"/>
        <v>0189</v>
      </c>
      <c r="E42" s="2" t="str">
        <f t="shared" si="3"/>
        <v>'0189.HK'</v>
      </c>
      <c r="F42" s="4" t="s">
        <v>146</v>
      </c>
      <c r="G42" s="6" t="s">
        <v>14</v>
      </c>
      <c r="H42" s="7">
        <v>1.46</v>
      </c>
      <c r="I42" s="8">
        <v>-5631.2</v>
      </c>
      <c r="J42" s="8">
        <v>19178.8</v>
      </c>
      <c r="K42" s="8">
        <v>27.6</v>
      </c>
      <c r="L42" s="7">
        <v>1.18</v>
      </c>
      <c r="M42" s="11" t="s">
        <v>147</v>
      </c>
    </row>
    <row r="43" spans="1:13" ht="50" x14ac:dyDescent="0.2">
      <c r="A43" s="2" t="s">
        <v>148</v>
      </c>
      <c r="B43" s="2" t="s">
        <v>149</v>
      </c>
      <c r="C43" s="2" t="str">
        <f>RIGHT(B43,SUM(LEN(B43)-LEN(SUBSTITUTE(B43,{"0","1","2","3","4","5","6","7","8","9"},""))))</f>
        <v>606</v>
      </c>
      <c r="D43" s="2" t="str">
        <f t="shared" si="2"/>
        <v>0606</v>
      </c>
      <c r="E43" s="2" t="str">
        <f t="shared" si="3"/>
        <v>'0606.HK'</v>
      </c>
      <c r="F43" s="4" t="s">
        <v>150</v>
      </c>
      <c r="G43" s="6" t="s">
        <v>14</v>
      </c>
      <c r="H43" s="7">
        <v>4.91</v>
      </c>
      <c r="I43" s="8">
        <v>-3545</v>
      </c>
      <c r="J43" s="8">
        <v>3589.7</v>
      </c>
      <c r="K43" s="8">
        <v>20.100000000000001</v>
      </c>
      <c r="L43" s="7">
        <v>1.18</v>
      </c>
      <c r="M43" s="12" t="s">
        <v>151</v>
      </c>
    </row>
    <row r="44" spans="1:13" ht="100" x14ac:dyDescent="0.2">
      <c r="A44" s="2" t="s">
        <v>152</v>
      </c>
      <c r="B44" s="2" t="s">
        <v>153</v>
      </c>
      <c r="C44" s="2" t="str">
        <f>RIGHT(B44,SUM(LEN(B44)-LEN(SUBSTITUTE(B44,{"0","1","2","3","4","5","6","7","8","9"},""))))</f>
        <v>709</v>
      </c>
      <c r="D44" s="2" t="str">
        <f t="shared" si="2"/>
        <v>0709</v>
      </c>
      <c r="E44" s="2" t="str">
        <f t="shared" si="3"/>
        <v>'0709.HK'</v>
      </c>
      <c r="F44" s="4" t="s">
        <v>154</v>
      </c>
      <c r="G44" s="6" t="s">
        <v>14</v>
      </c>
      <c r="H44" s="7">
        <v>1.31</v>
      </c>
      <c r="I44" s="8">
        <v>-238</v>
      </c>
      <c r="J44" s="8">
        <v>2859.5</v>
      </c>
      <c r="K44" s="8">
        <v>39.1</v>
      </c>
      <c r="L44" s="7">
        <v>1.17</v>
      </c>
      <c r="M44" s="11" t="s">
        <v>155</v>
      </c>
    </row>
    <row r="45" spans="1:13" ht="150" x14ac:dyDescent="0.2">
      <c r="A45" s="2" t="s">
        <v>156</v>
      </c>
      <c r="B45" s="2" t="s">
        <v>157</v>
      </c>
      <c r="C45" s="2" t="str">
        <f>RIGHT(B45,SUM(LEN(B45)-LEN(SUBSTITUTE(B45,{"0","1","2","3","4","5","6","7","8","9"},""))))</f>
        <v>543</v>
      </c>
      <c r="D45" s="2" t="str">
        <f t="shared" si="2"/>
        <v>0543</v>
      </c>
      <c r="E45" s="2" t="str">
        <f t="shared" si="3"/>
        <v>'0543.HK'</v>
      </c>
      <c r="F45" s="4" t="s">
        <v>158</v>
      </c>
      <c r="G45" s="6" t="s">
        <v>14</v>
      </c>
      <c r="H45" s="7">
        <v>2.54</v>
      </c>
      <c r="I45" s="8">
        <v>-590.70000000000005</v>
      </c>
      <c r="J45" s="8">
        <v>1109</v>
      </c>
      <c r="K45" s="8">
        <v>26.5</v>
      </c>
      <c r="L45" s="7">
        <v>1.1299999999999999</v>
      </c>
      <c r="M45" s="11" t="s">
        <v>159</v>
      </c>
    </row>
    <row r="46" spans="1:13" ht="170" x14ac:dyDescent="0.2">
      <c r="A46" s="2" t="s">
        <v>160</v>
      </c>
      <c r="B46" s="2" t="s">
        <v>161</v>
      </c>
      <c r="C46" s="2" t="str">
        <f>RIGHT(B46,SUM(LEN(B46)-LEN(SUBSTITUTE(B46,{"0","1","2","3","4","5","6","7","8","9"},""))))</f>
        <v>3658</v>
      </c>
      <c r="D46" s="2" t="str">
        <f t="shared" si="2"/>
        <v>3658</v>
      </c>
      <c r="E46" s="2" t="str">
        <f t="shared" si="3"/>
        <v>'3658.HK'</v>
      </c>
      <c r="F46" s="4" t="s">
        <v>162</v>
      </c>
      <c r="G46" s="6" t="s">
        <v>14</v>
      </c>
      <c r="H46" s="7">
        <v>2.83</v>
      </c>
      <c r="I46" s="8">
        <v>-1276.8</v>
      </c>
      <c r="J46" s="8">
        <v>1302.5999999999999</v>
      </c>
      <c r="K46" s="8">
        <v>36</v>
      </c>
      <c r="L46" s="7">
        <v>1.1200000000000001</v>
      </c>
      <c r="M46" s="11" t="s">
        <v>163</v>
      </c>
    </row>
    <row r="47" spans="1:13" ht="150" x14ac:dyDescent="0.2">
      <c r="A47" s="2" t="s">
        <v>164</v>
      </c>
      <c r="B47" s="2" t="s">
        <v>165</v>
      </c>
      <c r="C47" s="2" t="str">
        <f>RIGHT(B47,SUM(LEN(B47)-LEN(SUBSTITUTE(B47,{"0","1","2","3","4","5","6","7","8","9"},""))))</f>
        <v>1303</v>
      </c>
      <c r="D47" s="2" t="str">
        <f t="shared" si="2"/>
        <v>1303</v>
      </c>
      <c r="E47" s="2" t="str">
        <f t="shared" si="3"/>
        <v>'1303.HK'</v>
      </c>
      <c r="F47" s="4" t="s">
        <v>166</v>
      </c>
      <c r="G47" s="6" t="s">
        <v>14</v>
      </c>
      <c r="H47" s="7">
        <v>1.78</v>
      </c>
      <c r="I47" s="8">
        <v>-287.2</v>
      </c>
      <c r="J47" s="8">
        <v>550.79999999999995</v>
      </c>
      <c r="K47" s="8">
        <v>29.8</v>
      </c>
      <c r="L47" s="7">
        <v>1.1100000000000001</v>
      </c>
      <c r="M47" s="11" t="s">
        <v>167</v>
      </c>
    </row>
    <row r="48" spans="1:13" ht="40" x14ac:dyDescent="0.2">
      <c r="A48" s="2" t="s">
        <v>168</v>
      </c>
      <c r="B48" s="2" t="s">
        <v>169</v>
      </c>
      <c r="C48" s="2" t="str">
        <f>RIGHT(B48,SUM(LEN(B48)-LEN(SUBSTITUTE(B48,{"0","1","2","3","4","5","6","7","8","9"},""))))</f>
        <v>1651</v>
      </c>
      <c r="D48" s="2" t="str">
        <f t="shared" si="2"/>
        <v>1651</v>
      </c>
      <c r="E48" s="2" t="str">
        <f t="shared" si="3"/>
        <v>'1651.HK'</v>
      </c>
      <c r="F48" s="4" t="s">
        <v>170</v>
      </c>
      <c r="G48" s="6" t="s">
        <v>14</v>
      </c>
      <c r="H48" s="7">
        <v>1.47</v>
      </c>
      <c r="I48" s="8">
        <v>-655.5</v>
      </c>
      <c r="J48" s="8">
        <v>3031.2</v>
      </c>
      <c r="K48" s="8">
        <v>36.799999999999997</v>
      </c>
      <c r="L48" s="7">
        <v>1.1100000000000001</v>
      </c>
      <c r="M48" s="5" t="s">
        <v>171</v>
      </c>
    </row>
    <row r="49" spans="1:13" ht="60" x14ac:dyDescent="0.2">
      <c r="A49" s="2" t="s">
        <v>172</v>
      </c>
      <c r="B49" s="2" t="s">
        <v>173</v>
      </c>
      <c r="C49" s="2" t="str">
        <f>RIGHT(B49,SUM(LEN(B49)-LEN(SUBSTITUTE(B49,{"0","1","2","3","4","5","6","7","8","9"},""))))</f>
        <v>8479</v>
      </c>
      <c r="D49" s="2" t="str">
        <f t="shared" si="2"/>
        <v>8479</v>
      </c>
      <c r="E49" s="2" t="str">
        <f t="shared" si="3"/>
        <v>'8479.HK'</v>
      </c>
      <c r="F49" s="4" t="s">
        <v>174</v>
      </c>
      <c r="G49" s="6" t="s">
        <v>14</v>
      </c>
      <c r="H49" s="7">
        <v>2.69</v>
      </c>
      <c r="I49" s="7">
        <v>-5.21</v>
      </c>
      <c r="J49" s="8">
        <v>530.1</v>
      </c>
      <c r="K49" s="8">
        <v>35.200000000000003</v>
      </c>
      <c r="L49" s="7">
        <v>1.1000000000000001</v>
      </c>
      <c r="M49" s="11" t="s">
        <v>175</v>
      </c>
    </row>
    <row r="50" spans="1:13" ht="60" x14ac:dyDescent="0.2">
      <c r="A50" s="2" t="s">
        <v>176</v>
      </c>
      <c r="B50" s="2" t="s">
        <v>177</v>
      </c>
      <c r="C50" s="2" t="str">
        <f>RIGHT(B50,SUM(LEN(B50)-LEN(SUBSTITUTE(B50,{"0","1","2","3","4","5","6","7","8","9"},""))))</f>
        <v>2180</v>
      </c>
      <c r="D50" s="2" t="str">
        <f t="shared" si="2"/>
        <v>2180</v>
      </c>
      <c r="E50" s="2" t="str">
        <f t="shared" si="3"/>
        <v>'2180.HK'</v>
      </c>
      <c r="F50" s="4" t="s">
        <v>178</v>
      </c>
      <c r="G50" s="6" t="s">
        <v>14</v>
      </c>
      <c r="H50" s="7">
        <v>2.79</v>
      </c>
      <c r="I50" s="8">
        <v>-1272.3</v>
      </c>
      <c r="J50" s="8">
        <v>1649.7</v>
      </c>
      <c r="K50" s="8">
        <v>33.200000000000003</v>
      </c>
      <c r="L50" s="7">
        <v>1.1000000000000001</v>
      </c>
      <c r="M50" s="11" t="s">
        <v>179</v>
      </c>
    </row>
    <row r="51" spans="1:13" ht="130" x14ac:dyDescent="0.2">
      <c r="A51" s="2" t="s">
        <v>180</v>
      </c>
      <c r="B51" s="2" t="s">
        <v>181</v>
      </c>
      <c r="C51" s="2" t="str">
        <f>RIGHT(B51,SUM(LEN(B51)-LEN(SUBSTITUTE(B51,{"0","1","2","3","4","5","6","7","8","9"},""))))</f>
        <v>1357</v>
      </c>
      <c r="D51" s="2" t="str">
        <f t="shared" si="2"/>
        <v>1357</v>
      </c>
      <c r="E51" s="2" t="str">
        <f t="shared" si="3"/>
        <v>'1357.HK'</v>
      </c>
      <c r="F51" s="4" t="s">
        <v>182</v>
      </c>
      <c r="G51" s="6" t="s">
        <v>14</v>
      </c>
      <c r="H51" s="7">
        <v>2.1800000000000002</v>
      </c>
      <c r="I51" s="8">
        <v>-1448</v>
      </c>
      <c r="J51" s="8">
        <v>4368.2</v>
      </c>
      <c r="K51" s="8">
        <v>25.9</v>
      </c>
      <c r="L51" s="7">
        <v>1.07</v>
      </c>
      <c r="M51" s="11" t="s">
        <v>183</v>
      </c>
    </row>
    <row r="52" spans="1:13" ht="140" x14ac:dyDescent="0.2">
      <c r="A52" s="2" t="s">
        <v>184</v>
      </c>
      <c r="B52" s="2" t="s">
        <v>185</v>
      </c>
      <c r="C52" s="2" t="str">
        <f>RIGHT(B52,SUM(LEN(B52)-LEN(SUBSTITUTE(B52,{"0","1","2","3","4","5","6","7","8","9"},""))))</f>
        <v>2119</v>
      </c>
      <c r="D52" s="2" t="str">
        <f t="shared" si="2"/>
        <v>2119</v>
      </c>
      <c r="E52" s="2" t="str">
        <f t="shared" si="3"/>
        <v>'2119.HK'</v>
      </c>
      <c r="F52" s="4" t="s">
        <v>186</v>
      </c>
      <c r="G52" s="6" t="s">
        <v>14</v>
      </c>
      <c r="H52" s="7">
        <v>2.6</v>
      </c>
      <c r="I52" s="8">
        <v>-243</v>
      </c>
      <c r="J52" s="8">
        <v>598.20000000000005</v>
      </c>
      <c r="K52" s="8">
        <v>22.8</v>
      </c>
      <c r="L52" s="7">
        <v>1.06</v>
      </c>
      <c r="M52" s="11" t="s">
        <v>187</v>
      </c>
    </row>
    <row r="53" spans="1:13" ht="100" x14ac:dyDescent="0.2">
      <c r="A53" s="2" t="s">
        <v>188</v>
      </c>
      <c r="B53" s="2" t="s">
        <v>189</v>
      </c>
      <c r="C53" s="2" t="str">
        <f>RIGHT(B53,SUM(LEN(B53)-LEN(SUBSTITUTE(B53,{"0","1","2","3","4","5","6","7","8","9"},""))))</f>
        <v>6822</v>
      </c>
      <c r="D53" s="2" t="str">
        <f t="shared" si="2"/>
        <v>6822</v>
      </c>
      <c r="E53" s="2" t="str">
        <f t="shared" si="3"/>
        <v>'6822.HK'</v>
      </c>
      <c r="F53" s="4" t="s">
        <v>190</v>
      </c>
      <c r="G53" s="6" t="s">
        <v>14</v>
      </c>
      <c r="H53" s="7">
        <v>3.2</v>
      </c>
      <c r="I53" s="8">
        <v>-178.8</v>
      </c>
      <c r="J53" s="8">
        <v>630</v>
      </c>
      <c r="K53" s="8">
        <v>18.3</v>
      </c>
      <c r="L53" s="7">
        <v>1.06</v>
      </c>
      <c r="M53" s="11" t="s">
        <v>191</v>
      </c>
    </row>
    <row r="54" spans="1:13" ht="90" x14ac:dyDescent="0.2">
      <c r="A54" s="2" t="s">
        <v>192</v>
      </c>
      <c r="B54" s="2" t="s">
        <v>193</v>
      </c>
      <c r="C54" s="2" t="str">
        <f>RIGHT(B54,SUM(LEN(B54)-LEN(SUBSTITUTE(B54,{"0","1","2","3","4","5","6","7","8","9"},""))))</f>
        <v>398</v>
      </c>
      <c r="D54" s="2" t="str">
        <f t="shared" si="2"/>
        <v>0398</v>
      </c>
      <c r="E54" s="2" t="str">
        <f t="shared" si="3"/>
        <v>'0398.HK'</v>
      </c>
      <c r="F54" s="4" t="s">
        <v>194</v>
      </c>
      <c r="G54" s="6" t="s">
        <v>14</v>
      </c>
      <c r="H54" s="7">
        <v>3.06</v>
      </c>
      <c r="I54" s="8">
        <v>-824.9</v>
      </c>
      <c r="J54" s="8">
        <v>2154.1</v>
      </c>
      <c r="K54" s="8">
        <v>29.3</v>
      </c>
      <c r="L54" s="7">
        <v>1.06</v>
      </c>
      <c r="M54" s="11" t="s">
        <v>195</v>
      </c>
    </row>
    <row r="55" spans="1:13" ht="170" x14ac:dyDescent="0.2">
      <c r="A55" s="2" t="s">
        <v>196</v>
      </c>
      <c r="B55" s="2" t="s">
        <v>197</v>
      </c>
      <c r="C55" s="2" t="str">
        <f>RIGHT(B55,SUM(LEN(B55)-LEN(SUBSTITUTE(B55,{"0","1","2","3","4","5","6","7","8","9"},""))))</f>
        <v>837</v>
      </c>
      <c r="D55" s="2" t="str">
        <f t="shared" si="2"/>
        <v>0837</v>
      </c>
      <c r="E55" s="2" t="str">
        <f t="shared" si="3"/>
        <v>'0837.HK'</v>
      </c>
      <c r="F55" s="4" t="s">
        <v>198</v>
      </c>
      <c r="G55" s="6" t="s">
        <v>14</v>
      </c>
      <c r="H55" s="7">
        <v>4.74</v>
      </c>
      <c r="I55" s="8">
        <v>-416.9</v>
      </c>
      <c r="J55" s="8">
        <v>800.9</v>
      </c>
      <c r="K55" s="8">
        <v>14.3</v>
      </c>
      <c r="L55" s="7">
        <v>1.03</v>
      </c>
      <c r="M55" s="11" t="s">
        <v>199</v>
      </c>
    </row>
    <row r="56" spans="1:13" ht="180" x14ac:dyDescent="0.2">
      <c r="A56" s="2" t="s">
        <v>200</v>
      </c>
      <c r="B56" s="2" t="s">
        <v>201</v>
      </c>
      <c r="C56" s="2" t="str">
        <f>RIGHT(B56,SUM(LEN(B56)-LEN(SUBSTITUTE(B56,{"0","1","2","3","4","5","6","7","8","9"},""))))</f>
        <v>777</v>
      </c>
      <c r="D56" s="2" t="str">
        <f t="shared" si="2"/>
        <v>0777</v>
      </c>
      <c r="E56" s="2" t="str">
        <f t="shared" si="3"/>
        <v>'0777.HK'</v>
      </c>
      <c r="F56" s="4" t="s">
        <v>202</v>
      </c>
      <c r="G56" s="6" t="s">
        <v>14</v>
      </c>
      <c r="H56" s="7">
        <v>2.23</v>
      </c>
      <c r="I56" s="8">
        <v>-3317.1</v>
      </c>
      <c r="J56" s="8">
        <v>8165.6</v>
      </c>
      <c r="K56" s="8">
        <v>35</v>
      </c>
      <c r="L56" s="7">
        <v>1.01</v>
      </c>
      <c r="M56" s="11" t="s">
        <v>203</v>
      </c>
    </row>
    <row r="57" spans="1:13" ht="130" x14ac:dyDescent="0.2">
      <c r="A57" s="2" t="s">
        <v>204</v>
      </c>
      <c r="B57" s="2" t="s">
        <v>205</v>
      </c>
      <c r="C57" s="2" t="str">
        <f>RIGHT(B57,SUM(LEN(B57)-LEN(SUBSTITUTE(B57,{"0","1","2","3","4","5","6","7","8","9"},""))))</f>
        <v>2327</v>
      </c>
      <c r="D57" s="2" t="str">
        <f t="shared" si="2"/>
        <v>2327</v>
      </c>
      <c r="E57" s="2" t="str">
        <f t="shared" si="3"/>
        <v>'2327.HK'</v>
      </c>
      <c r="F57" s="4" t="s">
        <v>206</v>
      </c>
      <c r="G57" s="6" t="s">
        <v>14</v>
      </c>
      <c r="H57" s="7">
        <v>4.26</v>
      </c>
      <c r="I57" s="8">
        <v>-210</v>
      </c>
      <c r="J57" s="8">
        <v>1310.3</v>
      </c>
      <c r="K57" s="8">
        <v>17.600000000000001</v>
      </c>
      <c r="L57" s="10">
        <v>0.99199999999999999</v>
      </c>
      <c r="M57" s="11" t="s">
        <v>207</v>
      </c>
    </row>
    <row r="58" spans="1:13" ht="80" x14ac:dyDescent="0.2">
      <c r="A58" s="2" t="s">
        <v>208</v>
      </c>
      <c r="B58" s="2" t="s">
        <v>209</v>
      </c>
      <c r="C58" s="2" t="str">
        <f>RIGHT(B58,SUM(LEN(B58)-LEN(SUBSTITUTE(B58,{"0","1","2","3","4","5","6","7","8","9"},""))))</f>
        <v>6677</v>
      </c>
      <c r="D58" s="2" t="str">
        <f t="shared" si="2"/>
        <v>6677</v>
      </c>
      <c r="E58" s="2" t="str">
        <f t="shared" si="3"/>
        <v>'6677.HK'</v>
      </c>
      <c r="F58" s="4" t="s">
        <v>210</v>
      </c>
      <c r="G58" s="6" t="s">
        <v>14</v>
      </c>
      <c r="H58" s="7">
        <v>2.37</v>
      </c>
      <c r="I58" s="8">
        <v>-3099.7</v>
      </c>
      <c r="J58" s="8">
        <v>2888.9</v>
      </c>
      <c r="K58" s="8">
        <v>36.4</v>
      </c>
      <c r="L58" s="10">
        <v>0.98</v>
      </c>
      <c r="M58" s="11" t="s">
        <v>211</v>
      </c>
    </row>
    <row r="59" spans="1:13" ht="160" x14ac:dyDescent="0.2">
      <c r="A59" s="2" t="s">
        <v>212</v>
      </c>
      <c r="B59" s="2" t="s">
        <v>213</v>
      </c>
      <c r="C59" s="2" t="str">
        <f>RIGHT(B59,SUM(LEN(B59)-LEN(SUBSTITUTE(B59,{"0","1","2","3","4","5","6","7","8","9"},""))))</f>
        <v>6989</v>
      </c>
      <c r="D59" s="2" t="str">
        <f t="shared" si="2"/>
        <v>6989</v>
      </c>
      <c r="E59" s="2" t="str">
        <f t="shared" si="3"/>
        <v>'6989.HK'</v>
      </c>
      <c r="F59" s="4" t="s">
        <v>214</v>
      </c>
      <c r="G59" s="6" t="s">
        <v>14</v>
      </c>
      <c r="H59" s="7">
        <v>2.82</v>
      </c>
      <c r="I59" s="8">
        <v>-3552</v>
      </c>
      <c r="J59" s="8">
        <v>4124.8</v>
      </c>
      <c r="K59" s="8">
        <v>31.7</v>
      </c>
      <c r="L59" s="10">
        <v>0.97399999999999998</v>
      </c>
      <c r="M59" s="11" t="s">
        <v>215</v>
      </c>
    </row>
    <row r="60" spans="1:13" ht="80" x14ac:dyDescent="0.2">
      <c r="A60" s="2" t="s">
        <v>216</v>
      </c>
      <c r="B60" s="2" t="s">
        <v>217</v>
      </c>
      <c r="C60" s="2" t="str">
        <f>RIGHT(B60,SUM(LEN(B60)-LEN(SUBSTITUTE(B60,{"0","1","2","3","4","5","6","7","8","9"},""))))</f>
        <v>1234</v>
      </c>
      <c r="D60" s="2" t="str">
        <f t="shared" si="2"/>
        <v>1234</v>
      </c>
      <c r="E60" s="2" t="str">
        <f t="shared" si="3"/>
        <v>'1234.HK'</v>
      </c>
      <c r="F60" s="4" t="s">
        <v>218</v>
      </c>
      <c r="G60" s="6" t="s">
        <v>14</v>
      </c>
      <c r="H60" s="7">
        <v>1.63</v>
      </c>
      <c r="I60" s="8">
        <v>-1642.1</v>
      </c>
      <c r="J60" s="8">
        <v>4167.2</v>
      </c>
      <c r="K60" s="8">
        <v>26.6</v>
      </c>
      <c r="L60" s="10">
        <v>0.96399999999999997</v>
      </c>
      <c r="M60" s="11" t="s">
        <v>219</v>
      </c>
    </row>
    <row r="61" spans="1:13" ht="60" x14ac:dyDescent="0.2">
      <c r="A61" s="2" t="s">
        <v>220</v>
      </c>
      <c r="B61" s="2" t="s">
        <v>221</v>
      </c>
      <c r="C61" s="2" t="str">
        <f>RIGHT(B61,SUM(LEN(B61)-LEN(SUBSTITUTE(B61,{"0","1","2","3","4","5","6","7","8","9"},""))))</f>
        <v>609</v>
      </c>
      <c r="D61" s="2" t="str">
        <f t="shared" si="2"/>
        <v>0609</v>
      </c>
      <c r="E61" s="2" t="str">
        <f t="shared" si="3"/>
        <v>'0609.HK'</v>
      </c>
      <c r="F61" s="4" t="s">
        <v>222</v>
      </c>
      <c r="G61" s="6" t="s">
        <v>14</v>
      </c>
      <c r="H61" s="7">
        <v>1.5</v>
      </c>
      <c r="I61" s="8">
        <v>-81.5</v>
      </c>
      <c r="J61" s="8">
        <v>2287</v>
      </c>
      <c r="K61" s="8">
        <v>24.3</v>
      </c>
      <c r="L61" s="10">
        <v>0.96299999999999997</v>
      </c>
      <c r="M61" s="11" t="s">
        <v>223</v>
      </c>
    </row>
    <row r="62" spans="1:13" ht="60" x14ac:dyDescent="0.2">
      <c r="A62" s="2" t="s">
        <v>224</v>
      </c>
      <c r="B62" s="2" t="s">
        <v>225</v>
      </c>
      <c r="C62" s="2" t="str">
        <f>RIGHT(B62,SUM(LEN(B62)-LEN(SUBSTITUTE(B62,{"0","1","2","3","4","5","6","7","8","9"},""))))</f>
        <v>2175</v>
      </c>
      <c r="D62" s="2" t="str">
        <f t="shared" si="2"/>
        <v>2175</v>
      </c>
      <c r="E62" s="2" t="str">
        <f t="shared" si="3"/>
        <v>'2175.HK'</v>
      </c>
      <c r="F62" s="4" t="s">
        <v>226</v>
      </c>
      <c r="G62" s="6" t="s">
        <v>14</v>
      </c>
      <c r="H62" s="7">
        <v>3.48</v>
      </c>
      <c r="I62" s="8">
        <v>-1285.5</v>
      </c>
      <c r="J62" s="8">
        <v>1905.8</v>
      </c>
      <c r="K62" s="8">
        <v>16.5</v>
      </c>
      <c r="L62" s="10">
        <v>0.95699999999999996</v>
      </c>
      <c r="M62" s="11" t="s">
        <v>227</v>
      </c>
    </row>
    <row r="63" spans="1:13" ht="110" x14ac:dyDescent="0.2">
      <c r="A63" s="2" t="s">
        <v>228</v>
      </c>
      <c r="B63" s="2" t="s">
        <v>229</v>
      </c>
      <c r="C63" s="2" t="str">
        <f>RIGHT(B63,SUM(LEN(B63)-LEN(SUBSTITUTE(B63,{"0","1","2","3","4","5","6","7","8","9"},""))))</f>
        <v>9836</v>
      </c>
      <c r="D63" s="2" t="str">
        <f t="shared" si="2"/>
        <v>9836</v>
      </c>
      <c r="E63" s="2" t="str">
        <f t="shared" si="3"/>
        <v>'9836.HK'</v>
      </c>
      <c r="F63" s="4" t="s">
        <v>230</v>
      </c>
      <c r="G63" s="6" t="s">
        <v>231</v>
      </c>
      <c r="H63" s="8">
        <v>30.1</v>
      </c>
      <c r="I63" s="8">
        <v>-755.8</v>
      </c>
      <c r="J63" s="8">
        <v>726.3</v>
      </c>
      <c r="K63" s="7">
        <v>3.44</v>
      </c>
      <c r="L63" s="10">
        <v>0.95599999999999996</v>
      </c>
      <c r="M63" s="5" t="s">
        <v>232</v>
      </c>
    </row>
    <row r="64" spans="1:13" ht="150" x14ac:dyDescent="0.2">
      <c r="A64" s="2" t="s">
        <v>233</v>
      </c>
      <c r="B64" s="2" t="s">
        <v>234</v>
      </c>
      <c r="C64" s="2" t="str">
        <f>RIGHT(B64,SUM(LEN(B64)-LEN(SUBSTITUTE(B64,{"0","1","2","3","4","5","6","7","8","9"},""))))</f>
        <v>29</v>
      </c>
      <c r="D64" s="2" t="str">
        <f t="shared" si="2"/>
        <v>0029</v>
      </c>
      <c r="E64" s="2" t="str">
        <f t="shared" si="3"/>
        <v>'0029.HK'</v>
      </c>
      <c r="F64" s="4" t="s">
        <v>235</v>
      </c>
      <c r="G64" s="6" t="s">
        <v>14</v>
      </c>
      <c r="H64" s="7">
        <v>1.42</v>
      </c>
      <c r="I64" s="8">
        <v>-108.2</v>
      </c>
      <c r="J64" s="8">
        <v>2115.6</v>
      </c>
      <c r="K64" s="8">
        <v>20.3</v>
      </c>
      <c r="L64" s="10">
        <v>0.94</v>
      </c>
      <c r="M64" s="11" t="s">
        <v>236</v>
      </c>
    </row>
    <row r="65" spans="1:13" ht="50" x14ac:dyDescent="0.2">
      <c r="A65" s="2" t="s">
        <v>237</v>
      </c>
      <c r="B65" s="2" t="s">
        <v>238</v>
      </c>
      <c r="C65" s="2" t="str">
        <f>RIGHT(B65,SUM(LEN(B65)-LEN(SUBSTITUTE(B65,{"0","1","2","3","4","5","6","7","8","9"},""))))</f>
        <v>166</v>
      </c>
      <c r="D65" s="2" t="str">
        <f t="shared" si="2"/>
        <v>0166</v>
      </c>
      <c r="E65" s="2" t="str">
        <f t="shared" si="3"/>
        <v>'0166.HK'</v>
      </c>
      <c r="F65" s="4" t="s">
        <v>239</v>
      </c>
      <c r="G65" s="6" t="s">
        <v>14</v>
      </c>
      <c r="H65" s="7">
        <v>4.21</v>
      </c>
      <c r="I65" s="8">
        <v>-611.6</v>
      </c>
      <c r="J65" s="8">
        <v>1233.2</v>
      </c>
      <c r="K65" s="8">
        <v>36.6</v>
      </c>
      <c r="L65" s="10">
        <v>0.93899999999999995</v>
      </c>
      <c r="M65" s="5" t="s">
        <v>240</v>
      </c>
    </row>
    <row r="66" spans="1:13" ht="50" x14ac:dyDescent="0.2">
      <c r="A66" s="2" t="s">
        <v>241</v>
      </c>
      <c r="B66" s="2" t="s">
        <v>242</v>
      </c>
      <c r="C66" s="2" t="str">
        <f>RIGHT(B66,SUM(LEN(B66)-LEN(SUBSTITUTE(B66,{"0","1","2","3","4","5","6","7","8","9"},""))))</f>
        <v>6988</v>
      </c>
      <c r="D66" s="2" t="str">
        <f t="shared" si="2"/>
        <v>6988</v>
      </c>
      <c r="E66" s="2" t="str">
        <f t="shared" si="3"/>
        <v>'6988.HK'</v>
      </c>
      <c r="F66" s="4" t="s">
        <v>243</v>
      </c>
      <c r="G66" s="6" t="s">
        <v>14</v>
      </c>
      <c r="H66" s="7">
        <v>7.74</v>
      </c>
      <c r="I66" s="8">
        <v>-607.20000000000005</v>
      </c>
      <c r="J66" s="8">
        <v>2714</v>
      </c>
      <c r="K66" s="7">
        <v>5.77</v>
      </c>
      <c r="L66" s="10">
        <v>0.92600000000000005</v>
      </c>
      <c r="M66" s="5" t="s">
        <v>244</v>
      </c>
    </row>
    <row r="67" spans="1:13" ht="60" x14ac:dyDescent="0.2">
      <c r="A67" s="2" t="s">
        <v>245</v>
      </c>
      <c r="B67" s="2" t="s">
        <v>246</v>
      </c>
      <c r="C67" s="2" t="str">
        <f>RIGHT(B67,SUM(LEN(B67)-LEN(SUBSTITUTE(B67,{"0","1","2","3","4","5","6","7","8","9"},""))))</f>
        <v>1516</v>
      </c>
      <c r="D67" s="2" t="str">
        <f t="shared" si="2"/>
        <v>1516</v>
      </c>
      <c r="E67" s="2" t="str">
        <f t="shared" si="3"/>
        <v>'1516.HK'</v>
      </c>
      <c r="F67" s="4" t="s">
        <v>247</v>
      </c>
      <c r="G67" s="6" t="s">
        <v>14</v>
      </c>
      <c r="H67" s="7">
        <v>2.2200000000000002</v>
      </c>
      <c r="I67" s="8">
        <v>-6900.4</v>
      </c>
      <c r="J67" s="8">
        <v>8039.5</v>
      </c>
      <c r="K67" s="8">
        <v>35.6</v>
      </c>
      <c r="L67" s="10">
        <v>0.92500000000000004</v>
      </c>
      <c r="M67" s="11" t="s">
        <v>248</v>
      </c>
    </row>
    <row r="68" spans="1:13" ht="110" x14ac:dyDescent="0.2">
      <c r="A68" s="2" t="s">
        <v>249</v>
      </c>
      <c r="B68" s="2" t="s">
        <v>250</v>
      </c>
      <c r="C68" s="2" t="str">
        <f>RIGHT(B68,SUM(LEN(B68)-LEN(SUBSTITUTE(B68,{"0","1","2","3","4","5","6","7","8","9"},""))))</f>
        <v>1277</v>
      </c>
      <c r="D68" s="2" t="str">
        <f t="shared" si="2"/>
        <v>1277</v>
      </c>
      <c r="E68" s="2" t="str">
        <f t="shared" si="3"/>
        <v>'1277.HK'</v>
      </c>
      <c r="F68" s="4" t="s">
        <v>251</v>
      </c>
      <c r="G68" s="6" t="s">
        <v>14</v>
      </c>
      <c r="H68" s="7">
        <v>2.0099999999999998</v>
      </c>
      <c r="I68" s="8">
        <v>-2919.8</v>
      </c>
      <c r="J68" s="8">
        <v>5901</v>
      </c>
      <c r="K68" s="8">
        <v>24.3</v>
      </c>
      <c r="L68" s="10">
        <v>0.92200000000000004</v>
      </c>
      <c r="M68" s="11" t="s">
        <v>252</v>
      </c>
    </row>
    <row r="69" spans="1:13" ht="70" x14ac:dyDescent="0.2">
      <c r="A69" s="2" t="s">
        <v>253</v>
      </c>
      <c r="B69" s="2" t="s">
        <v>254</v>
      </c>
      <c r="C69" s="2" t="str">
        <f>RIGHT(B69,SUM(LEN(B69)-LEN(SUBSTITUTE(B69,{"0","1","2","3","4","5","6","7","8","9"},""))))</f>
        <v>1316</v>
      </c>
      <c r="D69" s="2" t="str">
        <f t="shared" si="2"/>
        <v>1316</v>
      </c>
      <c r="E69" s="2" t="str">
        <f t="shared" si="3"/>
        <v>'1316.HK'</v>
      </c>
      <c r="F69" s="4" t="s">
        <v>255</v>
      </c>
      <c r="G69" s="6" t="s">
        <v>14</v>
      </c>
      <c r="H69" s="7">
        <v>1.1399999999999999</v>
      </c>
      <c r="I69" s="8">
        <v>-1401.6</v>
      </c>
      <c r="J69" s="8">
        <v>12549.1</v>
      </c>
      <c r="K69" s="8">
        <v>37.5</v>
      </c>
      <c r="L69" s="10">
        <v>0.92</v>
      </c>
      <c r="M69" s="11" t="s">
        <v>256</v>
      </c>
    </row>
    <row r="70" spans="1:13" ht="220" x14ac:dyDescent="0.2">
      <c r="A70" s="2" t="s">
        <v>257</v>
      </c>
      <c r="B70" s="2" t="s">
        <v>258</v>
      </c>
      <c r="C70" s="2" t="str">
        <f>RIGHT(B70,SUM(LEN(B70)-LEN(SUBSTITUTE(B70,{"0","1","2","3","4","5","6","7","8","9"},""))))</f>
        <v>1060</v>
      </c>
      <c r="D70" s="2" t="str">
        <f t="shared" si="2"/>
        <v>1060</v>
      </c>
      <c r="E70" s="2" t="str">
        <f t="shared" si="3"/>
        <v>'1060.HK'</v>
      </c>
      <c r="F70" s="4" t="s">
        <v>259</v>
      </c>
      <c r="G70" s="6" t="s">
        <v>14</v>
      </c>
      <c r="H70" s="7">
        <v>4.2699999999999996</v>
      </c>
      <c r="I70" s="8">
        <v>-4152</v>
      </c>
      <c r="J70" s="8">
        <v>15915.6</v>
      </c>
      <c r="K70" s="7">
        <v>9.85</v>
      </c>
      <c r="L70" s="10">
        <v>0.91900000000000004</v>
      </c>
      <c r="M70" s="11" t="s">
        <v>260</v>
      </c>
    </row>
    <row r="71" spans="1:13" ht="40" x14ac:dyDescent="0.2">
      <c r="A71" s="2" t="s">
        <v>261</v>
      </c>
      <c r="B71" s="2" t="s">
        <v>262</v>
      </c>
      <c r="C71" s="2" t="str">
        <f>RIGHT(B71,SUM(LEN(B71)-LEN(SUBSTITUTE(B71,{"0","1","2","3","4","5","6","7","8","9"},""))))</f>
        <v>3798</v>
      </c>
      <c r="D71" s="2" t="str">
        <f t="shared" si="2"/>
        <v>3798</v>
      </c>
      <c r="E71" s="2" t="str">
        <f t="shared" si="3"/>
        <v>'3798.HK'</v>
      </c>
      <c r="F71" s="4" t="s">
        <v>263</v>
      </c>
      <c r="G71" s="6" t="s">
        <v>14</v>
      </c>
      <c r="H71" s="7">
        <v>5.56</v>
      </c>
      <c r="I71" s="8">
        <v>-1343.4</v>
      </c>
      <c r="J71" s="8">
        <v>2008.9</v>
      </c>
      <c r="K71" s="8">
        <v>16.7</v>
      </c>
      <c r="L71" s="10">
        <v>0.91900000000000004</v>
      </c>
      <c r="M71" s="5" t="s">
        <v>264</v>
      </c>
    </row>
    <row r="72" spans="1:13" ht="170" x14ac:dyDescent="0.2">
      <c r="A72" s="2" t="s">
        <v>265</v>
      </c>
      <c r="B72" s="2" t="s">
        <v>266</v>
      </c>
      <c r="C72" s="2" t="str">
        <f>RIGHT(B72,SUM(LEN(B72)-LEN(SUBSTITUTE(B72,{"0","1","2","3","4","5","6","7","8","9"},""))))</f>
        <v>1412</v>
      </c>
      <c r="D72" s="2" t="str">
        <f t="shared" si="2"/>
        <v>1412</v>
      </c>
      <c r="E72" s="2" t="str">
        <f t="shared" si="3"/>
        <v>'1412.HK'</v>
      </c>
      <c r="F72" s="4" t="s">
        <v>267</v>
      </c>
      <c r="G72" s="6" t="s">
        <v>14</v>
      </c>
      <c r="H72" s="7">
        <v>1.17</v>
      </c>
      <c r="I72" s="8">
        <v>-69.900000000000006</v>
      </c>
      <c r="J72" s="8">
        <v>744.8</v>
      </c>
      <c r="K72" s="8">
        <v>30.6</v>
      </c>
      <c r="L72" s="10">
        <v>0.91800000000000004</v>
      </c>
      <c r="M72" s="11" t="s">
        <v>268</v>
      </c>
    </row>
    <row r="73" spans="1:13" ht="40" x14ac:dyDescent="0.2">
      <c r="A73" s="2" t="s">
        <v>269</v>
      </c>
      <c r="B73" s="2" t="s">
        <v>270</v>
      </c>
      <c r="C73" s="2" t="str">
        <f>RIGHT(B73,SUM(LEN(B73)-LEN(SUBSTITUTE(B73,{"0","1","2","3","4","5","6","7","8","9"},""))))</f>
        <v>1022</v>
      </c>
      <c r="D73" s="2" t="str">
        <f t="shared" si="2"/>
        <v>1022</v>
      </c>
      <c r="E73" s="2" t="str">
        <f t="shared" si="3"/>
        <v>'1022.HK'</v>
      </c>
      <c r="F73" s="4" t="s">
        <v>271</v>
      </c>
      <c r="G73" s="6" t="s">
        <v>14</v>
      </c>
      <c r="H73" s="7">
        <v>1.87</v>
      </c>
      <c r="I73" s="8">
        <v>-59.1</v>
      </c>
      <c r="J73" s="8">
        <v>532.79999999999995</v>
      </c>
      <c r="K73" s="8">
        <v>26.1</v>
      </c>
      <c r="L73" s="10">
        <v>0.91500000000000004</v>
      </c>
      <c r="M73" s="5" t="s">
        <v>264</v>
      </c>
    </row>
    <row r="74" spans="1:13" ht="40" x14ac:dyDescent="0.2">
      <c r="A74" s="2" t="s">
        <v>272</v>
      </c>
      <c r="B74" s="2" t="s">
        <v>273</v>
      </c>
      <c r="C74" s="2" t="str">
        <f>RIGHT(B74,SUM(LEN(B74)-LEN(SUBSTITUTE(B74,{"0","1","2","3","4","5","6","7","8","9"},""))))</f>
        <v>9982</v>
      </c>
      <c r="D74" s="2" t="str">
        <f t="shared" si="2"/>
        <v>9982</v>
      </c>
      <c r="E74" s="2" t="str">
        <f t="shared" si="3"/>
        <v>'9982.HK'</v>
      </c>
      <c r="F74" s="4" t="s">
        <v>274</v>
      </c>
      <c r="G74" s="6" t="s">
        <v>14</v>
      </c>
      <c r="H74" s="7">
        <v>4.96</v>
      </c>
      <c r="I74" s="8">
        <v>-2423.5</v>
      </c>
      <c r="J74" s="8">
        <v>2397.3000000000002</v>
      </c>
      <c r="K74" s="8">
        <v>19.899999999999999</v>
      </c>
      <c r="L74" s="10">
        <v>0.90900000000000003</v>
      </c>
      <c r="M74" s="5" t="s">
        <v>275</v>
      </c>
    </row>
    <row r="75" spans="1:13" ht="30" x14ac:dyDescent="0.2">
      <c r="A75" s="2" t="s">
        <v>276</v>
      </c>
      <c r="B75" s="2" t="s">
        <v>277</v>
      </c>
      <c r="C75" s="2" t="str">
        <f>RIGHT(B75,SUM(LEN(B75)-LEN(SUBSTITUTE(B75,{"0","1","2","3","4","5","6","7","8","9"},""))))</f>
        <v>806</v>
      </c>
      <c r="D75" s="2" t="str">
        <f t="shared" si="2"/>
        <v>0806</v>
      </c>
      <c r="E75" s="2" t="str">
        <f t="shared" si="3"/>
        <v>'0806.HK'</v>
      </c>
      <c r="F75" s="4" t="s">
        <v>278</v>
      </c>
      <c r="G75" s="6" t="s">
        <v>14</v>
      </c>
      <c r="H75" s="7">
        <v>6.79</v>
      </c>
      <c r="I75" s="8">
        <v>-1563.3</v>
      </c>
      <c r="J75" s="8">
        <v>4171.2</v>
      </c>
      <c r="K75" s="7">
        <v>7.15</v>
      </c>
      <c r="L75" s="10">
        <v>0.89700000000000002</v>
      </c>
      <c r="M75" s="5" t="s">
        <v>279</v>
      </c>
    </row>
    <row r="76" spans="1:13" ht="120" x14ac:dyDescent="0.2">
      <c r="A76" s="2" t="s">
        <v>280</v>
      </c>
      <c r="B76" s="2" t="s">
        <v>281</v>
      </c>
      <c r="C76" s="2" t="str">
        <f>RIGHT(B76,SUM(LEN(B76)-LEN(SUBSTITUTE(B76,{"0","1","2","3","4","5","6","7","8","9"},""))))</f>
        <v>1361</v>
      </c>
      <c r="D76" s="2" t="str">
        <f t="shared" si="2"/>
        <v>1361</v>
      </c>
      <c r="E76" s="2" t="str">
        <f t="shared" si="3"/>
        <v>'1361.HK'</v>
      </c>
      <c r="F76" s="4" t="s">
        <v>282</v>
      </c>
      <c r="G76" s="6" t="s">
        <v>14</v>
      </c>
      <c r="H76" s="7">
        <v>3.01</v>
      </c>
      <c r="I76" s="8">
        <v>-6297.3</v>
      </c>
      <c r="J76" s="8">
        <v>7960.2</v>
      </c>
      <c r="K76" s="8">
        <v>23.9</v>
      </c>
      <c r="L76" s="10">
        <v>0.88700000000000001</v>
      </c>
      <c r="M76" s="11" t="s">
        <v>283</v>
      </c>
    </row>
    <row r="77" spans="1:13" ht="40" x14ac:dyDescent="0.2">
      <c r="A77" s="2" t="s">
        <v>284</v>
      </c>
      <c r="B77" s="2" t="s">
        <v>285</v>
      </c>
      <c r="C77" s="2" t="str">
        <f>RIGHT(B77,SUM(LEN(B77)-LEN(SUBSTITUTE(B77,{"0","1","2","3","4","5","6","7","8","9"},""))))</f>
        <v>2660</v>
      </c>
      <c r="D77" s="2" t="str">
        <f t="shared" si="2"/>
        <v>2660</v>
      </c>
      <c r="E77" s="2" t="str">
        <f t="shared" si="3"/>
        <v>'2660.HK'</v>
      </c>
      <c r="F77" s="4" t="s">
        <v>286</v>
      </c>
      <c r="G77" s="6" t="s">
        <v>14</v>
      </c>
      <c r="H77" s="7">
        <v>5.85</v>
      </c>
      <c r="I77" s="8">
        <v>-1445.9</v>
      </c>
      <c r="J77" s="8">
        <v>1589.5</v>
      </c>
      <c r="K77" s="8">
        <v>17.7</v>
      </c>
      <c r="L77" s="10">
        <v>0.88700000000000001</v>
      </c>
      <c r="M77" s="5" t="s">
        <v>264</v>
      </c>
    </row>
    <row r="78" spans="1:13" ht="80" x14ac:dyDescent="0.2">
      <c r="A78" s="2" t="s">
        <v>287</v>
      </c>
      <c r="B78" s="2" t="s">
        <v>288</v>
      </c>
      <c r="C78" s="2" t="str">
        <f>RIGHT(B78,SUM(LEN(B78)-LEN(SUBSTITUTE(B78,{"0","1","2","3","4","5","6","7","8","9"},""))))</f>
        <v>1230</v>
      </c>
      <c r="D78" s="2" t="str">
        <f t="shared" si="2"/>
        <v>1230</v>
      </c>
      <c r="E78" s="2" t="str">
        <f t="shared" si="3"/>
        <v>'1230.HK'</v>
      </c>
      <c r="F78" s="4" t="s">
        <v>289</v>
      </c>
      <c r="G78" s="6" t="s">
        <v>14</v>
      </c>
      <c r="H78" s="7">
        <v>1.5</v>
      </c>
      <c r="I78" s="8">
        <v>-2199</v>
      </c>
      <c r="J78" s="8">
        <v>5552.3</v>
      </c>
      <c r="K78" s="8">
        <v>24.1</v>
      </c>
      <c r="L78" s="10">
        <v>0.88200000000000001</v>
      </c>
      <c r="M78" s="11" t="s">
        <v>290</v>
      </c>
    </row>
    <row r="79" spans="1:13" ht="110" x14ac:dyDescent="0.2">
      <c r="A79" s="2" t="s">
        <v>291</v>
      </c>
      <c r="B79" s="2" t="s">
        <v>292</v>
      </c>
      <c r="C79" s="2" t="str">
        <f>RIGHT(B79,SUM(LEN(B79)-LEN(SUBSTITUTE(B79,{"0","1","2","3","4","5","6","7","8","9"},""))))</f>
        <v>6608</v>
      </c>
      <c r="D79" s="2" t="str">
        <f t="shared" si="2"/>
        <v>6608</v>
      </c>
      <c r="E79" s="2" t="str">
        <f t="shared" si="3"/>
        <v>'6608.HK'</v>
      </c>
      <c r="F79" s="4" t="s">
        <v>293</v>
      </c>
      <c r="G79" s="6" t="s">
        <v>14</v>
      </c>
      <c r="H79" s="7">
        <v>6.49</v>
      </c>
      <c r="I79" s="8">
        <v>-4559.5</v>
      </c>
      <c r="J79" s="8">
        <v>4443.1000000000004</v>
      </c>
      <c r="K79" s="8">
        <v>14.7</v>
      </c>
      <c r="L79" s="10">
        <v>0.88200000000000001</v>
      </c>
      <c r="M79" s="11" t="s">
        <v>294</v>
      </c>
    </row>
    <row r="80" spans="1:13" ht="100" x14ac:dyDescent="0.2">
      <c r="A80" s="2" t="s">
        <v>295</v>
      </c>
      <c r="B80" s="2" t="s">
        <v>296</v>
      </c>
      <c r="C80" s="2" t="str">
        <f>RIGHT(B80,SUM(LEN(B80)-LEN(SUBSTITUTE(B80,{"0","1","2","3","4","5","6","7","8","9"},""))))</f>
        <v>1328</v>
      </c>
      <c r="D80" s="2" t="str">
        <f t="shared" si="2"/>
        <v>1328</v>
      </c>
      <c r="E80" s="2" t="str">
        <f t="shared" si="3"/>
        <v>'1328.HK'</v>
      </c>
      <c r="F80" s="4" t="s">
        <v>297</v>
      </c>
      <c r="G80" s="6" t="s">
        <v>14</v>
      </c>
      <c r="H80" s="7">
        <v>1.63</v>
      </c>
      <c r="I80" s="8">
        <v>-212.1</v>
      </c>
      <c r="J80" s="8">
        <v>655.20000000000005</v>
      </c>
      <c r="K80" s="8">
        <v>29.5</v>
      </c>
      <c r="L80" s="10">
        <v>0.877</v>
      </c>
      <c r="M80" s="11" t="s">
        <v>298</v>
      </c>
    </row>
    <row r="81" spans="1:13" ht="150" hidden="1" x14ac:dyDescent="0.2">
      <c r="A81" s="2" t="s">
        <v>299</v>
      </c>
      <c r="B81" s="2" t="s">
        <v>300</v>
      </c>
      <c r="C81" s="2" t="str">
        <f>RIGHT(B81,SUM(LEN(B81)-LEN(SUBSTITUTE(B81,{"0","1","2","3","4","5","6","7","8","9"},""))))</f>
        <v/>
      </c>
      <c r="D81" s="2"/>
      <c r="E81" s="2"/>
      <c r="F81" s="5" t="s">
        <v>14</v>
      </c>
      <c r="G81" s="6" t="s">
        <v>301</v>
      </c>
      <c r="H81" s="7">
        <v>4.3099999999999996</v>
      </c>
      <c r="I81" s="8">
        <v>-8702.4</v>
      </c>
      <c r="J81" s="8">
        <v>5888.5</v>
      </c>
      <c r="K81" s="8">
        <v>23.5</v>
      </c>
      <c r="L81" s="10">
        <v>0.872</v>
      </c>
      <c r="M81" s="11" t="s">
        <v>302</v>
      </c>
    </row>
    <row r="82" spans="1:13" ht="100" x14ac:dyDescent="0.2">
      <c r="A82" s="2" t="s">
        <v>303</v>
      </c>
      <c r="B82" s="2" t="s">
        <v>304</v>
      </c>
      <c r="C82" s="2" t="str">
        <f>RIGHT(B82,SUM(LEN(B82)-LEN(SUBSTITUTE(B82,{"0","1","2","3","4","5","6","7","8","9"},""))))</f>
        <v>2218</v>
      </c>
      <c r="D82" s="2" t="str">
        <f t="shared" si="2"/>
        <v>2218</v>
      </c>
      <c r="E82" s="2" t="str">
        <f t="shared" ref="E82:E98" si="4">"'"&amp;D82&amp;".HK"&amp;"'"</f>
        <v>'2218.HK'</v>
      </c>
      <c r="F82" s="4" t="s">
        <v>305</v>
      </c>
      <c r="G82" s="6" t="s">
        <v>14</v>
      </c>
      <c r="H82" s="7">
        <v>4.3099999999999996</v>
      </c>
      <c r="I82" s="8">
        <v>-880</v>
      </c>
      <c r="J82" s="8">
        <v>7975.3</v>
      </c>
      <c r="K82" s="7">
        <v>9.68</v>
      </c>
      <c r="L82" s="10">
        <v>0.871</v>
      </c>
      <c r="M82" s="11" t="s">
        <v>306</v>
      </c>
    </row>
    <row r="83" spans="1:13" ht="50" x14ac:dyDescent="0.2">
      <c r="A83" s="2" t="s">
        <v>307</v>
      </c>
      <c r="B83" s="2" t="s">
        <v>308</v>
      </c>
      <c r="C83" s="2" t="str">
        <f>RIGHT(B83,SUM(LEN(B83)-LEN(SUBSTITUTE(B83,{"0","1","2","3","4","5","6","7","8","9"},""))))</f>
        <v>6896</v>
      </c>
      <c r="D83" s="2" t="str">
        <f t="shared" si="2"/>
        <v>6896</v>
      </c>
      <c r="E83" s="2" t="str">
        <f t="shared" si="4"/>
        <v>'6896.HK'</v>
      </c>
      <c r="F83" s="4" t="s">
        <v>309</v>
      </c>
      <c r="G83" s="6" t="s">
        <v>14</v>
      </c>
      <c r="H83" s="7">
        <v>2.13</v>
      </c>
      <c r="I83" s="8">
        <v>-697</v>
      </c>
      <c r="J83" s="8">
        <v>1330.7</v>
      </c>
      <c r="K83" s="8">
        <v>30.1</v>
      </c>
      <c r="L83" s="10">
        <v>0.86399999999999999</v>
      </c>
      <c r="M83" s="12" t="s">
        <v>310</v>
      </c>
    </row>
    <row r="84" spans="1:13" ht="100" x14ac:dyDescent="0.2">
      <c r="A84" s="2" t="s">
        <v>311</v>
      </c>
      <c r="B84" s="2" t="s">
        <v>312</v>
      </c>
      <c r="C84" s="2" t="str">
        <f>RIGHT(B84,SUM(LEN(B84)-LEN(SUBSTITUTE(B84,{"0","1","2","3","4","5","6","7","8","9"},""))))</f>
        <v>697</v>
      </c>
      <c r="D84" s="2" t="str">
        <f t="shared" si="2"/>
        <v>0697</v>
      </c>
      <c r="E84" s="2" t="str">
        <f t="shared" si="4"/>
        <v>'0697.HK'</v>
      </c>
      <c r="F84" s="4" t="s">
        <v>313</v>
      </c>
      <c r="G84" s="6" t="s">
        <v>14</v>
      </c>
      <c r="H84" s="7">
        <v>4.5</v>
      </c>
      <c r="I84" s="8">
        <v>-1854.4</v>
      </c>
      <c r="J84" s="8">
        <v>8954.7999999999993</v>
      </c>
      <c r="K84" s="8">
        <v>23.6</v>
      </c>
      <c r="L84" s="10">
        <v>0.84799999999999998</v>
      </c>
      <c r="M84" s="11" t="s">
        <v>314</v>
      </c>
    </row>
    <row r="85" spans="1:13" ht="30" x14ac:dyDescent="0.2">
      <c r="A85" s="2" t="s">
        <v>315</v>
      </c>
      <c r="B85" s="2" t="s">
        <v>316</v>
      </c>
      <c r="C85" s="2" t="str">
        <f>RIGHT(B85,SUM(LEN(B85)-LEN(SUBSTITUTE(B85,{"0","1","2","3","4","5","6","7","8","9"},""))))</f>
        <v>721</v>
      </c>
      <c r="D85" s="2" t="str">
        <f t="shared" si="2"/>
        <v>0721</v>
      </c>
      <c r="E85" s="2" t="str">
        <f t="shared" si="4"/>
        <v>'0721.HK'</v>
      </c>
      <c r="F85" s="4" t="s">
        <v>317</v>
      </c>
      <c r="G85" s="6" t="s">
        <v>14</v>
      </c>
      <c r="H85" s="7">
        <v>3.09</v>
      </c>
      <c r="I85" s="8">
        <v>-51.7</v>
      </c>
      <c r="J85" s="8">
        <v>603.4</v>
      </c>
      <c r="K85" s="7">
        <v>4.18</v>
      </c>
      <c r="L85" s="10">
        <v>0.84299999999999997</v>
      </c>
      <c r="M85" s="5" t="s">
        <v>279</v>
      </c>
    </row>
    <row r="86" spans="1:13" ht="90" x14ac:dyDescent="0.2">
      <c r="A86" s="2" t="s">
        <v>318</v>
      </c>
      <c r="B86" s="2" t="s">
        <v>319</v>
      </c>
      <c r="C86" s="2" t="str">
        <f>RIGHT(B86,SUM(LEN(B86)-LEN(SUBSTITUTE(B86,{"0","1","2","3","4","5","6","7","8","9"},""))))</f>
        <v>1301</v>
      </c>
      <c r="D86" s="2" t="str">
        <f t="shared" si="2"/>
        <v>1301</v>
      </c>
      <c r="E86" s="2" t="str">
        <f t="shared" si="4"/>
        <v>'1301.HK'</v>
      </c>
      <c r="F86" s="4" t="s">
        <v>320</v>
      </c>
      <c r="G86" s="6" t="s">
        <v>14</v>
      </c>
      <c r="H86" s="7">
        <v>1.67</v>
      </c>
      <c r="I86" s="8">
        <v>-218.1</v>
      </c>
      <c r="J86" s="8">
        <v>652.20000000000005</v>
      </c>
      <c r="K86" s="8">
        <v>27.5</v>
      </c>
      <c r="L86" s="10">
        <v>0.84199999999999997</v>
      </c>
      <c r="M86" s="11" t="s">
        <v>321</v>
      </c>
    </row>
    <row r="87" spans="1:13" ht="40" x14ac:dyDescent="0.2">
      <c r="A87" s="2" t="s">
        <v>322</v>
      </c>
      <c r="B87" s="2" t="s">
        <v>323</v>
      </c>
      <c r="C87" s="2" t="str">
        <f>RIGHT(B87,SUM(LEN(B87)-LEN(SUBSTITUTE(B87,{"0","1","2","3","4","5","6","7","8","9"},""))))</f>
        <v>6913</v>
      </c>
      <c r="D87" s="2" t="str">
        <f t="shared" si="2"/>
        <v>6913</v>
      </c>
      <c r="E87" s="2" t="str">
        <f t="shared" si="4"/>
        <v>'6913.HK'</v>
      </c>
      <c r="F87" s="4" t="s">
        <v>324</v>
      </c>
      <c r="G87" s="6" t="s">
        <v>14</v>
      </c>
      <c r="H87" s="7">
        <v>1.47</v>
      </c>
      <c r="I87" s="8">
        <v>-168.6</v>
      </c>
      <c r="J87" s="8">
        <v>1454.1</v>
      </c>
      <c r="K87" s="8">
        <v>36.1</v>
      </c>
      <c r="L87" s="10">
        <v>0.84199999999999997</v>
      </c>
      <c r="M87" s="5" t="s">
        <v>325</v>
      </c>
    </row>
    <row r="88" spans="1:13" ht="210" x14ac:dyDescent="0.2">
      <c r="A88" s="2" t="s">
        <v>326</v>
      </c>
      <c r="B88" s="2" t="s">
        <v>327</v>
      </c>
      <c r="C88" s="2" t="str">
        <f>RIGHT(B88,SUM(LEN(B88)-LEN(SUBSTITUTE(B88,{"0","1","2","3","4","5","6","7","8","9"},""))))</f>
        <v>3319</v>
      </c>
      <c r="D88" s="2" t="str">
        <f t="shared" ref="D88:D98" si="5">IF(LEN(C88)=4,C88,IF(LEN(C88)&lt;4,REPT("0",4-LEN(C88))&amp;C88))</f>
        <v>3319</v>
      </c>
      <c r="E88" s="2" t="str">
        <f t="shared" si="4"/>
        <v>'3319.HK'</v>
      </c>
      <c r="F88" s="4" t="s">
        <v>328</v>
      </c>
      <c r="G88" s="6" t="s">
        <v>14</v>
      </c>
      <c r="H88" s="7">
        <v>1.46</v>
      </c>
      <c r="I88" s="8">
        <v>-5712.8</v>
      </c>
      <c r="J88" s="8">
        <v>11558.8</v>
      </c>
      <c r="K88" s="8">
        <v>36</v>
      </c>
      <c r="L88" s="10">
        <v>0.82299999999999995</v>
      </c>
      <c r="M88" s="11" t="s">
        <v>329</v>
      </c>
    </row>
    <row r="89" spans="1:13" ht="100" x14ac:dyDescent="0.2">
      <c r="A89" s="2" t="s">
        <v>330</v>
      </c>
      <c r="B89" s="2" t="s">
        <v>331</v>
      </c>
      <c r="C89" s="2" t="str">
        <f>RIGHT(B89,SUM(LEN(B89)-LEN(SUBSTITUTE(B89,{"0","1","2","3","4","5","6","7","8","9"},""))))</f>
        <v>336</v>
      </c>
      <c r="D89" s="2" t="str">
        <f t="shared" si="5"/>
        <v>0336</v>
      </c>
      <c r="E89" s="2" t="str">
        <f t="shared" si="4"/>
        <v>'0336.HK'</v>
      </c>
      <c r="F89" s="4" t="s">
        <v>332</v>
      </c>
      <c r="G89" s="6" t="s">
        <v>14</v>
      </c>
      <c r="H89" s="7">
        <v>3.63</v>
      </c>
      <c r="I89" s="8">
        <v>-7216.2</v>
      </c>
      <c r="J89" s="8">
        <v>12693.6</v>
      </c>
      <c r="K89" s="8">
        <v>12.8</v>
      </c>
      <c r="L89" s="10">
        <v>0.82199999999999995</v>
      </c>
      <c r="M89" s="11" t="s">
        <v>333</v>
      </c>
    </row>
    <row r="90" spans="1:13" ht="140" x14ac:dyDescent="0.2">
      <c r="A90" s="2" t="s">
        <v>334</v>
      </c>
      <c r="B90" s="2" t="s">
        <v>335</v>
      </c>
      <c r="C90" s="2" t="str">
        <f>RIGHT(B90,SUM(LEN(B90)-LEN(SUBSTITUTE(B90,{"0","1","2","3","4","5","6","7","8","9"},""))))</f>
        <v>1836</v>
      </c>
      <c r="D90" s="2" t="str">
        <f t="shared" si="5"/>
        <v>1836</v>
      </c>
      <c r="E90" s="2" t="str">
        <f t="shared" si="4"/>
        <v>'1836.HK'</v>
      </c>
      <c r="F90" s="4" t="s">
        <v>336</v>
      </c>
      <c r="G90" s="6" t="s">
        <v>14</v>
      </c>
      <c r="H90" s="7">
        <v>1.97</v>
      </c>
      <c r="I90" s="8">
        <v>-831.9</v>
      </c>
      <c r="J90" s="8">
        <v>6337.6</v>
      </c>
      <c r="K90" s="8">
        <v>21.7</v>
      </c>
      <c r="L90" s="10">
        <v>0.81</v>
      </c>
      <c r="M90" s="11" t="s">
        <v>337</v>
      </c>
    </row>
    <row r="91" spans="1:13" ht="50" x14ac:dyDescent="0.2">
      <c r="A91" s="2" t="s">
        <v>338</v>
      </c>
      <c r="B91" s="2" t="s">
        <v>339</v>
      </c>
      <c r="C91" s="2" t="str">
        <f>RIGHT(B91,SUM(LEN(B91)-LEN(SUBSTITUTE(B91,{"0","1","2","3","4","5","6","7","8","9"},""))))</f>
        <v>1837</v>
      </c>
      <c r="D91" s="2" t="str">
        <f t="shared" si="5"/>
        <v>1837</v>
      </c>
      <c r="E91" s="2" t="str">
        <f t="shared" si="4"/>
        <v>'1837.HK'</v>
      </c>
      <c r="F91" s="4" t="s">
        <v>340</v>
      </c>
      <c r="G91" s="6" t="s">
        <v>14</v>
      </c>
      <c r="H91" s="7">
        <v>3.36</v>
      </c>
      <c r="I91" s="8">
        <v>-778.3</v>
      </c>
      <c r="J91" s="8">
        <v>1116.0999999999999</v>
      </c>
      <c r="K91" s="8">
        <v>19.600000000000001</v>
      </c>
      <c r="L91" s="10">
        <v>0.80800000000000005</v>
      </c>
      <c r="M91" s="12" t="s">
        <v>341</v>
      </c>
    </row>
    <row r="92" spans="1:13" ht="30" x14ac:dyDescent="0.2">
      <c r="A92" s="2" t="s">
        <v>342</v>
      </c>
      <c r="B92" s="2" t="s">
        <v>343</v>
      </c>
      <c r="C92" s="2" t="str">
        <f>RIGHT(B92,SUM(LEN(B92)-LEN(SUBSTITUTE(B92,{"0","1","2","3","4","5","6","7","8","9"},""))))</f>
        <v>2801</v>
      </c>
      <c r="D92" s="2" t="str">
        <f t="shared" si="5"/>
        <v>2801</v>
      </c>
      <c r="E92" s="2" t="str">
        <f t="shared" si="4"/>
        <v>'2801.HK'</v>
      </c>
      <c r="F92" s="4" t="s">
        <v>344</v>
      </c>
      <c r="G92" s="6" t="s">
        <v>14</v>
      </c>
      <c r="H92" s="8">
        <v>103.6</v>
      </c>
      <c r="I92" s="8">
        <v>-4450.8999999999996</v>
      </c>
      <c r="J92" s="8">
        <v>3432.2</v>
      </c>
      <c r="K92" s="10">
        <v>0.96499999999999997</v>
      </c>
      <c r="L92" s="10">
        <v>0.80800000000000005</v>
      </c>
      <c r="M92" s="5" t="s">
        <v>232</v>
      </c>
    </row>
    <row r="93" spans="1:13" ht="120" x14ac:dyDescent="0.2">
      <c r="A93" s="2" t="s">
        <v>345</v>
      </c>
      <c r="B93" s="2" t="s">
        <v>346</v>
      </c>
      <c r="C93" s="2" t="str">
        <f>RIGHT(B93,SUM(LEN(B93)-LEN(SUBSTITUTE(B93,{"0","1","2","3","4","5","6","7","8","9"},""))))</f>
        <v>18</v>
      </c>
      <c r="D93" s="2" t="str">
        <f t="shared" si="5"/>
        <v>0018</v>
      </c>
      <c r="E93" s="2" t="str">
        <f t="shared" si="4"/>
        <v>'0018.HK'</v>
      </c>
      <c r="F93" s="4" t="s">
        <v>347</v>
      </c>
      <c r="G93" s="6" t="s">
        <v>14</v>
      </c>
      <c r="H93" s="7">
        <v>5.78</v>
      </c>
      <c r="I93" s="8">
        <v>-632.4</v>
      </c>
      <c r="J93" s="8">
        <v>1462.7</v>
      </c>
      <c r="K93" s="7">
        <v>9.42</v>
      </c>
      <c r="L93" s="10">
        <v>0.80100000000000005</v>
      </c>
      <c r="M93" s="11" t="s">
        <v>348</v>
      </c>
    </row>
    <row r="94" spans="1:13" ht="210" x14ac:dyDescent="0.2">
      <c r="A94" s="2" t="s">
        <v>349</v>
      </c>
      <c r="B94" s="2" t="s">
        <v>350</v>
      </c>
      <c r="C94" s="2" t="str">
        <f>RIGHT(B94,SUM(LEN(B94)-LEN(SUBSTITUTE(B94,{"0","1","2","3","4","5","6","7","8","9"},""))))</f>
        <v>687</v>
      </c>
      <c r="D94" s="2" t="str">
        <f t="shared" si="5"/>
        <v>0687</v>
      </c>
      <c r="E94" s="2" t="str">
        <f t="shared" si="4"/>
        <v>'0687.HK'</v>
      </c>
      <c r="F94" s="4" t="s">
        <v>351</v>
      </c>
      <c r="G94" s="6" t="s">
        <v>14</v>
      </c>
      <c r="H94" s="7">
        <v>2.65</v>
      </c>
      <c r="I94" s="8">
        <v>-571</v>
      </c>
      <c r="J94" s="8">
        <v>1094</v>
      </c>
      <c r="K94" s="8">
        <v>32</v>
      </c>
      <c r="L94" s="10">
        <v>0.80100000000000005</v>
      </c>
      <c r="M94" s="11" t="s">
        <v>352</v>
      </c>
    </row>
    <row r="95" spans="1:13" ht="40" x14ac:dyDescent="0.2">
      <c r="A95" s="2" t="s">
        <v>353</v>
      </c>
      <c r="B95" s="2" t="s">
        <v>354</v>
      </c>
      <c r="C95" s="2" t="str">
        <f>RIGHT(B95,SUM(LEN(B95)-LEN(SUBSTITUTE(B95,{"0","1","2","3","4","5","6","7","8","9"},""))))</f>
        <v>195</v>
      </c>
      <c r="D95" s="2" t="str">
        <f t="shared" si="5"/>
        <v>0195</v>
      </c>
      <c r="E95" s="2" t="str">
        <f t="shared" si="4"/>
        <v>'0195.HK'</v>
      </c>
      <c r="F95" s="4" t="s">
        <v>355</v>
      </c>
      <c r="G95" s="6" t="s">
        <v>14</v>
      </c>
      <c r="H95" s="7">
        <v>1.1499999999999999</v>
      </c>
      <c r="I95" s="8">
        <v>-178.4</v>
      </c>
      <c r="J95" s="8">
        <v>751.3</v>
      </c>
      <c r="K95" s="8">
        <v>39.6</v>
      </c>
      <c r="L95" s="10">
        <v>0.8</v>
      </c>
      <c r="M95" s="5" t="s">
        <v>356</v>
      </c>
    </row>
    <row r="96" spans="1:13" ht="40" x14ac:dyDescent="0.2">
      <c r="A96" s="2" t="s">
        <v>357</v>
      </c>
      <c r="B96" s="2" t="s">
        <v>358</v>
      </c>
      <c r="C96" s="2" t="str">
        <f>RIGHT(B96,SUM(LEN(B96)-LEN(SUBSTITUTE(B96,{"0","1","2","3","4","5","6","7","8","9"},""))))</f>
        <v>255</v>
      </c>
      <c r="D96" s="2" t="str">
        <f t="shared" si="5"/>
        <v>0255</v>
      </c>
      <c r="E96" s="2" t="str">
        <f t="shared" si="4"/>
        <v>'0255.HK'</v>
      </c>
      <c r="F96" s="4" t="s">
        <v>359</v>
      </c>
      <c r="G96" s="6" t="s">
        <v>14</v>
      </c>
      <c r="H96" s="7">
        <v>3.27</v>
      </c>
      <c r="I96" s="8">
        <v>-942.5</v>
      </c>
      <c r="J96" s="8">
        <v>1642.4</v>
      </c>
      <c r="K96" s="8">
        <v>17.3</v>
      </c>
      <c r="L96" s="10">
        <v>0.79500000000000004</v>
      </c>
      <c r="M96" s="5" t="s">
        <v>360</v>
      </c>
    </row>
    <row r="97" spans="1:13" ht="240" x14ac:dyDescent="0.2">
      <c r="A97" s="2" t="s">
        <v>361</v>
      </c>
      <c r="B97" s="2" t="s">
        <v>362</v>
      </c>
      <c r="C97" s="2" t="str">
        <f>RIGHT(B97,SUM(LEN(B97)-LEN(SUBSTITUTE(B97,{"0","1","2","3","4","5","6","7","8","9"},""))))</f>
        <v>411</v>
      </c>
      <c r="D97" s="2" t="str">
        <f t="shared" si="5"/>
        <v>0411</v>
      </c>
      <c r="E97" s="2" t="str">
        <f t="shared" si="4"/>
        <v>'0411.HK'</v>
      </c>
      <c r="F97" s="4" t="s">
        <v>363</v>
      </c>
      <c r="G97" s="6" t="s">
        <v>14</v>
      </c>
      <c r="H97" s="7">
        <v>2.36</v>
      </c>
      <c r="I97" s="8">
        <v>-1537</v>
      </c>
      <c r="J97" s="8">
        <v>2331.6</v>
      </c>
      <c r="K97" s="8">
        <v>22.1</v>
      </c>
      <c r="L97" s="10">
        <v>0.78700000000000003</v>
      </c>
      <c r="M97" s="11" t="s">
        <v>364</v>
      </c>
    </row>
    <row r="98" spans="1:13" ht="40" x14ac:dyDescent="0.2">
      <c r="A98" s="2" t="s">
        <v>365</v>
      </c>
      <c r="B98" s="2" t="s">
        <v>366</v>
      </c>
      <c r="C98" s="2" t="str">
        <f>RIGHT(B98,SUM(LEN(B98)-LEN(SUBSTITUTE(B98,{"0","1","2","3","4","5","6","7","8","9"},""))))</f>
        <v>639</v>
      </c>
      <c r="D98" s="2" t="str">
        <f t="shared" si="5"/>
        <v>0639</v>
      </c>
      <c r="E98" s="2" t="str">
        <f t="shared" si="4"/>
        <v>'0639.HK'</v>
      </c>
      <c r="F98" s="4" t="s">
        <v>367</v>
      </c>
      <c r="G98" s="6" t="s">
        <v>14</v>
      </c>
      <c r="H98" s="7">
        <v>2.5299999999999998</v>
      </c>
      <c r="I98" s="8">
        <v>-6528.5</v>
      </c>
      <c r="J98" s="8">
        <v>13488.4</v>
      </c>
      <c r="K98" s="8">
        <v>22.7</v>
      </c>
      <c r="L98" s="10">
        <v>0.77100000000000002</v>
      </c>
      <c r="M98" s="5" t="s">
        <v>368</v>
      </c>
    </row>
    <row r="99" spans="1:13" ht="40" hidden="1" x14ac:dyDescent="0.2">
      <c r="A99" s="2" t="s">
        <v>369</v>
      </c>
      <c r="B99" s="2" t="s">
        <v>370</v>
      </c>
      <c r="C99" s="2" t="str">
        <f>RIGHT(B99,SUM(LEN(B99)-LEN(SUBSTITUTE(B99,{"0","1","2","3","4","5","6","7","8","9"},""))))</f>
        <v/>
      </c>
      <c r="D99" s="2"/>
      <c r="E99" s="2"/>
      <c r="F99" s="5" t="s">
        <v>14</v>
      </c>
      <c r="G99" s="6" t="s">
        <v>371</v>
      </c>
      <c r="H99" s="7">
        <v>2.06</v>
      </c>
      <c r="I99" s="8">
        <v>-4006.9</v>
      </c>
      <c r="J99" s="8">
        <v>7827.8</v>
      </c>
      <c r="K99" s="8">
        <v>25.2</v>
      </c>
      <c r="L99" s="10">
        <v>0.76900000000000002</v>
      </c>
      <c r="M99" s="5" t="s">
        <v>279</v>
      </c>
    </row>
    <row r="100" spans="1:13" ht="250" x14ac:dyDescent="0.2">
      <c r="A100" s="2" t="s">
        <v>372</v>
      </c>
      <c r="B100" s="2" t="s">
        <v>373</v>
      </c>
      <c r="C100" s="2" t="str">
        <f>RIGHT(B100,SUM(LEN(B100)-LEN(SUBSTITUTE(B100,{"0","1","2","3","4","5","6","7","8","9"},""))))</f>
        <v>3686</v>
      </c>
      <c r="D100" s="2" t="str">
        <f t="shared" ref="D100:D163" si="6">IF(LEN(C100)=4,C100,IF(LEN(C100)&lt;4,REPT("0",4-LEN(C100))&amp;C100))</f>
        <v>3686</v>
      </c>
      <c r="E100" s="2" t="str">
        <f t="shared" ref="E100:E163" si="7">"'"&amp;D100&amp;".HK"&amp;"'"</f>
        <v>'3686.HK'</v>
      </c>
      <c r="F100" s="4" t="s">
        <v>374</v>
      </c>
      <c r="G100" s="6" t="s">
        <v>14</v>
      </c>
      <c r="H100" s="7">
        <v>3.75</v>
      </c>
      <c r="I100" s="8">
        <v>-430.6</v>
      </c>
      <c r="J100" s="8">
        <v>538.29999999999995</v>
      </c>
      <c r="K100" s="8">
        <v>26.3</v>
      </c>
      <c r="L100" s="10">
        <v>0.76800000000000002</v>
      </c>
      <c r="M100" s="11" t="s">
        <v>375</v>
      </c>
    </row>
    <row r="101" spans="1:13" ht="80" x14ac:dyDescent="0.2">
      <c r="A101" s="2" t="s">
        <v>376</v>
      </c>
      <c r="B101" s="2" t="s">
        <v>377</v>
      </c>
      <c r="C101" s="2" t="str">
        <f>RIGHT(B101,SUM(LEN(B101)-LEN(SUBSTITUTE(B101,{"0","1","2","3","4","5","6","7","8","9"},""))))</f>
        <v>302</v>
      </c>
      <c r="D101" s="2" t="str">
        <f t="shared" si="6"/>
        <v>0302</v>
      </c>
      <c r="E101" s="2" t="str">
        <f t="shared" si="7"/>
        <v>'0302.HK'</v>
      </c>
      <c r="F101" s="4" t="s">
        <v>378</v>
      </c>
      <c r="G101" s="6" t="s">
        <v>14</v>
      </c>
      <c r="H101" s="7">
        <v>1.26</v>
      </c>
      <c r="I101" s="8">
        <v>-495.4</v>
      </c>
      <c r="J101" s="8">
        <v>5093.2</v>
      </c>
      <c r="K101" s="8">
        <v>26.1</v>
      </c>
      <c r="L101" s="10">
        <v>0.76700000000000002</v>
      </c>
      <c r="M101" s="11" t="s">
        <v>379</v>
      </c>
    </row>
    <row r="102" spans="1:13" ht="40" x14ac:dyDescent="0.2">
      <c r="A102" s="2" t="s">
        <v>380</v>
      </c>
      <c r="B102" s="2" t="s">
        <v>381</v>
      </c>
      <c r="C102" s="2" t="str">
        <f>RIGHT(B102,SUM(LEN(B102)-LEN(SUBSTITUTE(B102,{"0","1","2","3","4","5","6","7","8","9"},""))))</f>
        <v>1057</v>
      </c>
      <c r="D102" s="2" t="str">
        <f t="shared" si="6"/>
        <v>1057</v>
      </c>
      <c r="E102" s="2" t="str">
        <f t="shared" si="7"/>
        <v>'1057.HK'</v>
      </c>
      <c r="F102" s="4" t="s">
        <v>382</v>
      </c>
      <c r="G102" s="6" t="s">
        <v>14</v>
      </c>
      <c r="H102" s="7">
        <v>1.1399999999999999</v>
      </c>
      <c r="I102" s="8">
        <v>-115.8</v>
      </c>
      <c r="J102" s="8">
        <v>6370.4</v>
      </c>
      <c r="K102" s="8">
        <v>34.700000000000003</v>
      </c>
      <c r="L102" s="10">
        <v>0.75800000000000001</v>
      </c>
      <c r="M102" s="5" t="s">
        <v>383</v>
      </c>
    </row>
    <row r="103" spans="1:13" ht="110" x14ac:dyDescent="0.2">
      <c r="A103" s="2" t="s">
        <v>384</v>
      </c>
      <c r="B103" s="2" t="s">
        <v>385</v>
      </c>
      <c r="C103" s="2" t="str">
        <f>RIGHT(B103,SUM(LEN(B103)-LEN(SUBSTITUTE(B103,{"0","1","2","3","4","5","6","7","8","9"},""))))</f>
        <v>1731</v>
      </c>
      <c r="D103" s="2" t="str">
        <f t="shared" si="6"/>
        <v>1731</v>
      </c>
      <c r="E103" s="2" t="str">
        <f t="shared" si="7"/>
        <v>'1731.HK'</v>
      </c>
      <c r="F103" s="4" t="s">
        <v>386</v>
      </c>
      <c r="G103" s="6" t="s">
        <v>14</v>
      </c>
      <c r="H103" s="7">
        <v>2.0299999999999998</v>
      </c>
      <c r="I103" s="8">
        <v>-359.8</v>
      </c>
      <c r="J103" s="8">
        <v>806.4</v>
      </c>
      <c r="K103" s="8">
        <v>26.9</v>
      </c>
      <c r="L103" s="10">
        <v>0.75600000000000001</v>
      </c>
      <c r="M103" s="11" t="s">
        <v>387</v>
      </c>
    </row>
    <row r="104" spans="1:13" ht="130" x14ac:dyDescent="0.2">
      <c r="A104" s="2" t="s">
        <v>388</v>
      </c>
      <c r="B104" s="2" t="s">
        <v>389</v>
      </c>
      <c r="C104" s="2" t="str">
        <f>RIGHT(B104,SUM(LEN(B104)-LEN(SUBSTITUTE(B104,{"0","1","2","3","4","5","6","7","8","9"},""))))</f>
        <v>206</v>
      </c>
      <c r="D104" s="2" t="str">
        <f t="shared" si="6"/>
        <v>0206</v>
      </c>
      <c r="E104" s="2" t="str">
        <f t="shared" si="7"/>
        <v>'0206.HK'</v>
      </c>
      <c r="F104" s="4" t="s">
        <v>390</v>
      </c>
      <c r="G104" s="6" t="s">
        <v>14</v>
      </c>
      <c r="H104" s="7">
        <v>1.49</v>
      </c>
      <c r="I104" s="8">
        <v>-99.9</v>
      </c>
      <c r="J104" s="8">
        <v>859.5</v>
      </c>
      <c r="K104" s="8">
        <v>35.4</v>
      </c>
      <c r="L104" s="10">
        <v>0.746</v>
      </c>
      <c r="M104" s="11" t="s">
        <v>391</v>
      </c>
    </row>
    <row r="105" spans="1:13" ht="50" x14ac:dyDescent="0.2">
      <c r="A105" s="2" t="s">
        <v>392</v>
      </c>
      <c r="B105" s="2" t="s">
        <v>393</v>
      </c>
      <c r="C105" s="2" t="str">
        <f>RIGHT(B105,SUM(LEN(B105)-LEN(SUBSTITUTE(B105,{"0","1","2","3","4","5","6","7","8","9"},""))))</f>
        <v>869</v>
      </c>
      <c r="D105" s="2" t="str">
        <f t="shared" si="6"/>
        <v>0869</v>
      </c>
      <c r="E105" s="2" t="str">
        <f t="shared" si="7"/>
        <v>'0869.HK'</v>
      </c>
      <c r="F105" s="4" t="s">
        <v>394</v>
      </c>
      <c r="G105" s="6" t="s">
        <v>14</v>
      </c>
      <c r="H105" s="7">
        <v>4.3600000000000003</v>
      </c>
      <c r="I105" s="8">
        <v>-942.9</v>
      </c>
      <c r="J105" s="8">
        <v>708</v>
      </c>
      <c r="K105" s="8">
        <v>21</v>
      </c>
      <c r="L105" s="10">
        <v>0.73</v>
      </c>
      <c r="M105" s="5" t="s">
        <v>395</v>
      </c>
    </row>
    <row r="106" spans="1:13" ht="180" x14ac:dyDescent="0.2">
      <c r="A106" s="2" t="s">
        <v>396</v>
      </c>
      <c r="B106" s="2" t="s">
        <v>397</v>
      </c>
      <c r="C106" s="2" t="str">
        <f>RIGHT(B106,SUM(LEN(B106)-LEN(SUBSTITUTE(B106,{"0","1","2","3","4","5","6","7","8","9"},""))))</f>
        <v>1896</v>
      </c>
      <c r="D106" s="2" t="str">
        <f t="shared" si="6"/>
        <v>1896</v>
      </c>
      <c r="E106" s="2" t="str">
        <f t="shared" si="7"/>
        <v>'1896.HK'</v>
      </c>
      <c r="F106" s="4" t="s">
        <v>398</v>
      </c>
      <c r="G106" s="6" t="s">
        <v>14</v>
      </c>
      <c r="H106" s="7">
        <v>1.23</v>
      </c>
      <c r="I106" s="8">
        <v>-2525.1999999999998</v>
      </c>
      <c r="J106" s="8">
        <v>6862</v>
      </c>
      <c r="K106" s="8">
        <v>27.6</v>
      </c>
      <c r="L106" s="10">
        <v>0.72799999999999998</v>
      </c>
      <c r="M106" s="11" t="s">
        <v>399</v>
      </c>
    </row>
    <row r="107" spans="1:13" ht="110" x14ac:dyDescent="0.2">
      <c r="A107" s="2" t="s">
        <v>400</v>
      </c>
      <c r="B107" s="2" t="s">
        <v>401</v>
      </c>
      <c r="C107" s="2" t="str">
        <f>RIGHT(B107,SUM(LEN(B107)-LEN(SUBSTITUTE(B107,{"0","1","2","3","4","5","6","7","8","9"},""))))</f>
        <v>128</v>
      </c>
      <c r="D107" s="2" t="str">
        <f t="shared" si="6"/>
        <v>0128</v>
      </c>
      <c r="E107" s="2" t="str">
        <f t="shared" si="7"/>
        <v>'0128.HK'</v>
      </c>
      <c r="F107" s="4" t="s">
        <v>402</v>
      </c>
      <c r="G107" s="6" t="s">
        <v>14</v>
      </c>
      <c r="H107" s="8">
        <v>17.5</v>
      </c>
      <c r="I107" s="8">
        <v>-688</v>
      </c>
      <c r="J107" s="8">
        <v>858.3</v>
      </c>
      <c r="K107" s="7">
        <v>3.81</v>
      </c>
      <c r="L107" s="10">
        <v>0.72699999999999998</v>
      </c>
      <c r="M107" s="11" t="s">
        <v>403</v>
      </c>
    </row>
    <row r="108" spans="1:13" ht="90" x14ac:dyDescent="0.2">
      <c r="A108" s="2" t="s">
        <v>404</v>
      </c>
      <c r="B108" s="2" t="s">
        <v>405</v>
      </c>
      <c r="C108" s="2" t="str">
        <f>RIGHT(B108,SUM(LEN(B108)-LEN(SUBSTITUTE(B108,{"0","1","2","3","4","5","6","7","8","9"},""))))</f>
        <v>2232</v>
      </c>
      <c r="D108" s="2" t="str">
        <f t="shared" si="6"/>
        <v>2232</v>
      </c>
      <c r="E108" s="2" t="str">
        <f t="shared" si="7"/>
        <v>'2232.HK'</v>
      </c>
      <c r="F108" s="4" t="s">
        <v>406</v>
      </c>
      <c r="G108" s="6" t="s">
        <v>14</v>
      </c>
      <c r="H108" s="7">
        <v>1.21</v>
      </c>
      <c r="I108" s="8">
        <v>-1581.7</v>
      </c>
      <c r="J108" s="8">
        <v>7331.7</v>
      </c>
      <c r="K108" s="8">
        <v>34</v>
      </c>
      <c r="L108" s="10">
        <v>0.72499999999999998</v>
      </c>
      <c r="M108" s="11" t="s">
        <v>407</v>
      </c>
    </row>
    <row r="109" spans="1:13" ht="50" x14ac:dyDescent="0.2">
      <c r="A109" s="2" t="s">
        <v>408</v>
      </c>
      <c r="B109" s="2" t="s">
        <v>409</v>
      </c>
      <c r="C109" s="2" t="str">
        <f>RIGHT(B109,SUM(LEN(B109)-LEN(SUBSTITUTE(B109,{"0","1","2","3","4","5","6","7","8","9"},""))))</f>
        <v>2205</v>
      </c>
      <c r="D109" s="2" t="str">
        <f t="shared" si="6"/>
        <v>2205</v>
      </c>
      <c r="E109" s="2" t="str">
        <f t="shared" si="7"/>
        <v>'2205.HK'</v>
      </c>
      <c r="F109" s="4" t="s">
        <v>410</v>
      </c>
      <c r="G109" s="6" t="s">
        <v>14</v>
      </c>
      <c r="H109" s="7">
        <v>2.36</v>
      </c>
      <c r="I109" s="8">
        <v>-682</v>
      </c>
      <c r="J109" s="8">
        <v>588</v>
      </c>
      <c r="K109" s="8">
        <v>38.200000000000003</v>
      </c>
      <c r="L109" s="10">
        <v>0.72399999999999998</v>
      </c>
      <c r="M109" s="12" t="s">
        <v>151</v>
      </c>
    </row>
    <row r="110" spans="1:13" ht="100" x14ac:dyDescent="0.2">
      <c r="A110" s="2" t="s">
        <v>411</v>
      </c>
      <c r="B110" s="2" t="s">
        <v>412</v>
      </c>
      <c r="C110" s="2" t="str">
        <f>RIGHT(B110,SUM(LEN(B110)-LEN(SUBSTITUTE(B110,{"0","1","2","3","4","5","6","7","8","9"},""))))</f>
        <v>1502</v>
      </c>
      <c r="D110" s="2" t="str">
        <f t="shared" si="6"/>
        <v>1502</v>
      </c>
      <c r="E110" s="2" t="str">
        <f t="shared" si="7"/>
        <v>'1502.HK'</v>
      </c>
      <c r="F110" s="4" t="s">
        <v>413</v>
      </c>
      <c r="G110" s="6" t="s">
        <v>14</v>
      </c>
      <c r="H110" s="7">
        <v>2.4300000000000002</v>
      </c>
      <c r="I110" s="8">
        <v>-1684.8</v>
      </c>
      <c r="J110" s="8">
        <v>959.9</v>
      </c>
      <c r="K110" s="8">
        <v>38.1</v>
      </c>
      <c r="L110" s="10">
        <v>0.72299999999999998</v>
      </c>
      <c r="M110" s="11" t="s">
        <v>414</v>
      </c>
    </row>
    <row r="111" spans="1:13" ht="140" x14ac:dyDescent="0.2">
      <c r="A111" s="2" t="s">
        <v>415</v>
      </c>
      <c r="B111" s="2" t="s">
        <v>416</v>
      </c>
      <c r="C111" s="2" t="str">
        <f>RIGHT(B111,SUM(LEN(B111)-LEN(SUBSTITUTE(B111,{"0","1","2","3","4","5","6","7","8","9"},""))))</f>
        <v>1126</v>
      </c>
      <c r="D111" s="2" t="str">
        <f t="shared" si="6"/>
        <v>1126</v>
      </c>
      <c r="E111" s="2" t="str">
        <f t="shared" si="7"/>
        <v>'1126.HK'</v>
      </c>
      <c r="F111" s="4" t="s">
        <v>417</v>
      </c>
      <c r="G111" s="6" t="s">
        <v>14</v>
      </c>
      <c r="H111" s="7">
        <v>1.24</v>
      </c>
      <c r="I111" s="8">
        <v>-302.8</v>
      </c>
      <c r="J111" s="8">
        <v>1976.4</v>
      </c>
      <c r="K111" s="8">
        <v>36.299999999999997</v>
      </c>
      <c r="L111" s="10">
        <v>0.70599999999999996</v>
      </c>
      <c r="M111" s="11" t="s">
        <v>418</v>
      </c>
    </row>
    <row r="112" spans="1:13" ht="90" x14ac:dyDescent="0.2">
      <c r="A112" s="2" t="s">
        <v>419</v>
      </c>
      <c r="B112" s="2" t="s">
        <v>420</v>
      </c>
      <c r="C112" s="2" t="str">
        <f>RIGHT(B112,SUM(LEN(B112)-LEN(SUBSTITUTE(B112,{"0","1","2","3","4","5","6","7","8","9"},""))))</f>
        <v>6909</v>
      </c>
      <c r="D112" s="2" t="str">
        <f t="shared" si="6"/>
        <v>6909</v>
      </c>
      <c r="E112" s="2" t="str">
        <f t="shared" si="7"/>
        <v>'6909.HK'</v>
      </c>
      <c r="F112" s="4" t="s">
        <v>421</v>
      </c>
      <c r="G112" s="6" t="s">
        <v>14</v>
      </c>
      <c r="H112" s="7">
        <v>1.81</v>
      </c>
      <c r="I112" s="8">
        <v>-1225.2</v>
      </c>
      <c r="J112" s="8">
        <v>2178.8000000000002</v>
      </c>
      <c r="K112" s="8">
        <v>32.5</v>
      </c>
      <c r="L112" s="10">
        <v>0.69899999999999995</v>
      </c>
      <c r="M112" s="11" t="s">
        <v>422</v>
      </c>
    </row>
    <row r="113" spans="1:13" ht="100" x14ac:dyDescent="0.2">
      <c r="A113" s="2" t="s">
        <v>423</v>
      </c>
      <c r="B113" s="2" t="s">
        <v>424</v>
      </c>
      <c r="C113" s="2" t="str">
        <f>RIGHT(B113,SUM(LEN(B113)-LEN(SUBSTITUTE(B113,{"0","1","2","3","4","5","6","7","8","9"},""))))</f>
        <v>6601</v>
      </c>
      <c r="D113" s="2" t="str">
        <f t="shared" si="6"/>
        <v>6601</v>
      </c>
      <c r="E113" s="2" t="str">
        <f t="shared" si="7"/>
        <v>'6601.HK'</v>
      </c>
      <c r="F113" s="4" t="s">
        <v>425</v>
      </c>
      <c r="G113" s="6" t="s">
        <v>14</v>
      </c>
      <c r="H113" s="7">
        <v>4.05</v>
      </c>
      <c r="I113" s="8">
        <v>-3256.8</v>
      </c>
      <c r="J113" s="8">
        <v>2333.3000000000002</v>
      </c>
      <c r="K113" s="8">
        <v>20.100000000000001</v>
      </c>
      <c r="L113" s="10">
        <v>0.69799999999999995</v>
      </c>
      <c r="M113" s="11" t="s">
        <v>426</v>
      </c>
    </row>
    <row r="114" spans="1:13" ht="160" x14ac:dyDescent="0.2">
      <c r="A114" s="2" t="s">
        <v>427</v>
      </c>
      <c r="B114" s="2" t="s">
        <v>428</v>
      </c>
      <c r="C114" s="2" t="str">
        <f>RIGHT(B114,SUM(LEN(B114)-LEN(SUBSTITUTE(B114,{"0","1","2","3","4","5","6","7","8","9"},""))))</f>
        <v>677</v>
      </c>
      <c r="D114" s="2" t="str">
        <f t="shared" si="6"/>
        <v>0677</v>
      </c>
      <c r="E114" s="2" t="str">
        <f t="shared" si="7"/>
        <v>'0677.HK'</v>
      </c>
      <c r="F114" s="4" t="s">
        <v>429</v>
      </c>
      <c r="G114" s="6" t="s">
        <v>14</v>
      </c>
      <c r="H114" s="7">
        <v>1.98</v>
      </c>
      <c r="I114" s="8">
        <v>-271.8</v>
      </c>
      <c r="J114" s="8">
        <v>789.3</v>
      </c>
      <c r="K114" s="8">
        <v>34.700000000000003</v>
      </c>
      <c r="L114" s="10">
        <v>0.69</v>
      </c>
      <c r="M114" s="11" t="s">
        <v>430</v>
      </c>
    </row>
    <row r="115" spans="1:13" ht="200" x14ac:dyDescent="0.2">
      <c r="A115" s="2" t="s">
        <v>431</v>
      </c>
      <c r="B115" s="2" t="s">
        <v>432</v>
      </c>
      <c r="C115" s="2" t="str">
        <f>RIGHT(B115,SUM(LEN(B115)-LEN(SUBSTITUTE(B115,{"0","1","2","3","4","5","6","7","8","9"},""))))</f>
        <v>9666</v>
      </c>
      <c r="D115" s="2" t="str">
        <f t="shared" si="6"/>
        <v>9666</v>
      </c>
      <c r="E115" s="2" t="str">
        <f t="shared" si="7"/>
        <v>'9666.HK'</v>
      </c>
      <c r="F115" s="4" t="s">
        <v>433</v>
      </c>
      <c r="G115" s="6" t="s">
        <v>14</v>
      </c>
      <c r="H115" s="7">
        <v>3.51</v>
      </c>
      <c r="I115" s="8">
        <v>-6097.1</v>
      </c>
      <c r="J115" s="8">
        <v>5888.7</v>
      </c>
      <c r="K115" s="8">
        <v>26</v>
      </c>
      <c r="L115" s="10">
        <v>0.66900000000000004</v>
      </c>
      <c r="M115" s="11" t="s">
        <v>434</v>
      </c>
    </row>
    <row r="116" spans="1:13" ht="160" x14ac:dyDescent="0.2">
      <c r="A116" s="2" t="s">
        <v>435</v>
      </c>
      <c r="B116" s="2" t="s">
        <v>436</v>
      </c>
      <c r="C116" s="2" t="str">
        <f>RIGHT(B116,SUM(LEN(B116)-LEN(SUBSTITUTE(B116,{"0","1","2","3","4","5","6","7","8","9"},""))))</f>
        <v>335</v>
      </c>
      <c r="D116" s="2" t="str">
        <f t="shared" si="6"/>
        <v>0335</v>
      </c>
      <c r="E116" s="2" t="str">
        <f t="shared" si="7"/>
        <v>'0335.HK'</v>
      </c>
      <c r="F116" s="4" t="s">
        <v>437</v>
      </c>
      <c r="G116" s="6" t="s">
        <v>14</v>
      </c>
      <c r="H116" s="7">
        <v>2.63</v>
      </c>
      <c r="I116" s="8">
        <v>-333.8</v>
      </c>
      <c r="J116" s="8">
        <v>1797.1</v>
      </c>
      <c r="K116" s="8">
        <v>17.399999999999999</v>
      </c>
      <c r="L116" s="10">
        <v>0.66100000000000003</v>
      </c>
      <c r="M116" s="11" t="s">
        <v>438</v>
      </c>
    </row>
    <row r="117" spans="1:13" ht="40" x14ac:dyDescent="0.2">
      <c r="A117" s="2" t="s">
        <v>439</v>
      </c>
      <c r="B117" s="2" t="s">
        <v>440</v>
      </c>
      <c r="C117" s="2" t="str">
        <f>RIGHT(B117,SUM(LEN(B117)-LEN(SUBSTITUTE(B117,{"0","1","2","3","4","5","6","7","8","9"},""))))</f>
        <v>9990</v>
      </c>
      <c r="D117" s="2" t="str">
        <f t="shared" si="6"/>
        <v>9990</v>
      </c>
      <c r="E117" s="2" t="str">
        <f t="shared" si="7"/>
        <v>'9990.HK'</v>
      </c>
      <c r="F117" s="4" t="s">
        <v>441</v>
      </c>
      <c r="G117" s="6" t="s">
        <v>14</v>
      </c>
      <c r="H117" s="8">
        <v>12.1</v>
      </c>
      <c r="I117" s="8">
        <v>-3153.3</v>
      </c>
      <c r="J117" s="8">
        <v>2594.6</v>
      </c>
      <c r="K117" s="7">
        <v>10</v>
      </c>
      <c r="L117" s="10">
        <v>0.65900000000000003</v>
      </c>
      <c r="M117" s="5" t="s">
        <v>264</v>
      </c>
    </row>
    <row r="118" spans="1:13" ht="30" x14ac:dyDescent="0.2">
      <c r="A118" s="2" t="s">
        <v>442</v>
      </c>
      <c r="B118" s="2" t="s">
        <v>443</v>
      </c>
      <c r="C118" s="2" t="str">
        <f>RIGHT(B118,SUM(LEN(B118)-LEN(SUBSTITUTE(B118,{"0","1","2","3","4","5","6","7","8","9"},""))))</f>
        <v>2686</v>
      </c>
      <c r="D118" s="2" t="str">
        <f t="shared" si="6"/>
        <v>2686</v>
      </c>
      <c r="E118" s="2" t="str">
        <f t="shared" si="7"/>
        <v>'2686.HK'</v>
      </c>
      <c r="F118" s="4" t="s">
        <v>444</v>
      </c>
      <c r="G118" s="6" t="s">
        <v>14</v>
      </c>
      <c r="H118" s="7">
        <v>3.08</v>
      </c>
      <c r="I118" s="8">
        <v>-2181.6</v>
      </c>
      <c r="J118" s="8">
        <v>5058.7</v>
      </c>
      <c r="K118" s="8">
        <v>20.5</v>
      </c>
      <c r="L118" s="10">
        <v>0.63500000000000001</v>
      </c>
      <c r="M118" s="5" t="s">
        <v>445</v>
      </c>
    </row>
    <row r="119" spans="1:13" ht="70" x14ac:dyDescent="0.2">
      <c r="A119" s="2" t="s">
        <v>446</v>
      </c>
      <c r="B119" s="2" t="s">
        <v>447</v>
      </c>
      <c r="C119" s="2" t="str">
        <f>RIGHT(B119,SUM(LEN(B119)-LEN(SUBSTITUTE(B119,{"0","1","2","3","4","5","6","7","8","9"},""))))</f>
        <v>1981</v>
      </c>
      <c r="D119" s="2" t="str">
        <f t="shared" si="6"/>
        <v>1981</v>
      </c>
      <c r="E119" s="2" t="str">
        <f t="shared" si="7"/>
        <v>'1981.HK'</v>
      </c>
      <c r="F119" s="4" t="s">
        <v>448</v>
      </c>
      <c r="G119" s="6" t="s">
        <v>449</v>
      </c>
      <c r="H119" s="7">
        <v>1.29</v>
      </c>
      <c r="I119" s="8">
        <v>-1016.3</v>
      </c>
      <c r="J119" s="8">
        <v>1952.8</v>
      </c>
      <c r="K119" s="8">
        <v>26.7</v>
      </c>
      <c r="L119" s="10">
        <v>0.624</v>
      </c>
      <c r="M119" s="11" t="s">
        <v>450</v>
      </c>
    </row>
    <row r="120" spans="1:13" ht="60" x14ac:dyDescent="0.2">
      <c r="A120" s="2" t="s">
        <v>451</v>
      </c>
      <c r="B120" s="2" t="s">
        <v>452</v>
      </c>
      <c r="C120" s="2" t="str">
        <f>RIGHT(B120,SUM(LEN(B120)-LEN(SUBSTITUTE(B120,{"0","1","2","3","4","5","6","7","8","9"},""))))</f>
        <v>3913</v>
      </c>
      <c r="D120" s="2" t="str">
        <f t="shared" si="6"/>
        <v>3913</v>
      </c>
      <c r="E120" s="2" t="str">
        <f t="shared" si="7"/>
        <v>'3913.HK'</v>
      </c>
      <c r="F120" s="4" t="s">
        <v>453</v>
      </c>
      <c r="G120" s="6" t="s">
        <v>14</v>
      </c>
      <c r="H120" s="7">
        <v>1.82</v>
      </c>
      <c r="I120" s="8">
        <v>-1539.5</v>
      </c>
      <c r="J120" s="8">
        <v>2734.9</v>
      </c>
      <c r="K120" s="8">
        <v>29.7</v>
      </c>
      <c r="L120" s="10">
        <v>0.61599999999999999</v>
      </c>
      <c r="M120" s="11" t="s">
        <v>248</v>
      </c>
    </row>
    <row r="121" spans="1:13" ht="150" x14ac:dyDescent="0.2">
      <c r="A121" s="2" t="s">
        <v>454</v>
      </c>
      <c r="B121" s="2" t="s">
        <v>455</v>
      </c>
      <c r="C121" s="2" t="str">
        <f>RIGHT(B121,SUM(LEN(B121)-LEN(SUBSTITUTE(B121,{"0","1","2","3","4","5","6","7","8","9"},""))))</f>
        <v>800</v>
      </c>
      <c r="D121" s="2" t="str">
        <f t="shared" si="6"/>
        <v>0800</v>
      </c>
      <c r="E121" s="2" t="str">
        <f t="shared" si="7"/>
        <v>'0800.HK'</v>
      </c>
      <c r="F121" s="4" t="s">
        <v>456</v>
      </c>
      <c r="G121" s="6" t="s">
        <v>14</v>
      </c>
      <c r="H121" s="7">
        <v>7.21</v>
      </c>
      <c r="I121" s="8">
        <v>-683.7</v>
      </c>
      <c r="J121" s="8">
        <v>1087.9000000000001</v>
      </c>
      <c r="K121" s="8">
        <v>11</v>
      </c>
      <c r="L121" s="10">
        <v>0.60899999999999999</v>
      </c>
      <c r="M121" s="11" t="s">
        <v>457</v>
      </c>
    </row>
    <row r="122" spans="1:13" ht="70" x14ac:dyDescent="0.2">
      <c r="A122" s="2" t="s">
        <v>458</v>
      </c>
      <c r="B122" s="2" t="s">
        <v>459</v>
      </c>
      <c r="C122" s="2" t="str">
        <f>RIGHT(B122,SUM(LEN(B122)-LEN(SUBSTITUTE(B122,{"0","1","2","3","4","5","6","7","8","9"},""))))</f>
        <v>93</v>
      </c>
      <c r="D122" s="2" t="str">
        <f t="shared" si="6"/>
        <v>0093</v>
      </c>
      <c r="E122" s="2" t="str">
        <f t="shared" si="7"/>
        <v>'0093.HK'</v>
      </c>
      <c r="F122" s="4" t="s">
        <v>460</v>
      </c>
      <c r="G122" s="6" t="s">
        <v>14</v>
      </c>
      <c r="H122" s="7">
        <v>2.93</v>
      </c>
      <c r="I122" s="8">
        <v>-180.3</v>
      </c>
      <c r="J122" s="8">
        <v>666.9</v>
      </c>
      <c r="K122" s="8">
        <v>15.9</v>
      </c>
      <c r="L122" s="10">
        <v>0.59799999999999998</v>
      </c>
      <c r="M122" s="11" t="s">
        <v>461</v>
      </c>
    </row>
    <row r="123" spans="1:13" ht="60" x14ac:dyDescent="0.2">
      <c r="A123" s="2" t="s">
        <v>462</v>
      </c>
      <c r="B123" s="2" t="s">
        <v>463</v>
      </c>
      <c r="C123" s="2" t="str">
        <f>RIGHT(B123,SUM(LEN(B123)-LEN(SUBSTITUTE(B123,{"0","1","2","3","4","5","6","7","8","9"},""))))</f>
        <v>8137</v>
      </c>
      <c r="D123" s="2" t="str">
        <f t="shared" si="6"/>
        <v>8137</v>
      </c>
      <c r="E123" s="2" t="str">
        <f t="shared" si="7"/>
        <v>'8137.HK'</v>
      </c>
      <c r="F123" s="4" t="s">
        <v>464</v>
      </c>
      <c r="G123" s="6" t="s">
        <v>14</v>
      </c>
      <c r="H123" s="7">
        <v>2.54</v>
      </c>
      <c r="I123" s="8">
        <v>-259.3</v>
      </c>
      <c r="J123" s="8">
        <v>2872.5</v>
      </c>
      <c r="K123" s="8">
        <v>35.9</v>
      </c>
      <c r="L123" s="10">
        <v>0.58899999999999997</v>
      </c>
      <c r="M123" s="11" t="s">
        <v>465</v>
      </c>
    </row>
    <row r="124" spans="1:13" ht="90" x14ac:dyDescent="0.2">
      <c r="A124" s="2" t="s">
        <v>466</v>
      </c>
      <c r="B124" s="2" t="s">
        <v>467</v>
      </c>
      <c r="C124" s="2" t="str">
        <f>RIGHT(B124,SUM(LEN(B124)-LEN(SUBSTITUTE(B124,{"0","1","2","3","4","5","6","7","8","9"},""))))</f>
        <v>468</v>
      </c>
      <c r="D124" s="2" t="str">
        <f t="shared" si="6"/>
        <v>0468</v>
      </c>
      <c r="E124" s="2" t="str">
        <f t="shared" si="7"/>
        <v>'0468.HK'</v>
      </c>
      <c r="F124" s="4" t="s">
        <v>468</v>
      </c>
      <c r="G124" s="6" t="s">
        <v>14</v>
      </c>
      <c r="H124" s="7">
        <v>1.01</v>
      </c>
      <c r="I124" s="8">
        <v>-140</v>
      </c>
      <c r="J124" s="8">
        <v>1844.5</v>
      </c>
      <c r="K124" s="8">
        <v>33.9</v>
      </c>
      <c r="L124" s="10">
        <v>0.58699999999999997</v>
      </c>
      <c r="M124" s="11" t="s">
        <v>469</v>
      </c>
    </row>
    <row r="125" spans="1:13" ht="70" x14ac:dyDescent="0.2">
      <c r="A125" s="2" t="s">
        <v>470</v>
      </c>
      <c r="B125" s="2" t="s">
        <v>471</v>
      </c>
      <c r="C125" s="2" t="str">
        <f>RIGHT(B125,SUM(LEN(B125)-LEN(SUBSTITUTE(B125,{"0","1","2","3","4","5","6","7","8","9"},""))))</f>
        <v>1868</v>
      </c>
      <c r="D125" s="2" t="str">
        <f t="shared" si="6"/>
        <v>1868</v>
      </c>
      <c r="E125" s="2" t="str">
        <f t="shared" si="7"/>
        <v>'1868.HK'</v>
      </c>
      <c r="F125" s="4" t="s">
        <v>472</v>
      </c>
      <c r="G125" s="6" t="s">
        <v>14</v>
      </c>
      <c r="H125" s="7">
        <v>3.66</v>
      </c>
      <c r="I125" s="8">
        <v>-775.8</v>
      </c>
      <c r="J125" s="8">
        <v>963.5</v>
      </c>
      <c r="K125" s="8">
        <v>16.7</v>
      </c>
      <c r="L125" s="10">
        <v>0.57999999999999996</v>
      </c>
      <c r="M125" s="11" t="s">
        <v>473</v>
      </c>
    </row>
    <row r="126" spans="1:13" ht="180" x14ac:dyDescent="0.2">
      <c r="A126" s="2" t="s">
        <v>474</v>
      </c>
      <c r="B126" s="2" t="s">
        <v>475</v>
      </c>
      <c r="C126" s="2" t="str">
        <f>RIGHT(B126,SUM(LEN(B126)-LEN(SUBSTITUTE(B126,{"0","1","2","3","4","5","6","7","8","9"},""))))</f>
        <v>423</v>
      </c>
      <c r="D126" s="2" t="str">
        <f t="shared" si="6"/>
        <v>0423</v>
      </c>
      <c r="E126" s="2" t="str">
        <f t="shared" si="7"/>
        <v>'0423.HK'</v>
      </c>
      <c r="F126" s="4" t="s">
        <v>476</v>
      </c>
      <c r="G126" s="6" t="s">
        <v>14</v>
      </c>
      <c r="H126" s="7">
        <v>2.42</v>
      </c>
      <c r="I126" s="8">
        <v>-473.5</v>
      </c>
      <c r="J126" s="8">
        <v>505</v>
      </c>
      <c r="K126" s="8">
        <v>24.4</v>
      </c>
      <c r="L126" s="10">
        <v>0.56499999999999995</v>
      </c>
      <c r="M126" s="11" t="s">
        <v>477</v>
      </c>
    </row>
    <row r="127" spans="1:13" ht="60" x14ac:dyDescent="0.2">
      <c r="A127" s="2" t="s">
        <v>478</v>
      </c>
      <c r="B127" s="2" t="s">
        <v>479</v>
      </c>
      <c r="C127" s="2" t="str">
        <f>RIGHT(B127,SUM(LEN(B127)-LEN(SUBSTITUTE(B127,{"0","1","2","3","4","5","6","7","8","9"},""))))</f>
        <v>1753</v>
      </c>
      <c r="D127" s="2" t="str">
        <f t="shared" si="6"/>
        <v>1753</v>
      </c>
      <c r="E127" s="2" t="str">
        <f t="shared" si="7"/>
        <v>'1753.HK'</v>
      </c>
      <c r="F127" s="4" t="s">
        <v>480</v>
      </c>
      <c r="G127" s="6" t="s">
        <v>14</v>
      </c>
      <c r="H127" s="7">
        <v>4.68</v>
      </c>
      <c r="I127" s="8">
        <v>-1498.3</v>
      </c>
      <c r="J127" s="8">
        <v>850.7</v>
      </c>
      <c r="K127" s="8">
        <v>17.8</v>
      </c>
      <c r="L127" s="10">
        <v>0.56200000000000006</v>
      </c>
      <c r="M127" s="11" t="s">
        <v>481</v>
      </c>
    </row>
    <row r="128" spans="1:13" ht="170" x14ac:dyDescent="0.2">
      <c r="A128" s="2" t="s">
        <v>482</v>
      </c>
      <c r="B128" s="2" t="s">
        <v>483</v>
      </c>
      <c r="C128" s="2" t="str">
        <f>RIGHT(B128,SUM(LEN(B128)-LEN(SUBSTITUTE(B128,{"0","1","2","3","4","5","6","7","8","9"},""))))</f>
        <v>32</v>
      </c>
      <c r="D128" s="2" t="str">
        <f t="shared" si="6"/>
        <v>0032</v>
      </c>
      <c r="E128" s="2" t="str">
        <f t="shared" si="7"/>
        <v>'0032.HK'</v>
      </c>
      <c r="F128" s="4" t="s">
        <v>484</v>
      </c>
      <c r="G128" s="6" t="s">
        <v>14</v>
      </c>
      <c r="H128" s="7">
        <v>5.35</v>
      </c>
      <c r="I128" s="8">
        <v>-4070.1</v>
      </c>
      <c r="J128" s="8">
        <v>3913.2</v>
      </c>
      <c r="K128" s="7">
        <v>9.92</v>
      </c>
      <c r="L128" s="10">
        <v>0.55800000000000005</v>
      </c>
      <c r="M128" s="11" t="s">
        <v>485</v>
      </c>
    </row>
    <row r="129" spans="1:13" ht="90" x14ac:dyDescent="0.2">
      <c r="A129" s="2" t="s">
        <v>486</v>
      </c>
      <c r="B129" s="2" t="s">
        <v>487</v>
      </c>
      <c r="C129" s="2" t="str">
        <f>RIGHT(B129,SUM(LEN(B129)-LEN(SUBSTITUTE(B129,{"0","1","2","3","4","5","6","7","8","9"},""))))</f>
        <v>2125</v>
      </c>
      <c r="D129" s="2" t="str">
        <f t="shared" si="6"/>
        <v>2125</v>
      </c>
      <c r="E129" s="2" t="str">
        <f t="shared" si="7"/>
        <v>'2125.HK'</v>
      </c>
      <c r="F129" s="4" t="s">
        <v>488</v>
      </c>
      <c r="G129" s="6" t="s">
        <v>14</v>
      </c>
      <c r="H129" s="7">
        <v>1.07</v>
      </c>
      <c r="I129" s="8">
        <v>-52.4</v>
      </c>
      <c r="J129" s="8">
        <v>1198.2</v>
      </c>
      <c r="K129" s="8">
        <v>37.6</v>
      </c>
      <c r="L129" s="10">
        <v>0.55500000000000005</v>
      </c>
      <c r="M129" s="11" t="s">
        <v>489</v>
      </c>
    </row>
    <row r="130" spans="1:13" ht="110" x14ac:dyDescent="0.2">
      <c r="A130" s="2" t="s">
        <v>490</v>
      </c>
      <c r="B130" s="2" t="s">
        <v>491</v>
      </c>
      <c r="C130" s="2" t="str">
        <f>RIGHT(B130,SUM(LEN(B130)-LEN(SUBSTITUTE(B130,{"0","1","2","3","4","5","6","7","8","9"},""))))</f>
        <v>3339</v>
      </c>
      <c r="D130" s="2" t="str">
        <f t="shared" si="6"/>
        <v>3339</v>
      </c>
      <c r="E130" s="2" t="str">
        <f t="shared" si="7"/>
        <v>'3339.HK'</v>
      </c>
      <c r="F130" s="4" t="s">
        <v>492</v>
      </c>
      <c r="G130" s="6" t="s">
        <v>14</v>
      </c>
      <c r="H130" s="7">
        <v>1.31</v>
      </c>
      <c r="I130" s="8">
        <v>-4206.3999999999996</v>
      </c>
      <c r="J130" s="8">
        <v>5435.7</v>
      </c>
      <c r="K130" s="8">
        <v>38.5</v>
      </c>
      <c r="L130" s="10">
        <v>0.54400000000000004</v>
      </c>
      <c r="M130" s="11" t="s">
        <v>493</v>
      </c>
    </row>
    <row r="131" spans="1:13" ht="90" x14ac:dyDescent="0.2">
      <c r="A131" s="2" t="s">
        <v>494</v>
      </c>
      <c r="B131" s="2" t="s">
        <v>495</v>
      </c>
      <c r="C131" s="2" t="str">
        <f>RIGHT(B131,SUM(LEN(B131)-LEN(SUBSTITUTE(B131,{"0","1","2","3","4","5","6","7","8","9"},""))))</f>
        <v>1170</v>
      </c>
      <c r="D131" s="2" t="str">
        <f t="shared" si="6"/>
        <v>1170</v>
      </c>
      <c r="E131" s="2" t="str">
        <f t="shared" si="7"/>
        <v>'1170.HK'</v>
      </c>
      <c r="F131" s="4" t="s">
        <v>496</v>
      </c>
      <c r="G131" s="6" t="s">
        <v>14</v>
      </c>
      <c r="H131" s="7">
        <v>1.8</v>
      </c>
      <c r="I131" s="8">
        <v>-285.60000000000002</v>
      </c>
      <c r="J131" s="8">
        <v>652.29999999999995</v>
      </c>
      <c r="K131" s="8">
        <v>26.4</v>
      </c>
      <c r="L131" s="10">
        <v>0.53900000000000003</v>
      </c>
      <c r="M131" s="11" t="s">
        <v>497</v>
      </c>
    </row>
    <row r="132" spans="1:13" ht="100" x14ac:dyDescent="0.2">
      <c r="A132" s="2" t="s">
        <v>498</v>
      </c>
      <c r="B132" s="2" t="s">
        <v>499</v>
      </c>
      <c r="C132" s="2" t="str">
        <f>RIGHT(B132,SUM(LEN(B132)-LEN(SUBSTITUTE(B132,{"0","1","2","3","4","5","6","7","8","9"},""))))</f>
        <v>1221</v>
      </c>
      <c r="D132" s="2" t="str">
        <f t="shared" si="6"/>
        <v>1221</v>
      </c>
      <c r="E132" s="2" t="str">
        <f t="shared" si="7"/>
        <v>'1221.HK'</v>
      </c>
      <c r="F132" s="4" t="s">
        <v>500</v>
      </c>
      <c r="G132" s="6" t="s">
        <v>14</v>
      </c>
      <c r="H132" s="8">
        <v>58.1</v>
      </c>
      <c r="I132" s="8">
        <v>-837.8</v>
      </c>
      <c r="J132" s="8">
        <v>2171</v>
      </c>
      <c r="K132" s="10">
        <v>0.35</v>
      </c>
      <c r="L132" s="10">
        <v>0.53200000000000003</v>
      </c>
      <c r="M132" s="11" t="s">
        <v>501</v>
      </c>
    </row>
    <row r="133" spans="1:13" ht="100" x14ac:dyDescent="0.2">
      <c r="A133" s="2" t="s">
        <v>502</v>
      </c>
      <c r="B133" s="2" t="s">
        <v>503</v>
      </c>
      <c r="C133" s="2" t="str">
        <f>RIGHT(B133,SUM(LEN(B133)-LEN(SUBSTITUTE(B133,{"0","1","2","3","4","5","6","7","8","9"},""))))</f>
        <v>215</v>
      </c>
      <c r="D133" s="2" t="str">
        <f t="shared" si="6"/>
        <v>0215</v>
      </c>
      <c r="E133" s="2" t="str">
        <f t="shared" si="7"/>
        <v>'0215.HK'</v>
      </c>
      <c r="F133" s="4" t="s">
        <v>504</v>
      </c>
      <c r="G133" s="6" t="s">
        <v>14</v>
      </c>
      <c r="H133" s="7">
        <v>2.09</v>
      </c>
      <c r="I133" s="8">
        <v>-3558</v>
      </c>
      <c r="J133" s="8">
        <v>5541.9</v>
      </c>
      <c r="K133" s="8">
        <v>30</v>
      </c>
      <c r="L133" s="10">
        <v>0.52900000000000003</v>
      </c>
      <c r="M133" s="11" t="s">
        <v>505</v>
      </c>
    </row>
    <row r="134" spans="1:13" ht="70" x14ac:dyDescent="0.2">
      <c r="A134" s="2" t="s">
        <v>506</v>
      </c>
      <c r="B134" s="2" t="s">
        <v>507</v>
      </c>
      <c r="C134" s="2" t="str">
        <f>RIGHT(B134,SUM(LEN(B134)-LEN(SUBSTITUTE(B134,{"0","1","2","3","4","5","6","7","8","9"},""))))</f>
        <v>6919</v>
      </c>
      <c r="D134" s="2" t="str">
        <f t="shared" si="6"/>
        <v>6919</v>
      </c>
      <c r="E134" s="2" t="str">
        <f t="shared" si="7"/>
        <v>'6919.HK'</v>
      </c>
      <c r="F134" s="4" t="s">
        <v>508</v>
      </c>
      <c r="G134" s="6" t="s">
        <v>14</v>
      </c>
      <c r="H134" s="7">
        <v>2.4700000000000002</v>
      </c>
      <c r="I134" s="8">
        <v>-951.8</v>
      </c>
      <c r="J134" s="8">
        <v>744.3</v>
      </c>
      <c r="K134" s="8">
        <v>35.9</v>
      </c>
      <c r="L134" s="10">
        <v>0.51400000000000001</v>
      </c>
      <c r="M134" s="11" t="s">
        <v>509</v>
      </c>
    </row>
    <row r="135" spans="1:13" ht="110" x14ac:dyDescent="0.2">
      <c r="A135" s="2" t="s">
        <v>510</v>
      </c>
      <c r="B135" s="2" t="s">
        <v>511</v>
      </c>
      <c r="C135" s="2" t="str">
        <f>RIGHT(B135,SUM(LEN(B135)-LEN(SUBSTITUTE(B135,{"0","1","2","3","4","5","6","7","8","9"},""))))</f>
        <v>2100</v>
      </c>
      <c r="D135" s="2" t="str">
        <f t="shared" si="6"/>
        <v>2100</v>
      </c>
      <c r="E135" s="2" t="str">
        <f t="shared" si="7"/>
        <v>'2100.HK'</v>
      </c>
      <c r="F135" s="4" t="s">
        <v>512</v>
      </c>
      <c r="G135" s="6" t="s">
        <v>14</v>
      </c>
      <c r="H135" s="7">
        <v>6.14</v>
      </c>
      <c r="I135" s="8">
        <v>-1733.7</v>
      </c>
      <c r="J135" s="8">
        <v>1044.4000000000001</v>
      </c>
      <c r="K135" s="8">
        <v>15.6</v>
      </c>
      <c r="L135" s="10">
        <v>0.51100000000000001</v>
      </c>
      <c r="M135" s="11" t="s">
        <v>513</v>
      </c>
    </row>
    <row r="136" spans="1:13" ht="100" x14ac:dyDescent="0.2">
      <c r="A136" s="2" t="s">
        <v>514</v>
      </c>
      <c r="B136" s="2" t="s">
        <v>515</v>
      </c>
      <c r="C136" s="2" t="str">
        <f>RIGHT(B136,SUM(LEN(B136)-LEN(SUBSTITUTE(B136,{"0","1","2","3","4","5","6","7","8","9"},""))))</f>
        <v>1127</v>
      </c>
      <c r="D136" s="2" t="str">
        <f t="shared" si="6"/>
        <v>1127</v>
      </c>
      <c r="E136" s="2" t="str">
        <f t="shared" si="7"/>
        <v>'1127.HK'</v>
      </c>
      <c r="F136" s="4" t="s">
        <v>516</v>
      </c>
      <c r="G136" s="6" t="s">
        <v>14</v>
      </c>
      <c r="H136" s="7">
        <v>1.52</v>
      </c>
      <c r="I136" s="8">
        <v>-112.8</v>
      </c>
      <c r="J136" s="8">
        <v>677.6</v>
      </c>
      <c r="K136" s="8">
        <v>33.6</v>
      </c>
      <c r="L136" s="10">
        <v>0.502</v>
      </c>
      <c r="M136" s="11" t="s">
        <v>517</v>
      </c>
    </row>
    <row r="137" spans="1:13" ht="200" x14ac:dyDescent="0.2">
      <c r="A137" s="2" t="s">
        <v>518</v>
      </c>
      <c r="B137" s="2" t="s">
        <v>519</v>
      </c>
      <c r="C137" s="2" t="str">
        <f>RIGHT(B137,SUM(LEN(B137)-LEN(SUBSTITUTE(B137,{"0","1","2","3","4","5","6","7","8","9"},""))))</f>
        <v>701</v>
      </c>
      <c r="D137" s="2" t="str">
        <f t="shared" si="6"/>
        <v>0701</v>
      </c>
      <c r="E137" s="2" t="str">
        <f t="shared" si="7"/>
        <v>'0701.HK'</v>
      </c>
      <c r="F137" s="4" t="s">
        <v>520</v>
      </c>
      <c r="G137" s="6" t="s">
        <v>14</v>
      </c>
      <c r="H137" s="7">
        <v>1.37</v>
      </c>
      <c r="I137" s="8">
        <v>-267</v>
      </c>
      <c r="J137" s="8">
        <v>713.9</v>
      </c>
      <c r="K137" s="8">
        <v>31.1</v>
      </c>
      <c r="L137" s="10">
        <v>0.5</v>
      </c>
      <c r="M137" s="11" t="s">
        <v>521</v>
      </c>
    </row>
    <row r="138" spans="1:13" ht="110" x14ac:dyDescent="0.2">
      <c r="A138" s="2" t="s">
        <v>522</v>
      </c>
      <c r="B138" s="2" t="s">
        <v>523</v>
      </c>
      <c r="C138" s="2" t="str">
        <f>RIGHT(B138,SUM(LEN(B138)-LEN(SUBSTITUTE(B138,{"0","1","2","3","4","5","6","7","8","9"},""))))</f>
        <v>3700</v>
      </c>
      <c r="D138" s="2" t="str">
        <f t="shared" si="6"/>
        <v>3700</v>
      </c>
      <c r="E138" s="2" t="str">
        <f t="shared" si="7"/>
        <v>'3700.HK'</v>
      </c>
      <c r="F138" s="4" t="s">
        <v>524</v>
      </c>
      <c r="G138" s="6" t="s">
        <v>14</v>
      </c>
      <c r="H138" s="7">
        <v>2.62</v>
      </c>
      <c r="I138" s="8">
        <v>-3328.5</v>
      </c>
      <c r="J138" s="8">
        <v>2287.1999999999998</v>
      </c>
      <c r="K138" s="8">
        <v>25</v>
      </c>
      <c r="L138" s="10">
        <v>0.48699999999999999</v>
      </c>
      <c r="M138" s="11" t="s">
        <v>525</v>
      </c>
    </row>
    <row r="139" spans="1:13" ht="80" x14ac:dyDescent="0.2">
      <c r="A139" s="2" t="s">
        <v>526</v>
      </c>
      <c r="B139" s="2" t="s">
        <v>527</v>
      </c>
      <c r="C139" s="2" t="str">
        <f>RIGHT(B139,SUM(LEN(B139)-LEN(SUBSTITUTE(B139,{"0","1","2","3","4","5","6","7","8","9"},""))))</f>
        <v>556</v>
      </c>
      <c r="D139" s="2" t="str">
        <f t="shared" si="6"/>
        <v>0556</v>
      </c>
      <c r="E139" s="2" t="str">
        <f t="shared" si="7"/>
        <v>'0556.HK'</v>
      </c>
      <c r="F139" s="4" t="s">
        <v>528</v>
      </c>
      <c r="G139" s="6" t="s">
        <v>14</v>
      </c>
      <c r="H139" s="8">
        <v>15.1</v>
      </c>
      <c r="I139" s="8">
        <v>-1444.4</v>
      </c>
      <c r="J139" s="8">
        <v>613.20000000000005</v>
      </c>
      <c r="K139" s="7">
        <v>8.17</v>
      </c>
      <c r="L139" s="10">
        <v>0.47899999999999998</v>
      </c>
      <c r="M139" s="11" t="s">
        <v>529</v>
      </c>
    </row>
    <row r="140" spans="1:13" ht="250" x14ac:dyDescent="0.2">
      <c r="A140" s="2" t="s">
        <v>530</v>
      </c>
      <c r="B140" s="2" t="s">
        <v>531</v>
      </c>
      <c r="C140" s="2" t="str">
        <f>RIGHT(B140,SUM(LEN(B140)-LEN(SUBSTITUTE(B140,{"0","1","2","3","4","5","6","7","8","9"},""))))</f>
        <v>393</v>
      </c>
      <c r="D140" s="2" t="str">
        <f t="shared" si="6"/>
        <v>0393</v>
      </c>
      <c r="E140" s="2" t="str">
        <f t="shared" si="7"/>
        <v>'0393.HK'</v>
      </c>
      <c r="F140" s="4" t="s">
        <v>532</v>
      </c>
      <c r="G140" s="6" t="s">
        <v>14</v>
      </c>
      <c r="H140" s="7">
        <v>3.6</v>
      </c>
      <c r="I140" s="8">
        <v>-2359</v>
      </c>
      <c r="J140" s="8">
        <v>1130.7</v>
      </c>
      <c r="K140" s="8">
        <v>24.5</v>
      </c>
      <c r="L140" s="10">
        <v>0.47</v>
      </c>
      <c r="M140" s="11" t="s">
        <v>533</v>
      </c>
    </row>
    <row r="141" spans="1:13" ht="120" x14ac:dyDescent="0.2">
      <c r="A141" s="2" t="s">
        <v>534</v>
      </c>
      <c r="B141" s="2" t="s">
        <v>535</v>
      </c>
      <c r="C141" s="2" t="str">
        <f>RIGHT(B141,SUM(LEN(B141)-LEN(SUBSTITUTE(B141,{"0","1","2","3","4","5","6","7","8","9"},""))))</f>
        <v>3983</v>
      </c>
      <c r="D141" s="2" t="str">
        <f t="shared" si="6"/>
        <v>3983</v>
      </c>
      <c r="E141" s="2" t="str">
        <f t="shared" si="7"/>
        <v>'3983.HK'</v>
      </c>
      <c r="F141" s="4" t="s">
        <v>536</v>
      </c>
      <c r="G141" s="6" t="s">
        <v>14</v>
      </c>
      <c r="H141" s="7">
        <v>3.52</v>
      </c>
      <c r="I141" s="8">
        <v>-12788.9</v>
      </c>
      <c r="J141" s="8">
        <v>8897.2999999999993</v>
      </c>
      <c r="K141" s="8">
        <v>21.1</v>
      </c>
      <c r="L141" s="10">
        <v>0.46300000000000002</v>
      </c>
      <c r="M141" s="11" t="s">
        <v>537</v>
      </c>
    </row>
    <row r="142" spans="1:13" ht="80" x14ac:dyDescent="0.2">
      <c r="A142" s="2" t="s">
        <v>538</v>
      </c>
      <c r="B142" s="2" t="s">
        <v>539</v>
      </c>
      <c r="C142" s="2" t="str">
        <f>RIGHT(B142,SUM(LEN(B142)-LEN(SUBSTITUTE(B142,{"0","1","2","3","4","5","6","7","8","9"},""))))</f>
        <v>105</v>
      </c>
      <c r="D142" s="2" t="str">
        <f t="shared" si="6"/>
        <v>0105</v>
      </c>
      <c r="E142" s="2" t="str">
        <f t="shared" si="7"/>
        <v>'0105.HK'</v>
      </c>
      <c r="F142" s="4" t="s">
        <v>540</v>
      </c>
      <c r="G142" s="6" t="s">
        <v>14</v>
      </c>
      <c r="H142" s="7">
        <v>3.36</v>
      </c>
      <c r="I142" s="8">
        <v>-240.8</v>
      </c>
      <c r="J142" s="8">
        <v>4320</v>
      </c>
      <c r="K142" s="7">
        <v>4.93</v>
      </c>
      <c r="L142" s="10">
        <v>0.45500000000000002</v>
      </c>
      <c r="M142" s="11" t="s">
        <v>541</v>
      </c>
    </row>
    <row r="143" spans="1:13" ht="260" x14ac:dyDescent="0.2">
      <c r="A143" s="2" t="s">
        <v>542</v>
      </c>
      <c r="B143" s="2" t="s">
        <v>543</v>
      </c>
      <c r="C143" s="2" t="str">
        <f>RIGHT(B143,SUM(LEN(B143)-LEN(SUBSTITUTE(B143,{"0","1","2","3","4","5","6","7","8","9"},""))))</f>
        <v>2008</v>
      </c>
      <c r="D143" s="2" t="str">
        <f t="shared" si="6"/>
        <v>2008</v>
      </c>
      <c r="E143" s="2" t="str">
        <f t="shared" si="7"/>
        <v>'2008.HK'</v>
      </c>
      <c r="F143" s="4" t="s">
        <v>544</v>
      </c>
      <c r="G143" s="6" t="s">
        <v>14</v>
      </c>
      <c r="H143" s="7">
        <v>1.85</v>
      </c>
      <c r="I143" s="8">
        <v>-1658.5</v>
      </c>
      <c r="J143" s="8">
        <v>1647.9</v>
      </c>
      <c r="K143" s="8">
        <v>38.4</v>
      </c>
      <c r="L143" s="10">
        <v>0.45500000000000002</v>
      </c>
      <c r="M143" s="11" t="s">
        <v>545</v>
      </c>
    </row>
    <row r="144" spans="1:13" ht="80" x14ac:dyDescent="0.2">
      <c r="A144" s="2" t="s">
        <v>546</v>
      </c>
      <c r="B144" s="2" t="s">
        <v>547</v>
      </c>
      <c r="C144" s="2" t="str">
        <f>RIGHT(B144,SUM(LEN(B144)-LEN(SUBSTITUTE(B144,{"0","1","2","3","4","5","6","7","8","9"},""))))</f>
        <v>26</v>
      </c>
      <c r="D144" s="2" t="str">
        <f t="shared" si="6"/>
        <v>0026</v>
      </c>
      <c r="E144" s="2" t="str">
        <f t="shared" si="7"/>
        <v>'0026.HK'</v>
      </c>
      <c r="F144" s="4" t="s">
        <v>548</v>
      </c>
      <c r="G144" s="6" t="s">
        <v>14</v>
      </c>
      <c r="H144" s="8">
        <v>23.1</v>
      </c>
      <c r="I144" s="8">
        <v>-1121.4000000000001</v>
      </c>
      <c r="J144" s="8">
        <v>3556.7</v>
      </c>
      <c r="K144" s="7">
        <v>1.17</v>
      </c>
      <c r="L144" s="10">
        <v>0.44500000000000001</v>
      </c>
      <c r="M144" s="11" t="s">
        <v>549</v>
      </c>
    </row>
    <row r="145" spans="1:13" ht="80" x14ac:dyDescent="0.2">
      <c r="A145" s="2" t="s">
        <v>550</v>
      </c>
      <c r="B145" s="2" t="s">
        <v>551</v>
      </c>
      <c r="C145" s="2" t="str">
        <f>RIGHT(B145,SUM(LEN(B145)-LEN(SUBSTITUTE(B145,{"0","1","2","3","4","5","6","7","8","9"},""))))</f>
        <v>439</v>
      </c>
      <c r="D145" s="2" t="str">
        <f t="shared" si="6"/>
        <v>0439</v>
      </c>
      <c r="E145" s="2" t="str">
        <f t="shared" si="7"/>
        <v>'0439.HK'</v>
      </c>
      <c r="F145" s="4" t="s">
        <v>552</v>
      </c>
      <c r="G145" s="6" t="s">
        <v>14</v>
      </c>
      <c r="H145" s="7">
        <v>2.2799999999999998</v>
      </c>
      <c r="I145" s="8">
        <v>-164.7</v>
      </c>
      <c r="J145" s="8">
        <v>763.5</v>
      </c>
      <c r="K145" s="8">
        <v>19.7</v>
      </c>
      <c r="L145" s="10">
        <v>0.44500000000000001</v>
      </c>
      <c r="M145" s="11" t="s">
        <v>553</v>
      </c>
    </row>
    <row r="146" spans="1:13" ht="130" x14ac:dyDescent="0.2">
      <c r="A146" s="2" t="s">
        <v>554</v>
      </c>
      <c r="B146" s="2" t="s">
        <v>555</v>
      </c>
      <c r="C146" s="2" t="str">
        <f>RIGHT(B146,SUM(LEN(B146)-LEN(SUBSTITUTE(B146,{"0","1","2","3","4","5","6","7","8","9"},""))))</f>
        <v>71</v>
      </c>
      <c r="D146" s="2" t="str">
        <f t="shared" si="6"/>
        <v>0071</v>
      </c>
      <c r="E146" s="2" t="str">
        <f t="shared" si="7"/>
        <v>'0071.HK'</v>
      </c>
      <c r="F146" s="4" t="s">
        <v>556</v>
      </c>
      <c r="G146" s="6" t="s">
        <v>14</v>
      </c>
      <c r="H146" s="8">
        <v>10.4</v>
      </c>
      <c r="I146" s="8">
        <v>-5223.8</v>
      </c>
      <c r="J146" s="8">
        <v>8968.6</v>
      </c>
      <c r="K146" s="7">
        <v>4.93</v>
      </c>
      <c r="L146" s="10">
        <v>0.443</v>
      </c>
      <c r="M146" s="11" t="s">
        <v>557</v>
      </c>
    </row>
    <row r="147" spans="1:13" ht="90" x14ac:dyDescent="0.2">
      <c r="A147" s="2" t="s">
        <v>558</v>
      </c>
      <c r="B147" s="2" t="s">
        <v>559</v>
      </c>
      <c r="C147" s="2" t="str">
        <f>RIGHT(B147,SUM(LEN(B147)-LEN(SUBSTITUTE(B147,{"0","1","2","3","4","5","6","7","8","9"},""))))</f>
        <v>1469</v>
      </c>
      <c r="D147" s="2" t="str">
        <f t="shared" si="6"/>
        <v>1469</v>
      </c>
      <c r="E147" s="2" t="str">
        <f t="shared" si="7"/>
        <v>'1469.HK'</v>
      </c>
      <c r="F147" s="4" t="s">
        <v>560</v>
      </c>
      <c r="G147" s="6" t="s">
        <v>14</v>
      </c>
      <c r="H147" s="7">
        <v>8.5500000000000007</v>
      </c>
      <c r="I147" s="8">
        <v>-1692.7</v>
      </c>
      <c r="J147" s="8">
        <v>1775</v>
      </c>
      <c r="K147" s="8">
        <v>11.1</v>
      </c>
      <c r="L147" s="10">
        <v>0.438</v>
      </c>
      <c r="M147" s="11" t="s">
        <v>561</v>
      </c>
    </row>
    <row r="148" spans="1:13" ht="100" x14ac:dyDescent="0.2">
      <c r="A148" s="2" t="s">
        <v>562</v>
      </c>
      <c r="B148" s="2" t="s">
        <v>563</v>
      </c>
      <c r="C148" s="2" t="str">
        <f>RIGHT(B148,SUM(LEN(B148)-LEN(SUBSTITUTE(B148,{"0","1","2","3","4","5","6","7","8","9"},""))))</f>
        <v>278</v>
      </c>
      <c r="D148" s="2" t="str">
        <f t="shared" si="6"/>
        <v>0278</v>
      </c>
      <c r="E148" s="2" t="str">
        <f t="shared" si="7"/>
        <v>'0278.HK'</v>
      </c>
      <c r="F148" s="4" t="s">
        <v>564</v>
      </c>
      <c r="G148" s="6" t="s">
        <v>14</v>
      </c>
      <c r="H148" s="7">
        <v>3.03</v>
      </c>
      <c r="I148" s="8">
        <v>-279.10000000000002</v>
      </c>
      <c r="J148" s="8">
        <v>532.20000000000005</v>
      </c>
      <c r="K148" s="7">
        <v>7.76</v>
      </c>
      <c r="L148" s="10">
        <v>0.42299999999999999</v>
      </c>
      <c r="M148" s="11" t="s">
        <v>565</v>
      </c>
    </row>
    <row r="149" spans="1:13" ht="120" x14ac:dyDescent="0.2">
      <c r="A149" s="2" t="s">
        <v>566</v>
      </c>
      <c r="B149" s="2" t="s">
        <v>567</v>
      </c>
      <c r="C149" s="2" t="str">
        <f>RIGHT(B149,SUM(LEN(B149)-LEN(SUBSTITUTE(B149,{"0","1","2","3","4","5","6","7","8","9"},""))))</f>
        <v>2779</v>
      </c>
      <c r="D149" s="2" t="str">
        <f t="shared" si="6"/>
        <v>2779</v>
      </c>
      <c r="E149" s="2" t="str">
        <f t="shared" si="7"/>
        <v>'2779.HK'</v>
      </c>
      <c r="F149" s="4" t="s">
        <v>568</v>
      </c>
      <c r="G149" s="6" t="s">
        <v>14</v>
      </c>
      <c r="H149" s="7">
        <v>1.4</v>
      </c>
      <c r="I149" s="8">
        <v>-23.5</v>
      </c>
      <c r="J149" s="8">
        <v>1656.8</v>
      </c>
      <c r="K149" s="8">
        <v>22.6</v>
      </c>
      <c r="L149" s="10">
        <v>0.41799999999999998</v>
      </c>
      <c r="M149" s="11" t="s">
        <v>569</v>
      </c>
    </row>
    <row r="150" spans="1:13" ht="150" x14ac:dyDescent="0.2">
      <c r="A150" s="2" t="s">
        <v>570</v>
      </c>
      <c r="B150" s="2" t="s">
        <v>571</v>
      </c>
      <c r="C150" s="2" t="str">
        <f>RIGHT(B150,SUM(LEN(B150)-LEN(SUBSTITUTE(B150,{"0","1","2","3","4","5","6","7","8","9"},""))))</f>
        <v>517</v>
      </c>
      <c r="D150" s="2" t="str">
        <f t="shared" si="6"/>
        <v>0517</v>
      </c>
      <c r="E150" s="2" t="str">
        <f t="shared" si="7"/>
        <v>'0517.HK'</v>
      </c>
      <c r="F150" s="4" t="s">
        <v>572</v>
      </c>
      <c r="G150" s="6" t="s">
        <v>14</v>
      </c>
      <c r="H150" s="7">
        <v>5.74</v>
      </c>
      <c r="I150" s="8">
        <v>-6161.3</v>
      </c>
      <c r="J150" s="8">
        <v>3234.5</v>
      </c>
      <c r="K150" s="8">
        <v>13.8</v>
      </c>
      <c r="L150" s="10">
        <v>0.40300000000000002</v>
      </c>
      <c r="M150" s="11" t="s">
        <v>573</v>
      </c>
    </row>
    <row r="151" spans="1:13" ht="180" x14ac:dyDescent="0.2">
      <c r="A151" s="2" t="s">
        <v>574</v>
      </c>
      <c r="B151" s="2" t="s">
        <v>575</v>
      </c>
      <c r="C151" s="2" t="str">
        <f>RIGHT(B151,SUM(LEN(B151)-LEN(SUBSTITUTE(B151,{"0","1","2","3","4","5","6","7","8","9"},""))))</f>
        <v>50</v>
      </c>
      <c r="D151" s="2" t="str">
        <f t="shared" si="6"/>
        <v>0050</v>
      </c>
      <c r="E151" s="2" t="str">
        <f t="shared" si="7"/>
        <v>'0050.HK'</v>
      </c>
      <c r="F151" s="4" t="s">
        <v>576</v>
      </c>
      <c r="G151" s="6" t="s">
        <v>14</v>
      </c>
      <c r="H151" s="8">
        <v>10.5</v>
      </c>
      <c r="I151" s="8">
        <v>-1678.9</v>
      </c>
      <c r="J151" s="8">
        <v>2426.1999999999998</v>
      </c>
      <c r="K151" s="7">
        <v>4.22</v>
      </c>
      <c r="L151" s="10">
        <v>0.4</v>
      </c>
      <c r="M151" s="11" t="s">
        <v>577</v>
      </c>
    </row>
    <row r="152" spans="1:13" ht="70" x14ac:dyDescent="0.2">
      <c r="A152" s="2" t="s">
        <v>578</v>
      </c>
      <c r="B152" s="2" t="s">
        <v>579</v>
      </c>
      <c r="C152" s="2" t="str">
        <f>RIGHT(B152,SUM(LEN(B152)-LEN(SUBSTITUTE(B152,{"0","1","2","3","4","5","6","7","8","9"},""))))</f>
        <v>934</v>
      </c>
      <c r="D152" s="2" t="str">
        <f t="shared" si="6"/>
        <v>0934</v>
      </c>
      <c r="E152" s="2" t="str">
        <f t="shared" si="7"/>
        <v>'0934.HK'</v>
      </c>
      <c r="F152" s="4" t="s">
        <v>580</v>
      </c>
      <c r="G152" s="6" t="s">
        <v>14</v>
      </c>
      <c r="H152" s="8">
        <v>24.3</v>
      </c>
      <c r="I152" s="8">
        <v>-4174.7</v>
      </c>
      <c r="J152" s="8">
        <v>5867.3</v>
      </c>
      <c r="K152" s="7">
        <v>2.82</v>
      </c>
      <c r="L152" s="10">
        <v>0.39600000000000002</v>
      </c>
      <c r="M152" s="11" t="s">
        <v>581</v>
      </c>
    </row>
    <row r="153" spans="1:13" ht="120" x14ac:dyDescent="0.2">
      <c r="A153" s="2" t="s">
        <v>582</v>
      </c>
      <c r="B153" s="2" t="s">
        <v>583</v>
      </c>
      <c r="C153" s="2" t="str">
        <f>RIGHT(B153,SUM(LEN(B153)-LEN(SUBSTITUTE(B153,{"0","1","2","3","4","5","6","7","8","9"},""))))</f>
        <v>88</v>
      </c>
      <c r="D153" s="2" t="str">
        <f t="shared" si="6"/>
        <v>0088</v>
      </c>
      <c r="E153" s="2" t="str">
        <f t="shared" si="7"/>
        <v>'0088.HK'</v>
      </c>
      <c r="F153" s="4" t="s">
        <v>584</v>
      </c>
      <c r="G153" s="6" t="s">
        <v>14</v>
      </c>
      <c r="H153" s="8">
        <v>10.7</v>
      </c>
      <c r="I153" s="8">
        <v>-1647.3</v>
      </c>
      <c r="J153" s="8">
        <v>2636.8</v>
      </c>
      <c r="K153" s="7">
        <v>4.28</v>
      </c>
      <c r="L153" s="10">
        <v>0.39600000000000002</v>
      </c>
      <c r="M153" s="11" t="s">
        <v>585</v>
      </c>
    </row>
    <row r="154" spans="1:13" ht="50" x14ac:dyDescent="0.2">
      <c r="A154" s="2" t="s">
        <v>586</v>
      </c>
      <c r="B154" s="2" t="s">
        <v>587</v>
      </c>
      <c r="C154" s="2" t="str">
        <f>RIGHT(B154,SUM(LEN(B154)-LEN(SUBSTITUTE(B154,{"0","1","2","3","4","5","6","7","8","9"},""))))</f>
        <v>158</v>
      </c>
      <c r="D154" s="2" t="str">
        <f t="shared" si="6"/>
        <v>0158</v>
      </c>
      <c r="E154" s="2" t="str">
        <f t="shared" si="7"/>
        <v>'0158.HK'</v>
      </c>
      <c r="F154" s="4" t="s">
        <v>588</v>
      </c>
      <c r="G154" s="6" t="s">
        <v>14</v>
      </c>
      <c r="H154" s="7">
        <v>4.5599999999999996</v>
      </c>
      <c r="I154" s="8">
        <v>-250.1</v>
      </c>
      <c r="J154" s="8">
        <v>3075</v>
      </c>
      <c r="K154" s="10">
        <v>0.93300000000000005</v>
      </c>
      <c r="L154" s="10">
        <v>0.39500000000000002</v>
      </c>
      <c r="M154" s="5" t="s">
        <v>589</v>
      </c>
    </row>
    <row r="155" spans="1:13" ht="130" x14ac:dyDescent="0.2">
      <c r="A155" s="2" t="s">
        <v>590</v>
      </c>
      <c r="B155" s="2" t="s">
        <v>591</v>
      </c>
      <c r="C155" s="2" t="str">
        <f>RIGHT(B155,SUM(LEN(B155)-LEN(SUBSTITUTE(B155,{"0","1","2","3","4","5","6","7","8","9"},""))))</f>
        <v>929</v>
      </c>
      <c r="D155" s="2" t="str">
        <f t="shared" si="6"/>
        <v>0929</v>
      </c>
      <c r="E155" s="2" t="str">
        <f t="shared" si="7"/>
        <v>'0929.HK'</v>
      </c>
      <c r="F155" s="4" t="s">
        <v>592</v>
      </c>
      <c r="G155" s="6" t="s">
        <v>14</v>
      </c>
      <c r="H155" s="7">
        <v>3.3</v>
      </c>
      <c r="I155" s="8">
        <v>-720.7</v>
      </c>
      <c r="J155" s="8">
        <v>757.6</v>
      </c>
      <c r="K155" s="8">
        <v>16.100000000000001</v>
      </c>
      <c r="L155" s="10">
        <v>0.39100000000000001</v>
      </c>
      <c r="M155" s="11" t="s">
        <v>593</v>
      </c>
    </row>
    <row r="156" spans="1:13" ht="130" x14ac:dyDescent="0.2">
      <c r="A156" s="2" t="s">
        <v>594</v>
      </c>
      <c r="B156" s="2" t="s">
        <v>595</v>
      </c>
      <c r="C156" s="2" t="str">
        <f>RIGHT(B156,SUM(LEN(B156)-LEN(SUBSTITUTE(B156,{"0","1","2","3","4","5","6","7","8","9"},""))))</f>
        <v>730</v>
      </c>
      <c r="D156" s="2" t="str">
        <f t="shared" si="6"/>
        <v>0730</v>
      </c>
      <c r="E156" s="2" t="str">
        <f t="shared" si="7"/>
        <v>'0730.HK'</v>
      </c>
      <c r="F156" s="4" t="s">
        <v>596</v>
      </c>
      <c r="G156" s="6" t="s">
        <v>14</v>
      </c>
      <c r="H156" s="7">
        <v>6.24</v>
      </c>
      <c r="I156" s="8">
        <v>-78.900000000000006</v>
      </c>
      <c r="J156" s="8">
        <v>557.79999999999995</v>
      </c>
      <c r="K156" s="8">
        <v>18.7</v>
      </c>
      <c r="L156" s="10">
        <v>0.376</v>
      </c>
      <c r="M156" s="11" t="s">
        <v>597</v>
      </c>
    </row>
    <row r="157" spans="1:13" ht="130" x14ac:dyDescent="0.2">
      <c r="A157" s="2" t="s">
        <v>598</v>
      </c>
      <c r="B157" s="2" t="s">
        <v>599</v>
      </c>
      <c r="C157" s="2" t="str">
        <f>RIGHT(B157,SUM(LEN(B157)-LEN(SUBSTITUTE(B157,{"0","1","2","3","4","5","6","7","8","9"},""))))</f>
        <v>57</v>
      </c>
      <c r="D157" s="2" t="str">
        <f t="shared" si="6"/>
        <v>0057</v>
      </c>
      <c r="E157" s="2" t="str">
        <f t="shared" si="7"/>
        <v>'0057.HK'</v>
      </c>
      <c r="F157" s="4" t="s">
        <v>600</v>
      </c>
      <c r="G157" s="6" t="s">
        <v>14</v>
      </c>
      <c r="H157" s="7">
        <v>1.86</v>
      </c>
      <c r="I157" s="8">
        <v>-764.9</v>
      </c>
      <c r="J157" s="8">
        <v>1198</v>
      </c>
      <c r="K157" s="8">
        <v>27.1</v>
      </c>
      <c r="L157" s="10">
        <v>0.375</v>
      </c>
      <c r="M157" s="11" t="s">
        <v>601</v>
      </c>
    </row>
    <row r="158" spans="1:13" ht="50" x14ac:dyDescent="0.2">
      <c r="A158" s="2" t="s">
        <v>602</v>
      </c>
      <c r="B158" s="2" t="s">
        <v>603</v>
      </c>
      <c r="C158" s="2" t="str">
        <f>RIGHT(B158,SUM(LEN(B158)-LEN(SUBSTITUTE(B158,{"0","1","2","3","4","5","6","7","8","9"},""))))</f>
        <v>266</v>
      </c>
      <c r="D158" s="2" t="str">
        <f t="shared" si="6"/>
        <v>0266</v>
      </c>
      <c r="E158" s="2" t="str">
        <f t="shared" si="7"/>
        <v>'0266.HK'</v>
      </c>
      <c r="F158" s="4" t="s">
        <v>604</v>
      </c>
      <c r="G158" s="6" t="s">
        <v>14</v>
      </c>
      <c r="H158" s="7">
        <v>3.48</v>
      </c>
      <c r="I158" s="8">
        <v>-291.3</v>
      </c>
      <c r="J158" s="8">
        <v>1851.4</v>
      </c>
      <c r="K158" s="7">
        <v>4.84</v>
      </c>
      <c r="L158" s="10">
        <v>0.36699999999999999</v>
      </c>
      <c r="M158" s="5" t="s">
        <v>589</v>
      </c>
    </row>
    <row r="159" spans="1:13" ht="60" x14ac:dyDescent="0.2">
      <c r="A159" s="2" t="s">
        <v>605</v>
      </c>
      <c r="B159" s="2" t="s">
        <v>606</v>
      </c>
      <c r="C159" s="2" t="str">
        <f>RIGHT(B159,SUM(LEN(B159)-LEN(SUBSTITUTE(B159,{"0","1","2","3","4","5","6","7","8","9"},""))))</f>
        <v>769</v>
      </c>
      <c r="D159" s="2" t="str">
        <f t="shared" si="6"/>
        <v>0769</v>
      </c>
      <c r="E159" s="2" t="str">
        <f t="shared" si="7"/>
        <v>'0769.HK'</v>
      </c>
      <c r="F159" s="4" t="s">
        <v>607</v>
      </c>
      <c r="G159" s="6" t="s">
        <v>14</v>
      </c>
      <c r="H159" s="8">
        <v>15.3</v>
      </c>
      <c r="I159" s="8">
        <v>-1818.1</v>
      </c>
      <c r="J159" s="8">
        <v>995.2</v>
      </c>
      <c r="K159" s="7">
        <v>5.15</v>
      </c>
      <c r="L159" s="10">
        <v>0.36299999999999999</v>
      </c>
      <c r="M159" s="11" t="s">
        <v>608</v>
      </c>
    </row>
    <row r="160" spans="1:13" ht="110" x14ac:dyDescent="0.2">
      <c r="A160" s="2" t="s">
        <v>609</v>
      </c>
      <c r="B160" s="2" t="s">
        <v>610</v>
      </c>
      <c r="C160" s="2" t="str">
        <f>RIGHT(B160,SUM(LEN(B160)-LEN(SUBSTITUTE(B160,{"0","1","2","3","4","5","6","7","8","9"},""))))</f>
        <v>829</v>
      </c>
      <c r="D160" s="2" t="str">
        <f t="shared" si="6"/>
        <v>0829</v>
      </c>
      <c r="E160" s="2" t="str">
        <f t="shared" si="7"/>
        <v>'0829.HK'</v>
      </c>
      <c r="F160" s="4" t="s">
        <v>611</v>
      </c>
      <c r="G160" s="6" t="s">
        <v>14</v>
      </c>
      <c r="H160" s="7">
        <v>1.92</v>
      </c>
      <c r="I160" s="8">
        <v>-700.7</v>
      </c>
      <c r="J160" s="8">
        <v>1049.9000000000001</v>
      </c>
      <c r="K160" s="8">
        <v>19.8</v>
      </c>
      <c r="L160" s="10">
        <v>0.35699999999999998</v>
      </c>
      <c r="M160" s="11" t="s">
        <v>612</v>
      </c>
    </row>
    <row r="161" spans="1:13" ht="110" x14ac:dyDescent="0.2">
      <c r="A161" s="2" t="s">
        <v>613</v>
      </c>
      <c r="B161" s="2" t="s">
        <v>614</v>
      </c>
      <c r="C161" s="2" t="str">
        <f>RIGHT(B161,SUM(LEN(B161)-LEN(SUBSTITUTE(B161,{"0","1","2","3","4","5","6","7","8","9"},""))))</f>
        <v>1265</v>
      </c>
      <c r="D161" s="2" t="str">
        <f t="shared" si="6"/>
        <v>1265</v>
      </c>
      <c r="E161" s="2" t="str">
        <f t="shared" si="7"/>
        <v>'1265.HK'</v>
      </c>
      <c r="F161" s="4" t="s">
        <v>615</v>
      </c>
      <c r="G161" s="6" t="s">
        <v>14</v>
      </c>
      <c r="H161" s="7">
        <v>2.2999999999999998</v>
      </c>
      <c r="I161" s="8">
        <v>-1412.8</v>
      </c>
      <c r="J161" s="8">
        <v>689.7</v>
      </c>
      <c r="K161" s="8">
        <v>29.5</v>
      </c>
      <c r="L161" s="10">
        <v>0.35499999999999998</v>
      </c>
      <c r="M161" s="11" t="s">
        <v>616</v>
      </c>
    </row>
    <row r="162" spans="1:13" ht="100" x14ac:dyDescent="0.2">
      <c r="A162" s="2" t="s">
        <v>617</v>
      </c>
      <c r="B162" s="2" t="s">
        <v>618</v>
      </c>
      <c r="C162" s="2" t="str">
        <f>RIGHT(B162,SUM(LEN(B162)-LEN(SUBSTITUTE(B162,{"0","1","2","3","4","5","6","7","8","9"},""))))</f>
        <v>420</v>
      </c>
      <c r="D162" s="2" t="str">
        <f t="shared" si="6"/>
        <v>0420</v>
      </c>
      <c r="E162" s="2" t="str">
        <f t="shared" si="7"/>
        <v>'0420.HK'</v>
      </c>
      <c r="F162" s="4" t="s">
        <v>619</v>
      </c>
      <c r="G162" s="6" t="s">
        <v>14</v>
      </c>
      <c r="H162" s="7">
        <v>1.3</v>
      </c>
      <c r="I162" s="8">
        <v>-406.5</v>
      </c>
      <c r="J162" s="8">
        <v>1237.3</v>
      </c>
      <c r="K162" s="8">
        <v>34.6</v>
      </c>
      <c r="L162" s="10">
        <v>0.35499999999999998</v>
      </c>
      <c r="M162" s="11" t="s">
        <v>620</v>
      </c>
    </row>
    <row r="163" spans="1:13" ht="140" x14ac:dyDescent="0.2">
      <c r="A163" s="2" t="s">
        <v>621</v>
      </c>
      <c r="B163" s="2" t="s">
        <v>622</v>
      </c>
      <c r="C163" s="2" t="str">
        <f>RIGHT(B163,SUM(LEN(B163)-LEN(SUBSTITUTE(B163,{"0","1","2","3","4","5","6","7","8","9"},""))))</f>
        <v>716</v>
      </c>
      <c r="D163" s="2" t="str">
        <f t="shared" si="6"/>
        <v>0716</v>
      </c>
      <c r="E163" s="2" t="str">
        <f t="shared" si="7"/>
        <v>'0716.HK'</v>
      </c>
      <c r="F163" s="4" t="s">
        <v>623</v>
      </c>
      <c r="G163" s="6" t="s">
        <v>14</v>
      </c>
      <c r="H163" s="7">
        <v>2.13</v>
      </c>
      <c r="I163" s="8">
        <v>-3375.7</v>
      </c>
      <c r="J163" s="8">
        <v>1716</v>
      </c>
      <c r="K163" s="8">
        <v>26.2</v>
      </c>
      <c r="L163" s="10">
        <v>0.35199999999999998</v>
      </c>
      <c r="M163" s="11" t="s">
        <v>624</v>
      </c>
    </row>
    <row r="164" spans="1:13" ht="50" x14ac:dyDescent="0.2">
      <c r="A164" s="2" t="s">
        <v>625</v>
      </c>
      <c r="B164" s="2" t="s">
        <v>626</v>
      </c>
      <c r="C164" s="2" t="str">
        <f>RIGHT(B164,SUM(LEN(B164)-LEN(SUBSTITUTE(B164,{"0","1","2","3","4","5","6","7","8","9"},""))))</f>
        <v>3838</v>
      </c>
      <c r="D164" s="2" t="str">
        <f t="shared" ref="D164:D213" si="8">IF(LEN(C164)=4,C164,IF(LEN(C164)&lt;4,REPT("0",4-LEN(C164))&amp;C164))</f>
        <v>3838</v>
      </c>
      <c r="E164" s="2" t="str">
        <f t="shared" ref="E164:E213" si="9">"'"&amp;D164&amp;".HK"&amp;"'"</f>
        <v>'3838.HK'</v>
      </c>
      <c r="F164" s="4" t="s">
        <v>627</v>
      </c>
      <c r="G164" s="6" t="s">
        <v>14</v>
      </c>
      <c r="H164" s="7">
        <v>1.52</v>
      </c>
      <c r="I164" s="8">
        <v>-1091.7</v>
      </c>
      <c r="J164" s="8">
        <v>1474.6</v>
      </c>
      <c r="K164" s="8">
        <v>26</v>
      </c>
      <c r="L164" s="10">
        <v>0.34699999999999998</v>
      </c>
      <c r="M164" s="12" t="s">
        <v>628</v>
      </c>
    </row>
    <row r="165" spans="1:13" ht="150" x14ac:dyDescent="0.2">
      <c r="A165" s="2" t="s">
        <v>629</v>
      </c>
      <c r="B165" s="2" t="s">
        <v>630</v>
      </c>
      <c r="C165" s="2" t="str">
        <f>RIGHT(B165,SUM(LEN(B165)-LEN(SUBSTITUTE(B165,{"0","1","2","3","4","5","6","7","8","9"},""))))</f>
        <v>1045</v>
      </c>
      <c r="D165" s="2" t="str">
        <f t="shared" si="8"/>
        <v>1045</v>
      </c>
      <c r="E165" s="2" t="str">
        <f t="shared" si="9"/>
        <v>'1045.HK'</v>
      </c>
      <c r="F165" s="4" t="s">
        <v>631</v>
      </c>
      <c r="G165" s="6" t="s">
        <v>14</v>
      </c>
      <c r="H165" s="7">
        <v>6.59</v>
      </c>
      <c r="I165" s="8">
        <v>-1186.3</v>
      </c>
      <c r="J165" s="8">
        <v>2070.6999999999998</v>
      </c>
      <c r="K165" s="8">
        <v>15.9</v>
      </c>
      <c r="L165" s="10">
        <v>0.34699999999999998</v>
      </c>
      <c r="M165" s="11" t="s">
        <v>632</v>
      </c>
    </row>
    <row r="166" spans="1:13" ht="110" x14ac:dyDescent="0.2">
      <c r="A166" s="2" t="s">
        <v>633</v>
      </c>
      <c r="B166" s="2" t="s">
        <v>634</v>
      </c>
      <c r="C166" s="2" t="str">
        <f>RIGHT(B166,SUM(LEN(B166)-LEN(SUBSTITUTE(B166,{"0","1","2","3","4","5","6","7","8","9"},""))))</f>
        <v>472</v>
      </c>
      <c r="D166" s="2" t="str">
        <f t="shared" si="8"/>
        <v>0472</v>
      </c>
      <c r="E166" s="2" t="str">
        <f t="shared" si="9"/>
        <v>'0472.HK'</v>
      </c>
      <c r="F166" s="4" t="s">
        <v>635</v>
      </c>
      <c r="G166" s="6" t="s">
        <v>14</v>
      </c>
      <c r="H166" s="7">
        <v>1.32</v>
      </c>
      <c r="I166" s="8">
        <v>-408.6</v>
      </c>
      <c r="J166" s="8">
        <v>545.29999999999995</v>
      </c>
      <c r="K166" s="8">
        <v>22.6</v>
      </c>
      <c r="L166" s="10">
        <v>0.33800000000000002</v>
      </c>
      <c r="M166" s="11" t="s">
        <v>636</v>
      </c>
    </row>
    <row r="167" spans="1:13" ht="180" x14ac:dyDescent="0.2">
      <c r="A167" s="2" t="s">
        <v>637</v>
      </c>
      <c r="B167" s="2" t="s">
        <v>638</v>
      </c>
      <c r="C167" s="2" t="str">
        <f>RIGHT(B167,SUM(LEN(B167)-LEN(SUBSTITUTE(B167,{"0","1","2","3","4","5","6","7","8","9"},""))))</f>
        <v>2033</v>
      </c>
      <c r="D167" s="2" t="str">
        <f t="shared" si="8"/>
        <v>2033</v>
      </c>
      <c r="E167" s="2" t="str">
        <f t="shared" si="9"/>
        <v>'2033.HK'</v>
      </c>
      <c r="F167" s="4" t="s">
        <v>639</v>
      </c>
      <c r="G167" s="6" t="s">
        <v>14</v>
      </c>
      <c r="H167" s="7">
        <v>4.2699999999999996</v>
      </c>
      <c r="I167" s="8">
        <v>-1006.8</v>
      </c>
      <c r="J167" s="8">
        <v>895.3</v>
      </c>
      <c r="K167" s="8">
        <v>14.4</v>
      </c>
      <c r="L167" s="10">
        <v>0.33400000000000002</v>
      </c>
      <c r="M167" s="11" t="s">
        <v>640</v>
      </c>
    </row>
    <row r="168" spans="1:13" ht="80" x14ac:dyDescent="0.2">
      <c r="A168" s="2" t="s">
        <v>641</v>
      </c>
      <c r="B168" s="2" t="s">
        <v>642</v>
      </c>
      <c r="C168" s="2" t="str">
        <f>RIGHT(B168,SUM(LEN(B168)-LEN(SUBSTITUTE(B168,{"0","1","2","3","4","5","6","7","8","9"},""))))</f>
        <v>1104</v>
      </c>
      <c r="D168" s="2" t="str">
        <f t="shared" si="8"/>
        <v>1104</v>
      </c>
      <c r="E168" s="2" t="str">
        <f t="shared" si="9"/>
        <v>'1104.HK'</v>
      </c>
      <c r="F168" s="4" t="s">
        <v>643</v>
      </c>
      <c r="G168" s="6" t="s">
        <v>14</v>
      </c>
      <c r="H168" s="8">
        <v>16.8</v>
      </c>
      <c r="I168" s="8">
        <v>-1644.9</v>
      </c>
      <c r="J168" s="8">
        <v>1445.6</v>
      </c>
      <c r="K168" s="7">
        <v>2.31</v>
      </c>
      <c r="L168" s="10">
        <v>0.33100000000000002</v>
      </c>
      <c r="M168" s="11" t="s">
        <v>644</v>
      </c>
    </row>
    <row r="169" spans="1:13" ht="30" x14ac:dyDescent="0.2">
      <c r="A169" s="2" t="s">
        <v>645</v>
      </c>
      <c r="B169" s="2" t="s">
        <v>646</v>
      </c>
      <c r="C169" s="2" t="str">
        <f>RIGHT(B169,SUM(LEN(B169)-LEN(SUBSTITUTE(B169,{"0","1","2","3","4","5","6","7","8","9"},""))))</f>
        <v>1140</v>
      </c>
      <c r="D169" s="2" t="str">
        <f t="shared" si="8"/>
        <v>1140</v>
      </c>
      <c r="E169" s="2" t="str">
        <f t="shared" si="9"/>
        <v>'1140.HK'</v>
      </c>
      <c r="F169" s="4" t="s">
        <v>647</v>
      </c>
      <c r="G169" s="6" t="s">
        <v>14</v>
      </c>
      <c r="H169" s="7">
        <v>1.08</v>
      </c>
      <c r="I169" s="8">
        <v>-56.4</v>
      </c>
      <c r="J169" s="8">
        <v>3531.3</v>
      </c>
      <c r="K169" s="8">
        <v>25.7</v>
      </c>
      <c r="L169" s="10">
        <v>0.32700000000000001</v>
      </c>
      <c r="M169" s="5" t="s">
        <v>279</v>
      </c>
    </row>
    <row r="170" spans="1:13" ht="90" x14ac:dyDescent="0.2">
      <c r="A170" s="2" t="s">
        <v>648</v>
      </c>
      <c r="B170" s="2" t="s">
        <v>649</v>
      </c>
      <c r="C170" s="2" t="str">
        <f>RIGHT(B170,SUM(LEN(B170)-LEN(SUBSTITUTE(B170,{"0","1","2","3","4","5","6","7","8","9"},""))))</f>
        <v>1122</v>
      </c>
      <c r="D170" s="2" t="str">
        <f t="shared" si="8"/>
        <v>1122</v>
      </c>
      <c r="E170" s="2" t="str">
        <f t="shared" si="9"/>
        <v>'1122.HK'</v>
      </c>
      <c r="F170" s="4" t="s">
        <v>650</v>
      </c>
      <c r="G170" s="6" t="s">
        <v>14</v>
      </c>
      <c r="H170" s="7">
        <v>1.68</v>
      </c>
      <c r="I170" s="8">
        <v>-2759.8</v>
      </c>
      <c r="J170" s="8">
        <v>2780.1</v>
      </c>
      <c r="K170" s="8">
        <v>26</v>
      </c>
      <c r="L170" s="10">
        <v>0.32500000000000001</v>
      </c>
      <c r="M170" s="11" t="s">
        <v>651</v>
      </c>
    </row>
    <row r="171" spans="1:13" ht="80" x14ac:dyDescent="0.2">
      <c r="A171" s="2" t="s">
        <v>652</v>
      </c>
      <c r="B171" s="2" t="s">
        <v>653</v>
      </c>
      <c r="C171" s="2" t="str">
        <f>RIGHT(B171,SUM(LEN(B171)-LEN(SUBSTITUTE(B171,{"0","1","2","3","4","5","6","7","8","9"},""))))</f>
        <v>232</v>
      </c>
      <c r="D171" s="2" t="str">
        <f t="shared" si="8"/>
        <v>0232</v>
      </c>
      <c r="E171" s="2" t="str">
        <f t="shared" si="9"/>
        <v>'0232.HK'</v>
      </c>
      <c r="F171" s="4" t="s">
        <v>654</v>
      </c>
      <c r="G171" s="6" t="s">
        <v>14</v>
      </c>
      <c r="H171" s="7">
        <v>1.98</v>
      </c>
      <c r="I171" s="8">
        <v>-293.60000000000002</v>
      </c>
      <c r="J171" s="8">
        <v>902.4</v>
      </c>
      <c r="K171" s="8">
        <v>26</v>
      </c>
      <c r="L171" s="10">
        <v>0.32200000000000001</v>
      </c>
      <c r="M171" s="11" t="s">
        <v>655</v>
      </c>
    </row>
    <row r="172" spans="1:13" ht="130" x14ac:dyDescent="0.2">
      <c r="A172" s="2" t="s">
        <v>656</v>
      </c>
      <c r="B172" s="2" t="s">
        <v>657</v>
      </c>
      <c r="C172" s="2" t="str">
        <f>RIGHT(B172,SUM(LEN(B172)-LEN(SUBSTITUTE(B172,{"0","1","2","3","4","5","6","7","8","9"},""))))</f>
        <v>622</v>
      </c>
      <c r="D172" s="2" t="str">
        <f t="shared" si="8"/>
        <v>0622</v>
      </c>
      <c r="E172" s="2" t="str">
        <f t="shared" si="9"/>
        <v>'0622.HK'</v>
      </c>
      <c r="F172" s="4" t="s">
        <v>658</v>
      </c>
      <c r="G172" s="6" t="s">
        <v>14</v>
      </c>
      <c r="H172" s="7">
        <v>5.62</v>
      </c>
      <c r="I172" s="8">
        <v>-1118.5</v>
      </c>
      <c r="J172" s="8">
        <v>1741.1</v>
      </c>
      <c r="K172" s="7">
        <v>9.01</v>
      </c>
      <c r="L172" s="10">
        <v>0.32200000000000001</v>
      </c>
      <c r="M172" s="11" t="s">
        <v>659</v>
      </c>
    </row>
    <row r="173" spans="1:13" ht="220" x14ac:dyDescent="0.2">
      <c r="A173" s="2" t="s">
        <v>660</v>
      </c>
      <c r="B173" s="2" t="s">
        <v>661</v>
      </c>
      <c r="C173" s="2" t="str">
        <f>RIGHT(B173,SUM(LEN(B173)-LEN(SUBSTITUTE(B173,{"0","1","2","3","4","5","6","7","8","9"},""))))</f>
        <v>156</v>
      </c>
      <c r="D173" s="2" t="str">
        <f t="shared" si="8"/>
        <v>0156</v>
      </c>
      <c r="E173" s="2" t="str">
        <f t="shared" si="9"/>
        <v>'0156.HK'</v>
      </c>
      <c r="F173" s="4" t="s">
        <v>662</v>
      </c>
      <c r="G173" s="6" t="s">
        <v>14</v>
      </c>
      <c r="H173" s="7">
        <v>1.96</v>
      </c>
      <c r="I173" s="8">
        <v>-178.8</v>
      </c>
      <c r="J173" s="8">
        <v>964.6</v>
      </c>
      <c r="K173" s="8">
        <v>30.8</v>
      </c>
      <c r="L173" s="10">
        <v>0.32</v>
      </c>
      <c r="M173" s="11" t="s">
        <v>663</v>
      </c>
    </row>
    <row r="174" spans="1:13" ht="120" x14ac:dyDescent="0.2">
      <c r="A174" s="2" t="s">
        <v>664</v>
      </c>
      <c r="B174" s="2" t="s">
        <v>665</v>
      </c>
      <c r="C174" s="2" t="str">
        <f>RIGHT(B174,SUM(LEN(B174)-LEN(SUBSTITUTE(B174,{"0","1","2","3","4","5","6","7","8","9"},""))))</f>
        <v>662</v>
      </c>
      <c r="D174" s="2" t="str">
        <f t="shared" si="8"/>
        <v>0662</v>
      </c>
      <c r="E174" s="2" t="str">
        <f t="shared" si="9"/>
        <v>'0662.HK'</v>
      </c>
      <c r="F174" s="4" t="s">
        <v>666</v>
      </c>
      <c r="G174" s="6" t="s">
        <v>14</v>
      </c>
      <c r="H174" s="7">
        <v>1.99</v>
      </c>
      <c r="I174" s="8">
        <v>-2634.2</v>
      </c>
      <c r="J174" s="8">
        <v>3122.4</v>
      </c>
      <c r="K174" s="8">
        <v>32.6</v>
      </c>
      <c r="L174" s="10">
        <v>0.32</v>
      </c>
      <c r="M174" s="11" t="s">
        <v>667</v>
      </c>
    </row>
    <row r="175" spans="1:13" ht="190" x14ac:dyDescent="0.2">
      <c r="A175" s="2" t="s">
        <v>668</v>
      </c>
      <c r="B175" s="2" t="s">
        <v>669</v>
      </c>
      <c r="C175" s="2" t="str">
        <f>RIGHT(B175,SUM(LEN(B175)-LEN(SUBSTITUTE(B175,{"0","1","2","3","4","5","6","7","8","9"},""))))</f>
        <v>560</v>
      </c>
      <c r="D175" s="2" t="str">
        <f t="shared" si="8"/>
        <v>0560</v>
      </c>
      <c r="E175" s="2" t="str">
        <f t="shared" si="9"/>
        <v>'0560.HK'</v>
      </c>
      <c r="F175" s="4" t="s">
        <v>670</v>
      </c>
      <c r="G175" s="6" t="s">
        <v>14</v>
      </c>
      <c r="H175" s="7">
        <v>1.75</v>
      </c>
      <c r="I175" s="8">
        <v>-444.8</v>
      </c>
      <c r="J175" s="8">
        <v>975.4</v>
      </c>
      <c r="K175" s="8">
        <v>24.4</v>
      </c>
      <c r="L175" s="10">
        <v>0.317</v>
      </c>
      <c r="M175" s="11" t="s">
        <v>671</v>
      </c>
    </row>
    <row r="176" spans="1:13" ht="50" x14ac:dyDescent="0.2">
      <c r="A176" s="2" t="s">
        <v>672</v>
      </c>
      <c r="B176" s="2" t="s">
        <v>673</v>
      </c>
      <c r="C176" s="2" t="str">
        <f>RIGHT(B176,SUM(LEN(B176)-LEN(SUBSTITUTE(B176,{"0","1","2","3","4","5","6","7","8","9"},""))))</f>
        <v>743</v>
      </c>
      <c r="D176" s="2" t="str">
        <f t="shared" si="8"/>
        <v>0743</v>
      </c>
      <c r="E176" s="2" t="str">
        <f t="shared" si="9"/>
        <v>'0743.HK'</v>
      </c>
      <c r="F176" s="4" t="s">
        <v>674</v>
      </c>
      <c r="G176" s="6" t="s">
        <v>14</v>
      </c>
      <c r="H176" s="7">
        <v>2.94</v>
      </c>
      <c r="I176" s="8">
        <v>-7353.3</v>
      </c>
      <c r="J176" s="8">
        <v>6157.7</v>
      </c>
      <c r="K176" s="8">
        <v>17.5</v>
      </c>
      <c r="L176" s="10">
        <v>0.316</v>
      </c>
      <c r="M176" s="11" t="s">
        <v>675</v>
      </c>
    </row>
    <row r="177" spans="1:13" ht="160" x14ac:dyDescent="0.2">
      <c r="A177" s="2" t="s">
        <v>676</v>
      </c>
      <c r="B177" s="2" t="s">
        <v>677</v>
      </c>
      <c r="C177" s="2" t="str">
        <f>RIGHT(B177,SUM(LEN(B177)-LEN(SUBSTITUTE(B177,{"0","1","2","3","4","5","6","7","8","9"},""))))</f>
        <v>321</v>
      </c>
      <c r="D177" s="2" t="str">
        <f t="shared" si="8"/>
        <v>0321</v>
      </c>
      <c r="E177" s="2" t="str">
        <f t="shared" si="9"/>
        <v>'0321.HK'</v>
      </c>
      <c r="F177" s="4" t="s">
        <v>678</v>
      </c>
      <c r="G177" s="6" t="s">
        <v>14</v>
      </c>
      <c r="H177" s="7">
        <v>1.18</v>
      </c>
      <c r="I177" s="8">
        <v>-559.79999999999995</v>
      </c>
      <c r="J177" s="8">
        <v>1699.5</v>
      </c>
      <c r="K177" s="8">
        <v>39.5</v>
      </c>
      <c r="L177" s="10">
        <v>0.315</v>
      </c>
      <c r="M177" s="11" t="s">
        <v>679</v>
      </c>
    </row>
    <row r="178" spans="1:13" ht="160" x14ac:dyDescent="0.2">
      <c r="A178" s="2" t="s">
        <v>680</v>
      </c>
      <c r="B178" s="2" t="s">
        <v>681</v>
      </c>
      <c r="C178" s="2" t="str">
        <f>RIGHT(B178,SUM(LEN(B178)-LEN(SUBSTITUTE(B178,{"0","1","2","3","4","5","6","7","8","9"},""))))</f>
        <v>450</v>
      </c>
      <c r="D178" s="2" t="str">
        <f t="shared" si="8"/>
        <v>0450</v>
      </c>
      <c r="E178" s="2" t="str">
        <f t="shared" si="9"/>
        <v>'0450.HK'</v>
      </c>
      <c r="F178" s="4" t="s">
        <v>682</v>
      </c>
      <c r="G178" s="6" t="s">
        <v>14</v>
      </c>
      <c r="H178" s="7">
        <v>2.86</v>
      </c>
      <c r="I178" s="8">
        <v>-873.3</v>
      </c>
      <c r="J178" s="8">
        <v>915.6</v>
      </c>
      <c r="K178" s="8">
        <v>22.2</v>
      </c>
      <c r="L178" s="10">
        <v>0.309</v>
      </c>
      <c r="M178" s="11" t="s">
        <v>683</v>
      </c>
    </row>
    <row r="179" spans="1:13" ht="60" x14ac:dyDescent="0.2">
      <c r="A179" s="2" t="s">
        <v>684</v>
      </c>
      <c r="B179" s="2" t="s">
        <v>685</v>
      </c>
      <c r="C179" s="2" t="str">
        <f>RIGHT(B179,SUM(LEN(B179)-LEN(SUBSTITUTE(B179,{"0","1","2","3","4","5","6","7","8","9"},""))))</f>
        <v>1028</v>
      </c>
      <c r="D179" s="2" t="str">
        <f t="shared" si="8"/>
        <v>1028</v>
      </c>
      <c r="E179" s="2" t="str">
        <f t="shared" si="9"/>
        <v>'1028.HK'</v>
      </c>
      <c r="F179" s="4" t="s">
        <v>686</v>
      </c>
      <c r="G179" s="6" t="s">
        <v>14</v>
      </c>
      <c r="H179" s="7">
        <v>2.4500000000000002</v>
      </c>
      <c r="I179" s="8">
        <v>-476.5</v>
      </c>
      <c r="J179" s="8">
        <v>506.8</v>
      </c>
      <c r="K179" s="8">
        <v>22.4</v>
      </c>
      <c r="L179" s="10">
        <v>0.30599999999999999</v>
      </c>
      <c r="M179" s="11" t="s">
        <v>687</v>
      </c>
    </row>
    <row r="180" spans="1:13" ht="80" x14ac:dyDescent="0.2">
      <c r="A180" s="2" t="s">
        <v>688</v>
      </c>
      <c r="B180" s="2" t="s">
        <v>689</v>
      </c>
      <c r="C180" s="2" t="str">
        <f>RIGHT(B180,SUM(LEN(B180)-LEN(SUBSTITUTE(B180,{"0","1","2","3","4","5","6","7","8","9"},""))))</f>
        <v>1761</v>
      </c>
      <c r="D180" s="2" t="str">
        <f t="shared" si="8"/>
        <v>1761</v>
      </c>
      <c r="E180" s="2" t="str">
        <f t="shared" si="9"/>
        <v>'1761.HK'</v>
      </c>
      <c r="F180" s="4" t="s">
        <v>690</v>
      </c>
      <c r="G180" s="6" t="s">
        <v>14</v>
      </c>
      <c r="H180" s="8">
        <v>11.3</v>
      </c>
      <c r="I180" s="8">
        <v>-1677</v>
      </c>
      <c r="J180" s="8">
        <v>614.5</v>
      </c>
      <c r="K180" s="7">
        <v>7.94</v>
      </c>
      <c r="L180" s="10">
        <v>0.30499999999999999</v>
      </c>
      <c r="M180" s="11" t="s">
        <v>691</v>
      </c>
    </row>
    <row r="181" spans="1:13" ht="190" x14ac:dyDescent="0.2">
      <c r="A181" s="2" t="s">
        <v>692</v>
      </c>
      <c r="B181" s="2" t="s">
        <v>693</v>
      </c>
      <c r="C181" s="2" t="str">
        <f>RIGHT(B181,SUM(LEN(B181)-LEN(SUBSTITUTE(B181,{"0","1","2","3","4","5","6","7","8","9"},""))))</f>
        <v>273</v>
      </c>
      <c r="D181" s="2" t="str">
        <f t="shared" si="8"/>
        <v>0273</v>
      </c>
      <c r="E181" s="2" t="str">
        <f t="shared" si="9"/>
        <v>'0273.HK'</v>
      </c>
      <c r="F181" s="4" t="s">
        <v>694</v>
      </c>
      <c r="G181" s="6" t="s">
        <v>14</v>
      </c>
      <c r="H181" s="7">
        <v>7.89</v>
      </c>
      <c r="I181" s="8">
        <v>-1981.1</v>
      </c>
      <c r="J181" s="8">
        <v>1197.8</v>
      </c>
      <c r="K181" s="7">
        <v>8.17</v>
      </c>
      <c r="L181" s="10">
        <v>0.29899999999999999</v>
      </c>
      <c r="M181" s="11" t="s">
        <v>695</v>
      </c>
    </row>
    <row r="182" spans="1:13" ht="80" x14ac:dyDescent="0.2">
      <c r="A182" s="2" t="s">
        <v>696</v>
      </c>
      <c r="B182" s="2" t="s">
        <v>697</v>
      </c>
      <c r="C182" s="2" t="str">
        <f>RIGHT(B182,SUM(LEN(B182)-LEN(SUBSTITUTE(B182,{"0","1","2","3","4","5","6","7","8","9"},""))))</f>
        <v>3389</v>
      </c>
      <c r="D182" s="2" t="str">
        <f t="shared" si="8"/>
        <v>3389</v>
      </c>
      <c r="E182" s="2" t="str">
        <f t="shared" si="9"/>
        <v>'3389.HK'</v>
      </c>
      <c r="F182" s="4" t="s">
        <v>698</v>
      </c>
      <c r="G182" s="6" t="s">
        <v>14</v>
      </c>
      <c r="H182" s="7">
        <v>6.21</v>
      </c>
      <c r="I182" s="8">
        <v>-1041.7</v>
      </c>
      <c r="J182" s="8">
        <v>1123</v>
      </c>
      <c r="K182" s="7">
        <v>7.33</v>
      </c>
      <c r="L182" s="10">
        <v>0.29799999999999999</v>
      </c>
      <c r="M182" s="11" t="s">
        <v>699</v>
      </c>
    </row>
    <row r="183" spans="1:13" ht="80" x14ac:dyDescent="0.2">
      <c r="A183" s="2" t="s">
        <v>700</v>
      </c>
      <c r="B183" s="2" t="s">
        <v>701</v>
      </c>
      <c r="C183" s="2" t="str">
        <f>RIGHT(B183,SUM(LEN(B183)-LEN(SUBSTITUTE(B183,{"0","1","2","3","4","5","6","7","8","9"},""))))</f>
        <v>271</v>
      </c>
      <c r="D183" s="2" t="str">
        <f t="shared" si="8"/>
        <v>0271</v>
      </c>
      <c r="E183" s="2" t="str">
        <f t="shared" si="9"/>
        <v>'0271.HK'</v>
      </c>
      <c r="F183" s="4" t="s">
        <v>702</v>
      </c>
      <c r="G183" s="6" t="s">
        <v>14</v>
      </c>
      <c r="H183" s="7">
        <v>9.1300000000000008</v>
      </c>
      <c r="I183" s="8">
        <v>-162.69999999999999</v>
      </c>
      <c r="J183" s="8">
        <v>502.5</v>
      </c>
      <c r="K183" s="8">
        <v>10.4</v>
      </c>
      <c r="L183" s="10">
        <v>0.29499999999999998</v>
      </c>
      <c r="M183" s="11" t="s">
        <v>703</v>
      </c>
    </row>
    <row r="184" spans="1:13" ht="50" x14ac:dyDescent="0.2">
      <c r="A184" s="2" t="s">
        <v>704</v>
      </c>
      <c r="B184" s="2" t="s">
        <v>705</v>
      </c>
      <c r="C184" s="2" t="str">
        <f>RIGHT(B184,SUM(LEN(B184)-LEN(SUBSTITUTE(B184,{"0","1","2","3","4","5","6","7","8","9"},""))))</f>
        <v>6117</v>
      </c>
      <c r="D184" s="2" t="str">
        <f t="shared" si="8"/>
        <v>6117</v>
      </c>
      <c r="E184" s="2" t="str">
        <f t="shared" si="9"/>
        <v>'6117.HK'</v>
      </c>
      <c r="F184" s="4" t="s">
        <v>706</v>
      </c>
      <c r="G184" s="6" t="s">
        <v>14</v>
      </c>
      <c r="H184" s="7">
        <v>7.46</v>
      </c>
      <c r="I184" s="8">
        <v>-425.3</v>
      </c>
      <c r="J184" s="8">
        <v>863.2</v>
      </c>
      <c r="K184" s="8">
        <v>12.4</v>
      </c>
      <c r="L184" s="10">
        <v>0.29399999999999998</v>
      </c>
      <c r="M184" s="5" t="s">
        <v>707</v>
      </c>
    </row>
    <row r="185" spans="1:13" ht="110" x14ac:dyDescent="0.2">
      <c r="A185" s="2" t="s">
        <v>708</v>
      </c>
      <c r="B185" s="2" t="s">
        <v>709</v>
      </c>
      <c r="C185" s="2" t="str">
        <f>RIGHT(B185,SUM(LEN(B185)-LEN(SUBSTITUTE(B185,{"0","1","2","3","4","5","6","7","8","9"},""))))</f>
        <v>237</v>
      </c>
      <c r="D185" s="2" t="str">
        <f t="shared" si="8"/>
        <v>0237</v>
      </c>
      <c r="E185" s="2" t="str">
        <f t="shared" si="9"/>
        <v>'0237.HK'</v>
      </c>
      <c r="F185" s="4" t="s">
        <v>710</v>
      </c>
      <c r="G185" s="6" t="s">
        <v>14</v>
      </c>
      <c r="H185" s="7">
        <v>9.4</v>
      </c>
      <c r="I185" s="8">
        <v>-471.7</v>
      </c>
      <c r="J185" s="8">
        <v>1158.3</v>
      </c>
      <c r="K185" s="7">
        <v>3.54</v>
      </c>
      <c r="L185" s="10">
        <v>0.29199999999999998</v>
      </c>
      <c r="M185" s="11" t="s">
        <v>711</v>
      </c>
    </row>
    <row r="186" spans="1:13" ht="160" x14ac:dyDescent="0.2">
      <c r="A186" s="2" t="s">
        <v>712</v>
      </c>
      <c r="B186" s="2" t="s">
        <v>713</v>
      </c>
      <c r="C186" s="2" t="str">
        <f>RIGHT(B186,SUM(LEN(B186)-LEN(SUBSTITUTE(B186,{"0","1","2","3","4","5","6","7","8","9"},""))))</f>
        <v>64</v>
      </c>
      <c r="D186" s="2" t="str">
        <f t="shared" si="8"/>
        <v>0064</v>
      </c>
      <c r="E186" s="2" t="str">
        <f t="shared" si="9"/>
        <v>'0064.HK'</v>
      </c>
      <c r="F186" s="4" t="s">
        <v>714</v>
      </c>
      <c r="G186" s="6" t="s">
        <v>14</v>
      </c>
      <c r="H186" s="7">
        <v>6.06</v>
      </c>
      <c r="I186" s="8">
        <v>-2221.1999999999998</v>
      </c>
      <c r="J186" s="8">
        <v>1526.7</v>
      </c>
      <c r="K186" s="8">
        <v>11.8</v>
      </c>
      <c r="L186" s="10">
        <v>0.26700000000000002</v>
      </c>
      <c r="M186" s="11" t="s">
        <v>715</v>
      </c>
    </row>
    <row r="187" spans="1:13" ht="170" x14ac:dyDescent="0.2">
      <c r="A187" s="2" t="s">
        <v>716</v>
      </c>
      <c r="B187" s="2" t="s">
        <v>717</v>
      </c>
      <c r="C187" s="2" t="str">
        <f>RIGHT(B187,SUM(LEN(B187)-LEN(SUBSTITUTE(B187,{"0","1","2","3","4","5","6","7","8","9"},""))))</f>
        <v>533</v>
      </c>
      <c r="D187" s="2" t="str">
        <f t="shared" si="8"/>
        <v>0533</v>
      </c>
      <c r="E187" s="2" t="str">
        <f t="shared" si="9"/>
        <v>'0533.HK'</v>
      </c>
      <c r="F187" s="4" t="s">
        <v>718</v>
      </c>
      <c r="G187" s="6" t="s">
        <v>14</v>
      </c>
      <c r="H187" s="7">
        <v>2.29</v>
      </c>
      <c r="I187" s="8">
        <v>-1305.4000000000001</v>
      </c>
      <c r="J187" s="8">
        <v>1178.5</v>
      </c>
      <c r="K187" s="8">
        <v>20.100000000000001</v>
      </c>
      <c r="L187" s="10">
        <v>0.26100000000000001</v>
      </c>
      <c r="M187" s="11" t="s">
        <v>719</v>
      </c>
    </row>
    <row r="188" spans="1:13" ht="150" x14ac:dyDescent="0.2">
      <c r="A188" s="2" t="s">
        <v>720</v>
      </c>
      <c r="B188" s="2" t="s">
        <v>721</v>
      </c>
      <c r="C188" s="2" t="str">
        <f>RIGHT(B188,SUM(LEN(B188)-LEN(SUBSTITUTE(B188,{"0","1","2","3","4","5","6","7","8","9"},""))))</f>
        <v>235</v>
      </c>
      <c r="D188" s="2" t="str">
        <f t="shared" si="8"/>
        <v>0235</v>
      </c>
      <c r="E188" s="2" t="str">
        <f t="shared" si="9"/>
        <v>'0235.HK'</v>
      </c>
      <c r="F188" s="4" t="s">
        <v>722</v>
      </c>
      <c r="G188" s="6" t="s">
        <v>14</v>
      </c>
      <c r="H188" s="7">
        <v>2.42</v>
      </c>
      <c r="I188" s="8">
        <v>-844</v>
      </c>
      <c r="J188" s="8">
        <v>591.20000000000005</v>
      </c>
      <c r="K188" s="8">
        <v>23.6</v>
      </c>
      <c r="L188" s="10">
        <v>0.25800000000000001</v>
      </c>
      <c r="M188" s="11" t="s">
        <v>723</v>
      </c>
    </row>
    <row r="189" spans="1:13" ht="40" x14ac:dyDescent="0.2">
      <c r="A189" s="2" t="s">
        <v>724</v>
      </c>
      <c r="B189" s="2" t="s">
        <v>725</v>
      </c>
      <c r="C189" s="2" t="str">
        <f>RIGHT(B189,SUM(LEN(B189)-LEN(SUBSTITUTE(B189,{"0","1","2","3","4","5","6","7","8","9"},""))))</f>
        <v>133</v>
      </c>
      <c r="D189" s="2" t="str">
        <f t="shared" si="8"/>
        <v>0133</v>
      </c>
      <c r="E189" s="2" t="str">
        <f t="shared" si="9"/>
        <v>'0133.HK'</v>
      </c>
      <c r="F189" s="4" t="s">
        <v>726</v>
      </c>
      <c r="G189" s="6" t="s">
        <v>14</v>
      </c>
      <c r="H189" s="7">
        <v>3.2</v>
      </c>
      <c r="I189" s="8">
        <v>-785.1</v>
      </c>
      <c r="J189" s="8">
        <v>1357.3</v>
      </c>
      <c r="K189" s="8">
        <v>20.8</v>
      </c>
      <c r="L189" s="10">
        <v>0.25600000000000001</v>
      </c>
      <c r="M189" s="5" t="s">
        <v>727</v>
      </c>
    </row>
    <row r="190" spans="1:13" ht="200" x14ac:dyDescent="0.2">
      <c r="A190" s="2" t="s">
        <v>728</v>
      </c>
      <c r="B190" s="2" t="s">
        <v>729</v>
      </c>
      <c r="C190" s="2" t="str">
        <f>RIGHT(B190,SUM(LEN(B190)-LEN(SUBSTITUTE(B190,{"0","1","2","3","4","5","6","7","8","9"},""))))</f>
        <v>8005</v>
      </c>
      <c r="D190" s="2" t="str">
        <f t="shared" si="8"/>
        <v>8005</v>
      </c>
      <c r="E190" s="2" t="str">
        <f t="shared" si="9"/>
        <v>'8005.HK'</v>
      </c>
      <c r="F190" s="4" t="s">
        <v>730</v>
      </c>
      <c r="G190" s="6" t="s">
        <v>14</v>
      </c>
      <c r="H190" s="7">
        <v>1.8</v>
      </c>
      <c r="I190" s="8">
        <v>-428.3</v>
      </c>
      <c r="J190" s="8">
        <v>500</v>
      </c>
      <c r="K190" s="8">
        <v>16.600000000000001</v>
      </c>
      <c r="L190" s="10">
        <v>0.248</v>
      </c>
      <c r="M190" s="11" t="s">
        <v>731</v>
      </c>
    </row>
    <row r="191" spans="1:13" ht="130" x14ac:dyDescent="0.2">
      <c r="A191" s="2" t="s">
        <v>732</v>
      </c>
      <c r="B191" s="2" t="s">
        <v>733</v>
      </c>
      <c r="C191" s="2" t="str">
        <f>RIGHT(B191,SUM(LEN(B191)-LEN(SUBSTITUTE(B191,{"0","1","2","3","4","5","6","7","8","9"},""))))</f>
        <v>102</v>
      </c>
      <c r="D191" s="2" t="str">
        <f t="shared" si="8"/>
        <v>0102</v>
      </c>
      <c r="E191" s="2" t="str">
        <f t="shared" si="9"/>
        <v>'0102.HK'</v>
      </c>
      <c r="F191" s="4" t="s">
        <v>734</v>
      </c>
      <c r="G191" s="6" t="s">
        <v>14</v>
      </c>
      <c r="H191" s="8">
        <v>11.4</v>
      </c>
      <c r="I191" s="8">
        <v>-436.1</v>
      </c>
      <c r="J191" s="8">
        <v>784.6</v>
      </c>
      <c r="K191" s="7">
        <v>6.97</v>
      </c>
      <c r="L191" s="10">
        <v>0.24399999999999999</v>
      </c>
      <c r="M191" s="11" t="s">
        <v>735</v>
      </c>
    </row>
    <row r="192" spans="1:13" ht="140" x14ac:dyDescent="0.2">
      <c r="A192" s="2" t="s">
        <v>736</v>
      </c>
      <c r="B192" s="2" t="s">
        <v>737</v>
      </c>
      <c r="C192" s="2" t="str">
        <f>RIGHT(B192,SUM(LEN(B192)-LEN(SUBSTITUTE(B192,{"0","1","2","3","4","5","6","7","8","9"},""))))</f>
        <v>1980</v>
      </c>
      <c r="D192" s="2" t="str">
        <f t="shared" si="8"/>
        <v>1980</v>
      </c>
      <c r="E192" s="2" t="str">
        <f t="shared" si="9"/>
        <v>'1980.HK'</v>
      </c>
      <c r="F192" s="4" t="s">
        <v>738</v>
      </c>
      <c r="G192" s="6" t="s">
        <v>14</v>
      </c>
      <c r="H192" s="7">
        <v>3.88</v>
      </c>
      <c r="I192" s="8">
        <v>-1699.4</v>
      </c>
      <c r="J192" s="8">
        <v>811.5</v>
      </c>
      <c r="K192" s="8">
        <v>13.1</v>
      </c>
      <c r="L192" s="10">
        <v>0.24099999999999999</v>
      </c>
      <c r="M192" s="11" t="s">
        <v>739</v>
      </c>
    </row>
    <row r="193" spans="1:13" ht="150" x14ac:dyDescent="0.2">
      <c r="A193" s="2" t="s">
        <v>740</v>
      </c>
      <c r="B193" s="2" t="s">
        <v>741</v>
      </c>
      <c r="C193" s="2" t="str">
        <f>RIGHT(B193,SUM(LEN(B193)-LEN(SUBSTITUTE(B193,{"0","1","2","3","4","5","6","7","8","9"},""))))</f>
        <v>3398</v>
      </c>
      <c r="D193" s="2" t="str">
        <f t="shared" si="8"/>
        <v>3398</v>
      </c>
      <c r="E193" s="2" t="str">
        <f t="shared" si="9"/>
        <v>'3398.HK'</v>
      </c>
      <c r="F193" s="4" t="s">
        <v>742</v>
      </c>
      <c r="G193" s="6" t="s">
        <v>14</v>
      </c>
      <c r="H193" s="7">
        <v>1.1299999999999999</v>
      </c>
      <c r="I193" s="8">
        <v>-604.29999999999995</v>
      </c>
      <c r="J193" s="8">
        <v>598.4</v>
      </c>
      <c r="K193" s="8">
        <v>31.9</v>
      </c>
      <c r="L193" s="10">
        <v>0.23899999999999999</v>
      </c>
      <c r="M193" s="11" t="s">
        <v>743</v>
      </c>
    </row>
    <row r="194" spans="1:13" ht="110" x14ac:dyDescent="0.2">
      <c r="A194" s="2" t="s">
        <v>744</v>
      </c>
      <c r="B194" s="2" t="s">
        <v>745</v>
      </c>
      <c r="C194" s="2" t="str">
        <f>RIGHT(B194,SUM(LEN(B194)-LEN(SUBSTITUTE(B194,{"0","1","2","3","4","5","6","7","8","9"},""))))</f>
        <v>635</v>
      </c>
      <c r="D194" s="2" t="str">
        <f t="shared" si="8"/>
        <v>0635</v>
      </c>
      <c r="E194" s="2" t="str">
        <f t="shared" si="9"/>
        <v>'0635.HK'</v>
      </c>
      <c r="F194" s="4" t="s">
        <v>746</v>
      </c>
      <c r="G194" s="6" t="s">
        <v>14</v>
      </c>
      <c r="H194" s="7">
        <v>2.0299999999999998</v>
      </c>
      <c r="I194" s="8">
        <v>-826.7</v>
      </c>
      <c r="J194" s="8">
        <v>1371.6</v>
      </c>
      <c r="K194" s="8">
        <v>15</v>
      </c>
      <c r="L194" s="10">
        <v>0.23499999999999999</v>
      </c>
      <c r="M194" s="11" t="s">
        <v>747</v>
      </c>
    </row>
    <row r="195" spans="1:13" ht="130" x14ac:dyDescent="0.2">
      <c r="A195" s="2" t="s">
        <v>748</v>
      </c>
      <c r="B195" s="2" t="s">
        <v>749</v>
      </c>
      <c r="C195" s="2" t="str">
        <f>RIGHT(B195,SUM(LEN(B195)-LEN(SUBSTITUTE(B195,{"0","1","2","3","4","5","6","7","8","9"},""))))</f>
        <v>538</v>
      </c>
      <c r="D195" s="2" t="str">
        <f t="shared" si="8"/>
        <v>0538</v>
      </c>
      <c r="E195" s="2" t="str">
        <f t="shared" si="9"/>
        <v>'0538.HK'</v>
      </c>
      <c r="F195" s="4" t="s">
        <v>750</v>
      </c>
      <c r="G195" s="6" t="s">
        <v>14</v>
      </c>
      <c r="H195" s="7">
        <v>2.72</v>
      </c>
      <c r="I195" s="8">
        <v>-1030</v>
      </c>
      <c r="J195" s="8">
        <v>785.9</v>
      </c>
      <c r="K195" s="8">
        <v>27.6</v>
      </c>
      <c r="L195" s="10">
        <v>0.23200000000000001</v>
      </c>
      <c r="M195" s="11" t="s">
        <v>751</v>
      </c>
    </row>
    <row r="196" spans="1:13" ht="150" x14ac:dyDescent="0.2">
      <c r="A196" s="2" t="s">
        <v>752</v>
      </c>
      <c r="B196" s="2" t="s">
        <v>753</v>
      </c>
      <c r="C196" s="2" t="str">
        <f>RIGHT(B196,SUM(LEN(B196)-LEN(SUBSTITUTE(B196,{"0","1","2","3","4","5","6","7","8","9"},""))))</f>
        <v>289</v>
      </c>
      <c r="D196" s="2" t="str">
        <f t="shared" si="8"/>
        <v>0289</v>
      </c>
      <c r="E196" s="2" t="str">
        <f t="shared" si="9"/>
        <v>'0289.HK'</v>
      </c>
      <c r="F196" s="4" t="s">
        <v>754</v>
      </c>
      <c r="G196" s="6" t="s">
        <v>14</v>
      </c>
      <c r="H196" s="7">
        <v>9.39</v>
      </c>
      <c r="I196" s="8">
        <v>-4057.6</v>
      </c>
      <c r="J196" s="8">
        <v>4365.3999999999996</v>
      </c>
      <c r="K196" s="7">
        <v>6.74</v>
      </c>
      <c r="L196" s="10">
        <v>0.23200000000000001</v>
      </c>
      <c r="M196" s="11" t="s">
        <v>755</v>
      </c>
    </row>
    <row r="197" spans="1:13" ht="110" x14ac:dyDescent="0.2">
      <c r="A197" s="2" t="s">
        <v>756</v>
      </c>
      <c r="B197" s="2" t="s">
        <v>757</v>
      </c>
      <c r="C197" s="2" t="str">
        <f>RIGHT(B197,SUM(LEN(B197)-LEN(SUBSTITUTE(B197,{"0","1","2","3","4","5","6","7","8","9"},""))))</f>
        <v>2127</v>
      </c>
      <c r="D197" s="2" t="str">
        <f t="shared" si="8"/>
        <v>2127</v>
      </c>
      <c r="E197" s="2" t="str">
        <f t="shared" si="9"/>
        <v>'2127.HK'</v>
      </c>
      <c r="F197" s="4" t="s">
        <v>758</v>
      </c>
      <c r="G197" s="6" t="s">
        <v>14</v>
      </c>
      <c r="H197" s="7">
        <v>5.27</v>
      </c>
      <c r="I197" s="8">
        <v>-3242.7</v>
      </c>
      <c r="J197" s="8">
        <v>1196.9000000000001</v>
      </c>
      <c r="K197" s="8">
        <v>17.100000000000001</v>
      </c>
      <c r="L197" s="10">
        <v>0.22700000000000001</v>
      </c>
      <c r="M197" s="11" t="s">
        <v>759</v>
      </c>
    </row>
    <row r="198" spans="1:13" ht="180" x14ac:dyDescent="0.2">
      <c r="A198" s="2" t="s">
        <v>760</v>
      </c>
      <c r="B198" s="2" t="s">
        <v>761</v>
      </c>
      <c r="C198" s="2" t="str">
        <f>RIGHT(B198,SUM(LEN(B198)-LEN(SUBSTITUTE(B198,{"0","1","2","3","4","5","6","7","8","9"},""))))</f>
        <v>1203</v>
      </c>
      <c r="D198" s="2" t="str">
        <f t="shared" si="8"/>
        <v>1203</v>
      </c>
      <c r="E198" s="2" t="str">
        <f t="shared" si="9"/>
        <v>'1203.HK'</v>
      </c>
      <c r="F198" s="4" t="s">
        <v>762</v>
      </c>
      <c r="G198" s="6" t="s">
        <v>14</v>
      </c>
      <c r="H198" s="7">
        <v>1.55</v>
      </c>
      <c r="I198" s="8">
        <v>-596.20000000000005</v>
      </c>
      <c r="J198" s="8">
        <v>580.9</v>
      </c>
      <c r="K198" s="8">
        <v>31.6</v>
      </c>
      <c r="L198" s="10">
        <v>0.219</v>
      </c>
      <c r="M198" s="11" t="s">
        <v>763</v>
      </c>
    </row>
    <row r="199" spans="1:13" ht="160" x14ac:dyDescent="0.2">
      <c r="A199" s="2" t="s">
        <v>764</v>
      </c>
      <c r="B199" s="2" t="s">
        <v>765</v>
      </c>
      <c r="C199" s="2" t="str">
        <f>RIGHT(B199,SUM(LEN(B199)-LEN(SUBSTITUTE(B199,{"0","1","2","3","4","5","6","7","8","9"},""))))</f>
        <v>3999</v>
      </c>
      <c r="D199" s="2" t="str">
        <f t="shared" si="8"/>
        <v>3999</v>
      </c>
      <c r="E199" s="2" t="str">
        <f t="shared" si="9"/>
        <v>'3999.HK'</v>
      </c>
      <c r="F199" s="4" t="s">
        <v>766</v>
      </c>
      <c r="G199" s="6" t="s">
        <v>14</v>
      </c>
      <c r="H199" s="7">
        <v>1.4</v>
      </c>
      <c r="I199" s="8">
        <v>-432.8</v>
      </c>
      <c r="J199" s="8">
        <v>518.29999999999995</v>
      </c>
      <c r="K199" s="8">
        <v>34</v>
      </c>
      <c r="L199" s="10">
        <v>0.219</v>
      </c>
      <c r="M199" s="11" t="s">
        <v>767</v>
      </c>
    </row>
    <row r="200" spans="1:13" ht="180" x14ac:dyDescent="0.2">
      <c r="A200" s="2" t="s">
        <v>768</v>
      </c>
      <c r="B200" s="2" t="s">
        <v>769</v>
      </c>
      <c r="C200" s="2" t="str">
        <f>RIGHT(B200,SUM(LEN(B200)-LEN(SUBSTITUTE(B200,{"0","1","2","3","4","5","6","7","8","9"},""))))</f>
        <v>366</v>
      </c>
      <c r="D200" s="2" t="str">
        <f t="shared" si="8"/>
        <v>0366</v>
      </c>
      <c r="E200" s="2" t="str">
        <f t="shared" si="9"/>
        <v>'0366.HK'</v>
      </c>
      <c r="F200" s="4" t="s">
        <v>770</v>
      </c>
      <c r="G200" s="6" t="s">
        <v>14</v>
      </c>
      <c r="H200" s="7">
        <v>1.91</v>
      </c>
      <c r="I200" s="8">
        <v>-311.10000000000002</v>
      </c>
      <c r="J200" s="8">
        <v>547.79999999999995</v>
      </c>
      <c r="K200" s="8">
        <v>16.7</v>
      </c>
      <c r="L200" s="10">
        <v>0.217</v>
      </c>
      <c r="M200" s="11" t="s">
        <v>771</v>
      </c>
    </row>
    <row r="201" spans="1:13" ht="250" x14ac:dyDescent="0.2">
      <c r="A201" s="2" t="s">
        <v>772</v>
      </c>
      <c r="B201" s="2" t="s">
        <v>773</v>
      </c>
      <c r="C201" s="2" t="str">
        <f>RIGHT(B201,SUM(LEN(B201)-LEN(SUBSTITUTE(B201,{"0","1","2","3","4","5","6","7","8","9"},""))))</f>
        <v>610</v>
      </c>
      <c r="D201" s="2" t="str">
        <f t="shared" si="8"/>
        <v>0610</v>
      </c>
      <c r="E201" s="2" t="str">
        <f t="shared" si="9"/>
        <v>'0610.HK'</v>
      </c>
      <c r="F201" s="4" t="s">
        <v>774</v>
      </c>
      <c r="G201" s="6" t="s">
        <v>14</v>
      </c>
      <c r="H201" s="7">
        <v>1.2</v>
      </c>
      <c r="I201" s="8">
        <v>-685.5</v>
      </c>
      <c r="J201" s="8">
        <v>2181.1</v>
      </c>
      <c r="K201" s="8">
        <v>37.700000000000003</v>
      </c>
      <c r="L201" s="10">
        <v>0.20799999999999999</v>
      </c>
      <c r="M201" s="11" t="s">
        <v>775</v>
      </c>
    </row>
    <row r="202" spans="1:13" ht="180" x14ac:dyDescent="0.2">
      <c r="A202" s="2" t="s">
        <v>776</v>
      </c>
      <c r="B202" s="2" t="s">
        <v>777</v>
      </c>
      <c r="C202" s="2" t="str">
        <f>RIGHT(B202,SUM(LEN(B202)-LEN(SUBSTITUTE(B202,{"0","1","2","3","4","5","6","7","8","9"},""))))</f>
        <v>194</v>
      </c>
      <c r="D202" s="2" t="str">
        <f t="shared" si="8"/>
        <v>0194</v>
      </c>
      <c r="E202" s="2" t="str">
        <f t="shared" si="9"/>
        <v>'0194.HK'</v>
      </c>
      <c r="F202" s="4" t="s">
        <v>778</v>
      </c>
      <c r="G202" s="6" t="s">
        <v>14</v>
      </c>
      <c r="H202" s="7">
        <v>1.76</v>
      </c>
      <c r="I202" s="8">
        <v>-160.5</v>
      </c>
      <c r="J202" s="8">
        <v>2631.1</v>
      </c>
      <c r="K202" s="8">
        <v>18.2</v>
      </c>
      <c r="L202" s="10">
        <v>0.20499999999999999</v>
      </c>
      <c r="M202" s="11" t="s">
        <v>779</v>
      </c>
    </row>
    <row r="203" spans="1:13" ht="110" x14ac:dyDescent="0.2">
      <c r="A203" s="2" t="s">
        <v>780</v>
      </c>
      <c r="B203" s="2" t="s">
        <v>781</v>
      </c>
      <c r="C203" s="2" t="str">
        <f>RIGHT(B203,SUM(LEN(B203)-LEN(SUBSTITUTE(B203,{"0","1","2","3","4","5","6","7","8","9"},""))))</f>
        <v>212</v>
      </c>
      <c r="D203" s="2" t="str">
        <f t="shared" si="8"/>
        <v>0212</v>
      </c>
      <c r="E203" s="2" t="str">
        <f t="shared" si="9"/>
        <v>'0212.HK'</v>
      </c>
      <c r="F203" s="4" t="s">
        <v>782</v>
      </c>
      <c r="G203" s="6" t="s">
        <v>14</v>
      </c>
      <c r="H203" s="7">
        <v>7.4</v>
      </c>
      <c r="I203" s="8">
        <v>-416.4</v>
      </c>
      <c r="J203" s="8">
        <v>1120.9000000000001</v>
      </c>
      <c r="K203" s="7">
        <v>1.56</v>
      </c>
      <c r="L203" s="10">
        <v>0.20300000000000001</v>
      </c>
      <c r="M203" s="11" t="s">
        <v>783</v>
      </c>
    </row>
    <row r="204" spans="1:13" ht="60" x14ac:dyDescent="0.2">
      <c r="A204" s="2" t="s">
        <v>784</v>
      </c>
      <c r="B204" s="2" t="s">
        <v>785</v>
      </c>
      <c r="C204" s="2" t="str">
        <f>RIGHT(B204,SUM(LEN(B204)-LEN(SUBSTITUTE(B204,{"0","1","2","3","4","5","6","7","8","9"},""))))</f>
        <v>887</v>
      </c>
      <c r="D204" s="2" t="str">
        <f t="shared" si="8"/>
        <v>0887</v>
      </c>
      <c r="E204" s="2" t="str">
        <f t="shared" si="9"/>
        <v>'0887.HK'</v>
      </c>
      <c r="F204" s="4" t="s">
        <v>786</v>
      </c>
      <c r="G204" s="6" t="s">
        <v>14</v>
      </c>
      <c r="H204" s="7">
        <v>1.33</v>
      </c>
      <c r="I204" s="8">
        <v>-139.4</v>
      </c>
      <c r="J204" s="8">
        <v>894.9</v>
      </c>
      <c r="K204" s="8">
        <v>11.8</v>
      </c>
      <c r="L204" s="10">
        <v>0.188</v>
      </c>
      <c r="M204" s="11" t="s">
        <v>787</v>
      </c>
    </row>
    <row r="205" spans="1:13" ht="190" x14ac:dyDescent="0.2">
      <c r="A205" s="2" t="s">
        <v>788</v>
      </c>
      <c r="B205" s="2" t="s">
        <v>789</v>
      </c>
      <c r="C205" s="2" t="str">
        <f>RIGHT(B205,SUM(LEN(B205)-LEN(SUBSTITUTE(B205,{"0","1","2","3","4","5","6","7","8","9"},""))))</f>
        <v>3818</v>
      </c>
      <c r="D205" s="2" t="str">
        <f t="shared" si="8"/>
        <v>3818</v>
      </c>
      <c r="E205" s="2" t="str">
        <f t="shared" si="9"/>
        <v>'3818.HK'</v>
      </c>
      <c r="F205" s="4" t="s">
        <v>790</v>
      </c>
      <c r="G205" s="6" t="s">
        <v>14</v>
      </c>
      <c r="H205" s="7">
        <v>5.0999999999999996</v>
      </c>
      <c r="I205" s="8">
        <v>-4442.3999999999996</v>
      </c>
      <c r="J205" s="8">
        <v>2023.2</v>
      </c>
      <c r="K205" s="8">
        <v>10.8</v>
      </c>
      <c r="L205" s="10">
        <v>0.17299999999999999</v>
      </c>
      <c r="M205" s="11" t="s">
        <v>791</v>
      </c>
    </row>
    <row r="206" spans="1:13" ht="40" x14ac:dyDescent="0.2">
      <c r="A206" s="2" t="s">
        <v>792</v>
      </c>
      <c r="B206" s="2" t="s">
        <v>793</v>
      </c>
      <c r="C206" s="2" t="str">
        <f>RIGHT(B206,SUM(LEN(B206)-LEN(SUBSTITUTE(B206,{"0","1","2","3","4","5","6","7","8","9"},""))))</f>
        <v>1431</v>
      </c>
      <c r="D206" s="2" t="str">
        <f t="shared" si="8"/>
        <v>1431</v>
      </c>
      <c r="E206" s="2" t="str">
        <f t="shared" si="9"/>
        <v>'1431.HK'</v>
      </c>
      <c r="F206" s="4" t="s">
        <v>794</v>
      </c>
      <c r="G206" s="6" t="s">
        <v>14</v>
      </c>
      <c r="H206" s="7">
        <v>1.04</v>
      </c>
      <c r="I206" s="8">
        <v>-847.9</v>
      </c>
      <c r="J206" s="8">
        <v>1027.2</v>
      </c>
      <c r="K206" s="8">
        <v>24.5</v>
      </c>
      <c r="L206" s="10">
        <v>0.17199999999999999</v>
      </c>
      <c r="M206" s="5" t="s">
        <v>795</v>
      </c>
    </row>
    <row r="207" spans="1:13" ht="100" x14ac:dyDescent="0.2">
      <c r="A207" s="2" t="s">
        <v>796</v>
      </c>
      <c r="B207" s="2" t="s">
        <v>797</v>
      </c>
      <c r="C207" s="2" t="str">
        <f>RIGHT(B207,SUM(LEN(B207)-LEN(SUBSTITUTE(B207,{"0","1","2","3","4","5","6","7","8","9"},""))))</f>
        <v>296</v>
      </c>
      <c r="D207" s="2" t="str">
        <f t="shared" si="8"/>
        <v>0296</v>
      </c>
      <c r="E207" s="2" t="str">
        <f t="shared" si="9"/>
        <v>'0296.HK'</v>
      </c>
      <c r="F207" s="4" t="s">
        <v>798</v>
      </c>
      <c r="G207" s="6" t="s">
        <v>14</v>
      </c>
      <c r="H207" s="7">
        <v>3.45</v>
      </c>
      <c r="I207" s="8">
        <v>-914.6</v>
      </c>
      <c r="J207" s="8">
        <v>631.79999999999995</v>
      </c>
      <c r="K207" s="7">
        <v>7.73</v>
      </c>
      <c r="L207" s="10">
        <v>0.16700000000000001</v>
      </c>
      <c r="M207" s="11" t="s">
        <v>799</v>
      </c>
    </row>
    <row r="208" spans="1:13" ht="190" x14ac:dyDescent="0.2">
      <c r="A208" s="2" t="s">
        <v>800</v>
      </c>
      <c r="B208" s="2" t="s">
        <v>801</v>
      </c>
      <c r="C208" s="2" t="str">
        <f>RIGHT(B208,SUM(LEN(B208)-LEN(SUBSTITUTE(B208,{"0","1","2","3","4","5","6","7","8","9"},""))))</f>
        <v>298</v>
      </c>
      <c r="D208" s="2" t="str">
        <f t="shared" si="8"/>
        <v>0298</v>
      </c>
      <c r="E208" s="2" t="str">
        <f t="shared" si="9"/>
        <v>'0298.HK'</v>
      </c>
      <c r="F208" s="4" t="s">
        <v>802</v>
      </c>
      <c r="G208" s="6" t="s">
        <v>14</v>
      </c>
      <c r="H208" s="7">
        <v>2.72</v>
      </c>
      <c r="I208" s="8">
        <v>-786.5</v>
      </c>
      <c r="J208" s="8">
        <v>727.6</v>
      </c>
      <c r="K208" s="8">
        <v>30</v>
      </c>
      <c r="L208" s="10">
        <v>0.157</v>
      </c>
      <c r="M208" s="11" t="s">
        <v>803</v>
      </c>
    </row>
    <row r="209" spans="1:13" ht="130" x14ac:dyDescent="0.2">
      <c r="A209" s="2" t="s">
        <v>804</v>
      </c>
      <c r="B209" s="2" t="s">
        <v>805</v>
      </c>
      <c r="C209" s="2" t="str">
        <f>RIGHT(B209,SUM(LEN(B209)-LEN(SUBSTITUTE(B209,{"0","1","2","3","4","5","6","7","8","9"},""))))</f>
        <v>1278</v>
      </c>
      <c r="D209" s="2" t="str">
        <f t="shared" si="8"/>
        <v>1278</v>
      </c>
      <c r="E209" s="2" t="str">
        <f t="shared" si="9"/>
        <v>'1278.HK'</v>
      </c>
      <c r="F209" s="4" t="s">
        <v>806</v>
      </c>
      <c r="G209" s="6" t="s">
        <v>14</v>
      </c>
      <c r="H209" s="7">
        <v>1.44</v>
      </c>
      <c r="I209" s="8">
        <v>-782.9</v>
      </c>
      <c r="J209" s="8">
        <v>729.5</v>
      </c>
      <c r="K209" s="8">
        <v>32.4</v>
      </c>
      <c r="L209" s="10">
        <v>0.151</v>
      </c>
      <c r="M209" s="11" t="s">
        <v>807</v>
      </c>
    </row>
    <row r="210" spans="1:13" ht="110" x14ac:dyDescent="0.2">
      <c r="A210" s="2" t="s">
        <v>808</v>
      </c>
      <c r="B210" s="2" t="s">
        <v>809</v>
      </c>
      <c r="C210" s="2" t="str">
        <f>RIGHT(B210,SUM(LEN(B210)-LEN(SUBSTITUTE(B210,{"0","1","2","3","4","5","6","7","8","9"},""))))</f>
        <v>1786</v>
      </c>
      <c r="D210" s="2" t="str">
        <f t="shared" si="8"/>
        <v>1786</v>
      </c>
      <c r="E210" s="2" t="str">
        <f t="shared" si="9"/>
        <v>'1786.HK'</v>
      </c>
      <c r="F210" s="4" t="s">
        <v>810</v>
      </c>
      <c r="G210" s="6" t="s">
        <v>14</v>
      </c>
      <c r="H210" s="7">
        <v>1.51</v>
      </c>
      <c r="I210" s="8">
        <v>-1446.6</v>
      </c>
      <c r="J210" s="8">
        <v>1003.1</v>
      </c>
      <c r="K210" s="8">
        <v>28.9</v>
      </c>
      <c r="L210" s="10">
        <v>0.14599999999999999</v>
      </c>
      <c r="M210" s="11" t="s">
        <v>811</v>
      </c>
    </row>
    <row r="211" spans="1:13" ht="250" x14ac:dyDescent="0.2">
      <c r="A211" s="2" t="s">
        <v>812</v>
      </c>
      <c r="B211" s="2" t="s">
        <v>813</v>
      </c>
      <c r="C211" s="2" t="str">
        <f>RIGHT(B211,SUM(LEN(B211)-LEN(SUBSTITUTE(B211,{"0","1","2","3","4","5","6","7","8","9"},""))))</f>
        <v>882</v>
      </c>
      <c r="D211" s="2" t="str">
        <f t="shared" si="8"/>
        <v>0882</v>
      </c>
      <c r="E211" s="2" t="str">
        <f t="shared" si="9"/>
        <v>'0882.HK'</v>
      </c>
      <c r="F211" s="4" t="s">
        <v>814</v>
      </c>
      <c r="G211" s="6" t="s">
        <v>14</v>
      </c>
      <c r="H211" s="7">
        <v>1.78</v>
      </c>
      <c r="I211" s="8">
        <v>-4928.5</v>
      </c>
      <c r="J211" s="8">
        <v>1695</v>
      </c>
      <c r="K211" s="8">
        <v>23.8</v>
      </c>
      <c r="L211" s="10">
        <v>0.13700000000000001</v>
      </c>
      <c r="M211" s="11" t="s">
        <v>815</v>
      </c>
    </row>
    <row r="212" spans="1:13" ht="80" x14ac:dyDescent="0.2">
      <c r="A212" s="2" t="s">
        <v>816</v>
      </c>
      <c r="B212" s="2" t="s">
        <v>817</v>
      </c>
      <c r="C212" s="2" t="str">
        <f>RIGHT(B212,SUM(LEN(B212)-LEN(SUBSTITUTE(B212,{"0","1","2","3","4","5","6","7","8","9"},""))))</f>
        <v>2698</v>
      </c>
      <c r="D212" s="2" t="str">
        <f t="shared" si="8"/>
        <v>2698</v>
      </c>
      <c r="E212" s="2" t="str">
        <f t="shared" si="9"/>
        <v>'2698.HK'</v>
      </c>
      <c r="F212" s="4" t="s">
        <v>818</v>
      </c>
      <c r="G212" s="6" t="s">
        <v>14</v>
      </c>
      <c r="H212" s="7">
        <v>2.27</v>
      </c>
      <c r="I212" s="8">
        <v>-10747.8</v>
      </c>
      <c r="J212" s="8">
        <v>1612.4</v>
      </c>
      <c r="K212" s="8">
        <v>24.3</v>
      </c>
      <c r="L212" s="10">
        <v>7.8E-2</v>
      </c>
      <c r="M212" s="11" t="s">
        <v>819</v>
      </c>
    </row>
    <row r="213" spans="1:13" ht="90" x14ac:dyDescent="0.2">
      <c r="A213" s="2" t="s">
        <v>820</v>
      </c>
      <c r="B213" s="2" t="s">
        <v>821</v>
      </c>
      <c r="C213" s="2" t="str">
        <f>RIGHT(B213,SUM(LEN(B213)-LEN(SUBSTITUTE(B213,{"0","1","2","3","4","5","6","7","8","9"},""))))</f>
        <v>1051</v>
      </c>
      <c r="D213" s="2" t="str">
        <f t="shared" si="8"/>
        <v>1051</v>
      </c>
      <c r="E213" s="2" t="str">
        <f t="shared" si="9"/>
        <v>'1051.HK'</v>
      </c>
      <c r="F213" s="4" t="s">
        <v>822</v>
      </c>
      <c r="G213" s="6" t="s">
        <v>14</v>
      </c>
      <c r="H213" s="8">
        <v>18</v>
      </c>
      <c r="I213" s="8">
        <v>-7253.9</v>
      </c>
      <c r="J213" s="8">
        <v>816</v>
      </c>
      <c r="K213" s="7">
        <v>3.14</v>
      </c>
      <c r="L213" s="10">
        <v>6.7000000000000004E-2</v>
      </c>
      <c r="M213" s="11" t="s">
        <v>823</v>
      </c>
    </row>
    <row r="215" spans="1:13" x14ac:dyDescent="0.2">
      <c r="E215" t="str">
        <f>ConcatDelim(E9:E213,",")</f>
        <v>'6663.HK','1689.HK','1458.HK','1425.HK','1448.HK','2150.HK','6616.HK','1945.HK','1475.HK','1586.HK','0580.HK','1935.HK','9899.HK','9699.HK',,'6820.HK','8032.HK','0265.HK','1483.HK','1995.HK','9986.HK','2101.HK','2265.HK','1971.HK','6626.HK','6100.HK','1925.HK','1543.HK','9983.HK','6858.HK','1970.HK','0799.HK','6668.HK','0189.HK','0606.HK','0709.HK','0543.HK','3658.HK','1303.HK','1651.HK','8479.HK','2180.HK','1357.HK','2119.HK','6822.HK','0398.HK','0837.HK','0777.HK','2327.HK','6677.HK','6989.HK','1234.HK','0609.HK','2175.HK','9836.HK','0029.HK','0166.HK','6988.HK','1516.HK','1277.HK','1316.HK','1060.HK','3798.HK','1412.HK','1022.HK','9982.HK','0806.HK','1361.HK','2660.HK','1230.HK','6608.HK','1328.HK',,'2218.HK','6896.HK','0697.HK','0721.HK','1301.HK','6913.HK','3319.HK','0336.HK','1836.HK','1837.HK','2801.HK','0018.HK','0687.HK','0195.HK','0255.HK','0411.HK','0639.HK',,'3686.HK','0302.HK','1057.HK','1731.HK','0206.HK','0869.HK','1896.HK','0128.HK','2232.HK','2205.HK','1502.HK','1126.HK','6909.HK','6601.HK','0677.HK','9666.HK','0335.HK','9990.HK','2686.HK','1981.HK','3913.HK','0800.HK','0093.HK','8137.HK','0468.HK','1868.HK','0423.HK','1753.HK','0032.HK','2125.HK','3339.HK','1170.HK','1221.HK','0215.HK','6919.HK','2100.HK','1127.HK','0701.HK','3700.HK','0556.HK','0393.HK','3983.HK','0105.HK','2008.HK','0026.HK','0439.HK','0071.HK','1469.HK','0278.HK','2779.HK','0517.HK','0050.HK','0934.HK','0088.HK','0158.HK','0929.HK','0730.HK','0057.HK','0266.HK','0769.HK','0829.HK','1265.HK','0420.HK','0716.HK','3838.HK','1045.HK','0472.HK','2033.HK','1104.HK','1140.HK','1122.HK','0232.HK','0622.HK','0156.HK','0662.HK','0560.HK','0743.HK','0321.HK','0450.HK','1028.HK','1761.HK','0273.HK','3389.HK','0271.HK','6117.HK','0237.HK','0064.HK','0533.HK','0235.HK','0133.HK','8005.HK','0102.HK','1980.HK','3398.HK','0635.HK','0538.HK','0289.HK','2127.HK','1203.HK','3999.HK','0366.HK','0610.HK','0194.HK','0212.HK','0887.HK','3818.HK','1431.HK','0296.HK','0298.HK','1278.HK','1786.HK','0882.HK','2698.HK','1051.HK'</v>
      </c>
    </row>
    <row r="217" spans="1:13" x14ac:dyDescent="0.2">
      <c r="E217" t="s">
        <v>843</v>
      </c>
    </row>
  </sheetData>
  <autoFilter ref="A8:M213" xr:uid="{00000000-0009-0000-0000-000000000000}">
    <filterColumn colId="5">
      <filters>
        <filter val="The Stock Exchange of Hong Kong Ltd. (SEHK)"/>
      </filters>
    </filterColumn>
  </autoFilter>
  <pageMargins left="0.2" right="0.2" top="0.5" bottom="0.5" header="0.5" footer="0.5"/>
  <pageSetup fitToWidth="0" fitToHeight="0" orientation="landscape" horizontalDpi="300" verticalDpi="300"/>
  <headerFooter alignWithMargins="0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>
    <outlinePr summaryBelow="0" summaryRight="0"/>
    <pageSetUpPr autoPageBreaks="0"/>
  </sheetPr>
  <dimension ref="A6:IU15"/>
  <sheetViews>
    <sheetView zoomScaleNormal="100" workbookViewId="0"/>
  </sheetViews>
  <sheetFormatPr defaultRowHeight="10" x14ac:dyDescent="0.2"/>
  <cols>
    <col min="1" max="1" width="26.81640625" customWidth="1"/>
    <col min="2" max="6" width="20.81640625" customWidth="1"/>
  </cols>
  <sheetData>
    <row r="6" spans="1:255" ht="16.5" customHeight="1" x14ac:dyDescent="0.35">
      <c r="A6" s="1" t="s">
        <v>824</v>
      </c>
    </row>
    <row r="8" spans="1:255" x14ac:dyDescent="0.2">
      <c r="A8" s="13" t="s">
        <v>825</v>
      </c>
      <c r="B8" s="14"/>
      <c r="C8" s="14"/>
      <c r="D8" s="14"/>
      <c r="E8" s="14"/>
      <c r="F8" s="14"/>
      <c r="G8" s="21"/>
      <c r="H8" s="21"/>
      <c r="I8" s="21"/>
      <c r="J8" s="21"/>
      <c r="K8" s="21"/>
      <c r="L8" s="21"/>
      <c r="M8" s="21"/>
      <c r="N8" s="21"/>
      <c r="O8" s="21"/>
      <c r="P8" s="21"/>
      <c r="Q8" s="21"/>
      <c r="R8" s="21"/>
      <c r="S8" s="21"/>
      <c r="T8" s="21"/>
      <c r="U8" s="21"/>
      <c r="V8" s="21"/>
      <c r="W8" s="21"/>
      <c r="X8" s="21"/>
      <c r="Y8" s="21"/>
      <c r="Z8" s="21"/>
      <c r="AA8" s="21"/>
      <c r="AB8" s="21"/>
      <c r="AC8" s="21"/>
      <c r="AD8" s="21"/>
      <c r="AE8" s="21"/>
      <c r="AF8" s="21"/>
      <c r="AG8" s="21"/>
      <c r="AH8" s="21"/>
      <c r="AI8" s="21"/>
      <c r="AJ8" s="21"/>
      <c r="AK8" s="21"/>
      <c r="AL8" s="21"/>
      <c r="AM8" s="21"/>
      <c r="AN8" s="21"/>
      <c r="AO8" s="21"/>
      <c r="AP8" s="21"/>
      <c r="AQ8" s="21"/>
      <c r="AR8" s="21"/>
      <c r="AS8" s="21"/>
      <c r="AT8" s="21"/>
      <c r="AU8" s="21"/>
      <c r="AV8" s="21"/>
      <c r="AW8" s="21"/>
      <c r="AX8" s="21"/>
      <c r="AY8" s="21"/>
      <c r="AZ8" s="21"/>
      <c r="BA8" s="21"/>
      <c r="BB8" s="21"/>
      <c r="BC8" s="21"/>
      <c r="BD8" s="21"/>
      <c r="BE8" s="21"/>
      <c r="BF8" s="21"/>
      <c r="BG8" s="21"/>
      <c r="BH8" s="21"/>
      <c r="BI8" s="21"/>
      <c r="BJ8" s="21"/>
      <c r="BK8" s="21"/>
      <c r="BL8" s="21"/>
      <c r="BM8" s="21"/>
      <c r="BN8" s="21"/>
      <c r="BO8" s="21"/>
      <c r="BP8" s="21"/>
      <c r="BQ8" s="21"/>
      <c r="BR8" s="21"/>
      <c r="BS8" s="21"/>
      <c r="BT8" s="21"/>
      <c r="BU8" s="21"/>
      <c r="BV8" s="21"/>
      <c r="BW8" s="21"/>
      <c r="BX8" s="21"/>
      <c r="BY8" s="21"/>
      <c r="BZ8" s="21"/>
      <c r="CA8" s="21"/>
      <c r="CB8" s="21"/>
      <c r="CC8" s="21"/>
      <c r="CD8" s="21"/>
      <c r="CE8" s="21"/>
      <c r="CF8" s="21"/>
      <c r="CG8" s="21"/>
      <c r="CH8" s="21"/>
      <c r="CI8" s="21"/>
      <c r="CJ8" s="21"/>
      <c r="CK8" s="21"/>
      <c r="CL8" s="21"/>
      <c r="CM8" s="21"/>
      <c r="CN8" s="21"/>
      <c r="CO8" s="21"/>
      <c r="CP8" s="21"/>
      <c r="CQ8" s="21"/>
      <c r="CR8" s="21"/>
      <c r="CS8" s="21"/>
      <c r="CT8" s="21"/>
      <c r="CU8" s="21"/>
      <c r="CV8" s="21"/>
      <c r="CW8" s="21"/>
      <c r="CX8" s="21"/>
      <c r="CY8" s="21"/>
      <c r="CZ8" s="21"/>
      <c r="DA8" s="21"/>
      <c r="DB8" s="21"/>
      <c r="DC8" s="21"/>
      <c r="DD8" s="21"/>
      <c r="DE8" s="21"/>
      <c r="DF8" s="21"/>
      <c r="DG8" s="21"/>
      <c r="DH8" s="21"/>
      <c r="DI8" s="21"/>
      <c r="DJ8" s="21"/>
      <c r="DK8" s="21"/>
      <c r="DL8" s="21"/>
      <c r="DM8" s="21"/>
      <c r="DN8" s="21"/>
      <c r="DO8" s="21"/>
      <c r="DP8" s="21"/>
      <c r="DQ8" s="21"/>
      <c r="DR8" s="21"/>
      <c r="DS8" s="21"/>
      <c r="DT8" s="21"/>
      <c r="DU8" s="21"/>
      <c r="DV8" s="21"/>
      <c r="DW8" s="21"/>
      <c r="DX8" s="21"/>
      <c r="DY8" s="21"/>
      <c r="DZ8" s="21"/>
      <c r="EA8" s="21"/>
      <c r="EB8" s="21"/>
      <c r="EC8" s="21"/>
      <c r="ED8" s="21"/>
      <c r="EE8" s="21"/>
      <c r="EF8" s="21"/>
      <c r="EG8" s="21"/>
      <c r="EH8" s="21"/>
      <c r="EI8" s="21"/>
      <c r="EJ8" s="21"/>
      <c r="EK8" s="21"/>
      <c r="EL8" s="21"/>
      <c r="EM8" s="21"/>
      <c r="EN8" s="21"/>
      <c r="EO8" s="21"/>
      <c r="EP8" s="21"/>
      <c r="EQ8" s="21"/>
      <c r="ER8" s="21"/>
      <c r="ES8" s="21"/>
      <c r="ET8" s="21"/>
      <c r="EU8" s="21"/>
      <c r="EV8" s="21"/>
      <c r="EW8" s="21"/>
      <c r="EX8" s="21"/>
      <c r="EY8" s="21"/>
      <c r="EZ8" s="21"/>
      <c r="FA8" s="21"/>
      <c r="FB8" s="21"/>
      <c r="FC8" s="21"/>
      <c r="FD8" s="21"/>
      <c r="FE8" s="21"/>
      <c r="FF8" s="21"/>
      <c r="FG8" s="21"/>
      <c r="FH8" s="21"/>
      <c r="FI8" s="21"/>
      <c r="FJ8" s="21"/>
      <c r="FK8" s="21"/>
      <c r="FL8" s="21"/>
      <c r="FM8" s="21"/>
      <c r="FN8" s="21"/>
      <c r="FO8" s="21"/>
      <c r="FP8" s="21"/>
      <c r="FQ8" s="21"/>
      <c r="FR8" s="21"/>
      <c r="FS8" s="21"/>
      <c r="FT8" s="21"/>
      <c r="FU8" s="21"/>
      <c r="FV8" s="21"/>
      <c r="FW8" s="21"/>
      <c r="FX8" s="21"/>
      <c r="FY8" s="21"/>
      <c r="FZ8" s="21"/>
      <c r="GA8" s="21"/>
      <c r="GB8" s="21"/>
      <c r="GC8" s="21"/>
      <c r="GD8" s="21"/>
      <c r="GE8" s="21"/>
      <c r="GF8" s="21"/>
      <c r="GG8" s="21"/>
      <c r="GH8" s="21"/>
      <c r="GI8" s="21"/>
      <c r="GJ8" s="21"/>
      <c r="GK8" s="21"/>
      <c r="GL8" s="21"/>
      <c r="GM8" s="21"/>
      <c r="GN8" s="21"/>
      <c r="GO8" s="21"/>
      <c r="GP8" s="21"/>
      <c r="GQ8" s="21"/>
      <c r="GR8" s="21"/>
      <c r="GS8" s="21"/>
      <c r="GT8" s="21"/>
      <c r="GU8" s="21"/>
      <c r="GV8" s="21"/>
      <c r="GW8" s="21"/>
      <c r="GX8" s="21"/>
      <c r="GY8" s="21"/>
      <c r="GZ8" s="21"/>
      <c r="HA8" s="21"/>
      <c r="HB8" s="21"/>
      <c r="HC8" s="21"/>
      <c r="HD8" s="21"/>
      <c r="HE8" s="21"/>
      <c r="HF8" s="21"/>
      <c r="HG8" s="21"/>
      <c r="HH8" s="21"/>
      <c r="HI8" s="21"/>
      <c r="HJ8" s="21"/>
      <c r="HK8" s="21"/>
      <c r="HL8" s="21"/>
      <c r="HM8" s="21"/>
      <c r="HN8" s="21"/>
      <c r="HO8" s="21"/>
      <c r="HP8" s="21"/>
      <c r="HQ8" s="21"/>
      <c r="HR8" s="21"/>
      <c r="HS8" s="21"/>
      <c r="HT8" s="21"/>
      <c r="HU8" s="21"/>
      <c r="HV8" s="21"/>
      <c r="HW8" s="21"/>
      <c r="HX8" s="21"/>
      <c r="HY8" s="21"/>
      <c r="HZ8" s="21"/>
      <c r="IA8" s="21"/>
      <c r="IB8" s="21"/>
      <c r="IC8" s="21"/>
      <c r="ID8" s="21"/>
      <c r="IE8" s="21"/>
      <c r="IF8" s="21"/>
      <c r="IG8" s="21"/>
      <c r="IH8" s="21"/>
      <c r="II8" s="21"/>
      <c r="IJ8" s="21"/>
      <c r="IK8" s="21"/>
      <c r="IL8" s="21"/>
      <c r="IM8" s="21"/>
      <c r="IN8" s="21"/>
      <c r="IO8" s="21"/>
      <c r="IP8" s="21"/>
      <c r="IQ8" s="21"/>
      <c r="IR8" s="21"/>
      <c r="IS8" s="21"/>
      <c r="IT8" s="21"/>
      <c r="IU8" s="21"/>
    </row>
    <row r="9" spans="1:255" ht="40.5" x14ac:dyDescent="0.55000000000000004">
      <c r="A9" s="15" t="s">
        <v>826</v>
      </c>
      <c r="B9" s="15" t="s">
        <v>5</v>
      </c>
      <c r="C9" s="15" t="s">
        <v>6</v>
      </c>
      <c r="D9" s="15" t="s">
        <v>7</v>
      </c>
      <c r="E9" s="15" t="s">
        <v>8</v>
      </c>
      <c r="F9" s="15" t="s">
        <v>9</v>
      </c>
    </row>
    <row r="10" spans="1:255" ht="10.5" x14ac:dyDescent="0.25">
      <c r="A10" s="16" t="s">
        <v>827</v>
      </c>
      <c r="B10" s="17">
        <v>977</v>
      </c>
      <c r="C10" s="17">
        <v>-354507</v>
      </c>
      <c r="D10" s="17">
        <v>604033.19999999995</v>
      </c>
      <c r="E10" s="17">
        <v>4624.2</v>
      </c>
      <c r="F10" s="17">
        <v>152.4</v>
      </c>
    </row>
    <row r="11" spans="1:255" ht="10.5" x14ac:dyDescent="0.25">
      <c r="A11" s="16" t="s">
        <v>828</v>
      </c>
      <c r="B11" s="17">
        <v>4.7699999999999996</v>
      </c>
      <c r="C11" s="17">
        <v>-1729.3</v>
      </c>
      <c r="D11" s="17">
        <v>2946.5</v>
      </c>
      <c r="E11" s="17">
        <v>22.6</v>
      </c>
      <c r="F11" s="17">
        <v>0.74399999999999999</v>
      </c>
    </row>
    <row r="12" spans="1:255" ht="10.5" x14ac:dyDescent="0.25">
      <c r="A12" s="16" t="s">
        <v>829</v>
      </c>
      <c r="B12" s="17">
        <v>1.01</v>
      </c>
      <c r="C12" s="17">
        <v>-12788.9</v>
      </c>
      <c r="D12" s="17">
        <v>500</v>
      </c>
      <c r="E12" s="17">
        <v>0.35</v>
      </c>
      <c r="F12" s="17">
        <v>6.7000000000000004E-2</v>
      </c>
    </row>
    <row r="13" spans="1:255" ht="10.5" x14ac:dyDescent="0.25">
      <c r="A13" s="16" t="s">
        <v>830</v>
      </c>
      <c r="B13" s="17">
        <v>103.6</v>
      </c>
      <c r="C13" s="17">
        <v>-5.21</v>
      </c>
      <c r="D13" s="17">
        <v>19178.8</v>
      </c>
      <c r="E13" s="17">
        <v>39.799999999999997</v>
      </c>
      <c r="F13" s="17">
        <v>1.99</v>
      </c>
    </row>
    <row r="14" spans="1:255" ht="10.5" x14ac:dyDescent="0.25">
      <c r="A14" s="16" t="s">
        <v>831</v>
      </c>
      <c r="B14" s="17">
        <v>8.89</v>
      </c>
      <c r="C14" s="17">
        <v>2078.1</v>
      </c>
      <c r="D14" s="17">
        <v>3347.2</v>
      </c>
      <c r="E14" s="17">
        <v>10.7</v>
      </c>
      <c r="F14" s="17">
        <v>0.45100000000000001</v>
      </c>
    </row>
    <row r="15" spans="1:255" ht="10.5" x14ac:dyDescent="0.25">
      <c r="A15" s="16" t="s">
        <v>832</v>
      </c>
      <c r="B15" s="17">
        <v>4.4800000000000004</v>
      </c>
      <c r="C15" s="17">
        <v>-3171.3</v>
      </c>
      <c r="D15" s="18" t="s">
        <v>833</v>
      </c>
      <c r="E15" s="17">
        <v>23.3</v>
      </c>
      <c r="F15" s="17">
        <v>0.91600000000000004</v>
      </c>
    </row>
  </sheetData>
  <pageMargins left="0.2" right="0.2" top="0.5" bottom="0.5" header="0.5" footer="0.5"/>
  <pageSetup fitToWidth="0" fitToHeight="0" orientation="landscape" horizontalDpi="300" verticalDpi="300"/>
  <headerFooter alignWithMargins="0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>
    <outlinePr summaryBelow="0" summaryRight="0"/>
    <pageSetUpPr autoPageBreaks="0"/>
  </sheetPr>
  <dimension ref="A6:A16"/>
  <sheetViews>
    <sheetView zoomScaleNormal="100" workbookViewId="0"/>
  </sheetViews>
  <sheetFormatPr defaultRowHeight="10" x14ac:dyDescent="0.2"/>
  <cols>
    <col min="1" max="1" width="35.81640625" customWidth="1"/>
    <col min="2" max="2" width="9.26953125" customWidth="1"/>
  </cols>
  <sheetData>
    <row r="6" spans="1:1" ht="16.5" customHeight="1" x14ac:dyDescent="0.35">
      <c r="A6" s="1" t="s">
        <v>0</v>
      </c>
    </row>
    <row r="8" spans="1:1" ht="13.5" x14ac:dyDescent="0.55000000000000004">
      <c r="A8" s="19" t="s">
        <v>834</v>
      </c>
    </row>
    <row r="9" spans="1:1" ht="10.5" x14ac:dyDescent="0.2">
      <c r="A9" s="20" t="s">
        <v>835</v>
      </c>
    </row>
    <row r="10" spans="1:1" ht="10.5" x14ac:dyDescent="0.2">
      <c r="A10" s="20" t="s">
        <v>836</v>
      </c>
    </row>
    <row r="11" spans="1:1" ht="10.5" x14ac:dyDescent="0.2">
      <c r="A11" s="20" t="s">
        <v>837</v>
      </c>
    </row>
    <row r="12" spans="1:1" ht="10.5" x14ac:dyDescent="0.2">
      <c r="A12" s="20" t="s">
        <v>838</v>
      </c>
    </row>
    <row r="13" spans="1:1" ht="10.5" x14ac:dyDescent="0.2">
      <c r="A13" s="20" t="s">
        <v>839</v>
      </c>
    </row>
    <row r="14" spans="1:1" ht="10.5" x14ac:dyDescent="0.2">
      <c r="A14" s="20" t="s">
        <v>840</v>
      </c>
    </row>
    <row r="15" spans="1:1" ht="10.5" x14ac:dyDescent="0.2">
      <c r="A15" s="20" t="s">
        <v>841</v>
      </c>
    </row>
    <row r="16" spans="1:1" ht="10.5" x14ac:dyDescent="0.2">
      <c r="A16" s="20" t="s">
        <v>842</v>
      </c>
    </row>
  </sheetData>
  <pageMargins left="0.2" right="0.2" top="0.5" bottom="0.5" header="0.5" footer="0.5"/>
  <pageSetup fitToWidth="0" fitToHeight="0" orientation="landscape" horizontalDpi="300" verticalDpi="300"/>
  <headerFooter alignWithMargins="0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</vt:i4>
      </vt:variant>
      <vt:variant>
        <vt:lpstr>Named Ranges</vt:lpstr>
      </vt:variant>
      <vt:variant>
        <vt:i4>3</vt:i4>
      </vt:variant>
    </vt:vector>
  </HeadingPairs>
  <TitlesOfParts>
    <vt:vector size="6" baseType="lpstr">
      <vt:lpstr>Screening</vt:lpstr>
      <vt:lpstr>Aggregates</vt:lpstr>
      <vt:lpstr>Screen Criteria</vt:lpstr>
      <vt:lpstr>Aggregates!Print_Titles</vt:lpstr>
      <vt:lpstr>'Screen Criteria'!Print_Titles</vt:lpstr>
      <vt:lpstr>Screening!Print_Titles</vt:lpstr>
    </vt:vector>
  </TitlesOfParts>
  <Manager/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2004-07-20T21:40:42Z</dcterms:created>
  <dcterms:modified xsi:type="dcterms:W3CDTF">2023-01-04T04:28:20Z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reated By">
    <vt:lpwstr>SoftArtisans OfficeWriter for Excel 8.6.2.281 (http://officewriter.softartisans.com)</vt:lpwstr>
  </property>
</Properties>
</file>