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/>
  <xr:revisionPtr revIDLastSave="0" documentId="13_ncr:1_{B01B4045-E408-4522-8D24-8B7B6B375AD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筛选器_香港_20230103" sheetId="4" r:id="rId1"/>
    <sheet name="Screening" sheetId="1" r:id="rId2"/>
    <sheet name="Aggregates" sheetId="2" r:id="rId3"/>
    <sheet name="Screen Criteria" sheetId="3" r:id="rId4"/>
  </sheets>
  <functionGroups builtInGroupCount="19"/>
  <definedNames>
    <definedName name="_xlnm._FilterDatabase" localSheetId="1" hidden="1">Screening!$A$8:$M$213</definedName>
    <definedName name="_xlnm.Print_Titles" localSheetId="2">Aggregates!$1:$3</definedName>
    <definedName name="_xlnm.Print_Titles" localSheetId="3">'Screen Criteria'!$1:$3</definedName>
    <definedName name="_xlnm.Print_Titles" localSheetId="1">Screening!$1:$3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2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C12" i="1"/>
  <c r="D12" i="1" s="1"/>
  <c r="C13" i="1"/>
  <c r="C14" i="1"/>
  <c r="C15" i="1"/>
  <c r="C16" i="1"/>
  <c r="C17" i="1"/>
  <c r="C18" i="1"/>
  <c r="C19" i="1"/>
  <c r="D19" i="1" s="1"/>
  <c r="C20" i="1"/>
  <c r="D20" i="1" s="1"/>
  <c r="C21" i="1"/>
  <c r="C22" i="1"/>
  <c r="C23" i="1"/>
  <c r="C24" i="1"/>
  <c r="C25" i="1"/>
  <c r="C26" i="1"/>
  <c r="C27" i="1"/>
  <c r="C28" i="1"/>
  <c r="D28" i="1" s="1"/>
  <c r="C29" i="1"/>
  <c r="D29" i="1" s="1"/>
  <c r="C30" i="1"/>
  <c r="C31" i="1"/>
  <c r="C32" i="1"/>
  <c r="C33" i="1"/>
  <c r="C34" i="1"/>
  <c r="C35" i="1"/>
  <c r="C36" i="1"/>
  <c r="D36" i="1" s="1"/>
  <c r="C37" i="1"/>
  <c r="D37" i="1" s="1"/>
  <c r="C38" i="1"/>
  <c r="C39" i="1"/>
  <c r="C40" i="1"/>
  <c r="C41" i="1"/>
  <c r="C42" i="1"/>
  <c r="C43" i="1"/>
  <c r="C44" i="1"/>
  <c r="D44" i="1" s="1"/>
  <c r="C45" i="1"/>
  <c r="D45" i="1" s="1"/>
  <c r="C46" i="1"/>
  <c r="C47" i="1"/>
  <c r="C48" i="1"/>
  <c r="C49" i="1"/>
  <c r="C50" i="1"/>
  <c r="C51" i="1"/>
  <c r="C52" i="1"/>
  <c r="D52" i="1" s="1"/>
  <c r="C53" i="1"/>
  <c r="D53" i="1" s="1"/>
  <c r="C54" i="1"/>
  <c r="C55" i="1"/>
  <c r="C56" i="1"/>
  <c r="C57" i="1"/>
  <c r="C58" i="1"/>
  <c r="C59" i="1"/>
  <c r="C60" i="1"/>
  <c r="D60" i="1" s="1"/>
  <c r="C61" i="1"/>
  <c r="D61" i="1" s="1"/>
  <c r="C62" i="1"/>
  <c r="C63" i="1"/>
  <c r="C64" i="1"/>
  <c r="C65" i="1"/>
  <c r="C66" i="1"/>
  <c r="C67" i="1"/>
  <c r="C68" i="1"/>
  <c r="D68" i="1" s="1"/>
  <c r="C69" i="1"/>
  <c r="D69" i="1" s="1"/>
  <c r="C70" i="1"/>
  <c r="C71" i="1"/>
  <c r="C72" i="1"/>
  <c r="C73" i="1"/>
  <c r="C74" i="1"/>
  <c r="C75" i="1"/>
  <c r="C76" i="1"/>
  <c r="D76" i="1" s="1"/>
  <c r="C77" i="1"/>
  <c r="C78" i="1"/>
  <c r="C79" i="1"/>
  <c r="C80" i="1"/>
  <c r="D80" i="1" s="1"/>
  <c r="C81" i="1"/>
  <c r="C82" i="1"/>
  <c r="C83" i="1"/>
  <c r="C84" i="1"/>
  <c r="C85" i="1"/>
  <c r="D85" i="1" s="1"/>
  <c r="C86" i="1"/>
  <c r="C87" i="1"/>
  <c r="C88" i="1"/>
  <c r="C89" i="1"/>
  <c r="D89" i="1" s="1"/>
  <c r="C90" i="1"/>
  <c r="C91" i="1"/>
  <c r="C92" i="1"/>
  <c r="C93" i="1"/>
  <c r="D93" i="1" s="1"/>
  <c r="C94" i="1"/>
  <c r="C95" i="1"/>
  <c r="C96" i="1"/>
  <c r="C97" i="1"/>
  <c r="D97" i="1" s="1"/>
  <c r="C98" i="1"/>
  <c r="C99" i="1"/>
  <c r="C100" i="1"/>
  <c r="C101" i="1"/>
  <c r="C102" i="1"/>
  <c r="D102" i="1" s="1"/>
  <c r="C103" i="1"/>
  <c r="C104" i="1"/>
  <c r="C105" i="1"/>
  <c r="C106" i="1"/>
  <c r="D106" i="1" s="1"/>
  <c r="C107" i="1"/>
  <c r="C108" i="1"/>
  <c r="C109" i="1"/>
  <c r="C110" i="1"/>
  <c r="D110" i="1" s="1"/>
  <c r="C111" i="1"/>
  <c r="C112" i="1"/>
  <c r="C113" i="1"/>
  <c r="C114" i="1"/>
  <c r="D114" i="1" s="1"/>
  <c r="C115" i="1"/>
  <c r="C116" i="1"/>
  <c r="C117" i="1"/>
  <c r="C118" i="1"/>
  <c r="D118" i="1" s="1"/>
  <c r="C119" i="1"/>
  <c r="C120" i="1"/>
  <c r="C121" i="1"/>
  <c r="C122" i="1"/>
  <c r="D122" i="1" s="1"/>
  <c r="C123" i="1"/>
  <c r="C124" i="1"/>
  <c r="C125" i="1"/>
  <c r="C126" i="1"/>
  <c r="D126" i="1" s="1"/>
  <c r="C127" i="1"/>
  <c r="C128" i="1"/>
  <c r="C129" i="1"/>
  <c r="C130" i="1"/>
  <c r="D130" i="1" s="1"/>
  <c r="C131" i="1"/>
  <c r="C132" i="1"/>
  <c r="C133" i="1"/>
  <c r="C134" i="1"/>
  <c r="D134" i="1" s="1"/>
  <c r="C135" i="1"/>
  <c r="C136" i="1"/>
  <c r="C137" i="1"/>
  <c r="C138" i="1"/>
  <c r="D138" i="1" s="1"/>
  <c r="C139" i="1"/>
  <c r="C140" i="1"/>
  <c r="C141" i="1"/>
  <c r="C142" i="1"/>
  <c r="D142" i="1" s="1"/>
  <c r="C143" i="1"/>
  <c r="C144" i="1"/>
  <c r="C145" i="1"/>
  <c r="C146" i="1"/>
  <c r="D146" i="1" s="1"/>
  <c r="C147" i="1"/>
  <c r="C148" i="1"/>
  <c r="C149" i="1"/>
  <c r="C150" i="1"/>
  <c r="D150" i="1" s="1"/>
  <c r="C151" i="1"/>
  <c r="C152" i="1"/>
  <c r="C153" i="1"/>
  <c r="C154" i="1"/>
  <c r="D154" i="1" s="1"/>
  <c r="C155" i="1"/>
  <c r="C156" i="1"/>
  <c r="C157" i="1"/>
  <c r="C158" i="1"/>
  <c r="D158" i="1" s="1"/>
  <c r="C159" i="1"/>
  <c r="C160" i="1"/>
  <c r="C161" i="1"/>
  <c r="C162" i="1"/>
  <c r="D162" i="1" s="1"/>
  <c r="C163" i="1"/>
  <c r="C164" i="1"/>
  <c r="C165" i="1"/>
  <c r="C166" i="1"/>
  <c r="D166" i="1" s="1"/>
  <c r="C167" i="1"/>
  <c r="C168" i="1"/>
  <c r="C169" i="1"/>
  <c r="C170" i="1"/>
  <c r="D170" i="1" s="1"/>
  <c r="C171" i="1"/>
  <c r="C172" i="1"/>
  <c r="C173" i="1"/>
  <c r="C174" i="1"/>
  <c r="D174" i="1" s="1"/>
  <c r="C175" i="1"/>
  <c r="C176" i="1"/>
  <c r="C177" i="1"/>
  <c r="C178" i="1"/>
  <c r="D178" i="1" s="1"/>
  <c r="C179" i="1"/>
  <c r="C180" i="1"/>
  <c r="C181" i="1"/>
  <c r="C182" i="1"/>
  <c r="D182" i="1" s="1"/>
  <c r="C183" i="1"/>
  <c r="C184" i="1"/>
  <c r="C185" i="1"/>
  <c r="C186" i="1"/>
  <c r="D186" i="1" s="1"/>
  <c r="C187" i="1"/>
  <c r="C188" i="1"/>
  <c r="C189" i="1"/>
  <c r="C190" i="1"/>
  <c r="D190" i="1" s="1"/>
  <c r="C191" i="1"/>
  <c r="C192" i="1"/>
  <c r="C193" i="1"/>
  <c r="C194" i="1"/>
  <c r="D194" i="1" s="1"/>
  <c r="C195" i="1"/>
  <c r="C196" i="1"/>
  <c r="C197" i="1"/>
  <c r="C198" i="1"/>
  <c r="D198" i="1" s="1"/>
  <c r="C199" i="1"/>
  <c r="C200" i="1"/>
  <c r="C201" i="1"/>
  <c r="C202" i="1"/>
  <c r="D202" i="1" s="1"/>
  <c r="C203" i="1"/>
  <c r="C204" i="1"/>
  <c r="C205" i="1"/>
  <c r="C206" i="1"/>
  <c r="D206" i="1" s="1"/>
  <c r="C207" i="1"/>
  <c r="C208" i="1"/>
  <c r="C209" i="1"/>
  <c r="C210" i="1"/>
  <c r="D210" i="1" s="1"/>
  <c r="C211" i="1"/>
  <c r="C212" i="1"/>
  <c r="C213" i="1"/>
  <c r="C10" i="1"/>
  <c r="C11" i="1"/>
  <c r="D11" i="1" s="1"/>
  <c r="C9" i="1"/>
  <c r="C1150" i="4"/>
  <c r="E215" i="1"/>
  <c r="D75" i="1" l="1"/>
  <c r="D10" i="1"/>
  <c r="D14" i="1"/>
  <c r="D18" i="1"/>
  <c r="D22" i="1"/>
  <c r="D27" i="1"/>
  <c r="D31" i="1"/>
  <c r="D35" i="1"/>
  <c r="D39" i="1"/>
  <c r="D43" i="1"/>
  <c r="D47" i="1"/>
  <c r="D51" i="1"/>
  <c r="D55" i="1"/>
  <c r="D59" i="1"/>
  <c r="D63" i="1"/>
  <c r="D67" i="1"/>
  <c r="D71" i="1"/>
  <c r="D77" i="1"/>
  <c r="D86" i="1"/>
  <c r="D94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15" i="1"/>
  <c r="D24" i="1"/>
  <c r="D32" i="1"/>
  <c r="D40" i="1"/>
  <c r="D48" i="1"/>
  <c r="D56" i="1"/>
  <c r="D64" i="1"/>
  <c r="D72" i="1"/>
  <c r="D78" i="1"/>
  <c r="D87" i="1"/>
  <c r="D95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79" i="1"/>
  <c r="D96" i="1"/>
  <c r="D92" i="1"/>
  <c r="D88" i="1"/>
  <c r="D84" i="1"/>
  <c r="D16" i="1"/>
  <c r="D25" i="1"/>
  <c r="D33" i="1"/>
  <c r="D41" i="1"/>
  <c r="D49" i="1"/>
  <c r="D57" i="1"/>
  <c r="D65" i="1"/>
  <c r="D73" i="1"/>
  <c r="D82" i="1"/>
  <c r="D90" i="1"/>
  <c r="D98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9" i="1"/>
  <c r="D13" i="1"/>
  <c r="D17" i="1"/>
  <c r="D21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83" i="1"/>
  <c r="D91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</calcChain>
</file>

<file path=xl/sharedStrings.xml><?xml version="1.0" encoding="utf-8"?>
<sst xmlns="http://schemas.openxmlformats.org/spreadsheetml/2006/main" count="5630" uniqueCount="3237">
  <si>
    <t>Capital IQ Company Screening Report</t>
  </si>
  <si>
    <t>Company Name</t>
  </si>
  <si>
    <t>Exchange:Ticker</t>
  </si>
  <si>
    <t>Exchanges [Primary Listing]</t>
  </si>
  <si>
    <t>Exchanges [Secondary Listings]</t>
  </si>
  <si>
    <t>Quick Ratio [Latest Annual]</t>
  </si>
  <si>
    <t>Net Debt [Latest Annual] (HKDmm, Historical rate)</t>
  </si>
  <si>
    <t>Market Capitalization [Latest] (HKDmm, Historical rate)</t>
  </si>
  <si>
    <t>Total Liabilities/Total Assets % [Latest Annual]</t>
  </si>
  <si>
    <t>P/BV [Latest] (x)</t>
  </si>
  <si>
    <t>Industry Classifications</t>
  </si>
  <si>
    <t>IWS Group Holdings Limited (SEHK:6663)</t>
  </si>
  <si>
    <t>SEHK:6663</t>
  </si>
  <si>
    <t>The Stock Exchange of Hong Kong Ltd. (SEHK)</t>
  </si>
  <si>
    <t>-</t>
  </si>
  <si>
    <t>Commercial and Professional Services (Primary); Commercial Guard Services  (Primary); Commercial Security and Safety Services  (Primary); Commercial Services and Supplies (Primary); Industrials (Primary); Security and Alarm Services (Primary); Consumer Discretionary; Consumer Services; Diversified Consumer Services; Diversified Support Services; Facilities Support Management Services; General Management Services; Motor Vehicle Parking; Motor Vehicle Repair and Services; Motor Vehicle Services; Office Services and Supplies; Real Estate; Real Estate; Real Estate Management and Development; Real Estate Management Services; Real Estate Operating Companies; Residential and Personal Guard Services; Residential Building Care and Improvement Services ; Residential Security and Personal Safety Services; Specialized Consumer Services</t>
  </si>
  <si>
    <t>Huaxi Holdings Company Limited (SEHK:1689)</t>
  </si>
  <si>
    <t>SEHK:1689</t>
  </si>
  <si>
    <t>The Stock Exchange of Hong Kong Ltd. (SEHK)</t>
  </si>
  <si>
    <t>Containers and Packaging (Primary); Materials (Primary); Materials (Primary); Paper Packaging (Primary); Biotechnology; Biotechnology; Capital Goods; Commercial and Professional Services; Commercial Services and Supplies; Construction and Engineering; Construction and Engineering; Construction Support Services; Environmental and Facilities Services; Health Care; Health Care Distributors; Health Care Equipment and Services; Health Care Providers and Services; Healthcare Equipment Distribution; Industrials; Pharmaceuticals, Biotechnology and Life Sciences</t>
  </si>
  <si>
    <t>Zhou Hei Ya International Holdings Company Limited (SEHK:1458)</t>
  </si>
  <si>
    <t>SEHK:1458</t>
  </si>
  <si>
    <t>The Stock Exchange of Hong Kong Ltd. (SEHK)</t>
  </si>
  <si>
    <t>Consumer Staples (Primary); Food Products (Primary); Food, Beverage and Tobacco (Primary); Meats, Meat Processing And Meat Related Products (Primary); Packaged Foods and Meats (Primary); Poultry And Poultry Products (Primary); Commercial and Professional Services; Consumer Discretionary; Food and Staples Retailing; Food and Staples Retailing; Food Retail; Industrials; Internet and Direct Marketing Retail; Internet and Direct Marketing Retail; Online Food and Drug Retail; Online Food Retail; Professional Services; Real Estate; Real Estate; Real Estate Management and Development; Real Estate Management Services; Real Estate Operating Companies; Real Estate Operators And Lessors; Research and Consulting Services; Research, Development, and Testing Services; Retailing</t>
  </si>
  <si>
    <t>Justin Allen Holdings Limited (SEHK:1425)</t>
  </si>
  <si>
    <t>SEHK:1425</t>
  </si>
  <si>
    <t>The Stock Exchange of Hong Kong Ltd. (SEHK)</t>
  </si>
  <si>
    <t>Apparel (Primary); Apparel, Accessories and Luxury Goods (Primary); Consumer Discretionary (Primary); Consumer Durables and Apparel (Primary); Men's Apparel (Primary); Textiles, Apparel and Luxury Goods (Primary); Women's, Misses', and Juniors' Apparel (Primary); Fabrics; Textile Mill Products; Textiles</t>
  </si>
  <si>
    <t>Fu Shou Yuan International Group Limited (SEHK:1448)</t>
  </si>
  <si>
    <t>SEHK:1448</t>
  </si>
  <si>
    <t>The Stock Exchange of Hong Kong Ltd. (SEHK)</t>
  </si>
  <si>
    <t>Cemeteries (Primary); Cemeteries and Funeral Home Services (Primary); Consumer Discretionary (Primary); Consumer Services (Primary); Diversified Consumer Services (Primary); Funeral Homes and Crematories (Primary); Funeral Homes and Funeral Services (Primary); Specialized Consumer Services (Primary); Agricultural Services; Capital Goods; Cemetery Sub Dividers And Developers; Commercial and Professional Services; Commercial Services and Supplies; Environmental and Facilities Services; Industrial Machinery; Industrials; Land Sub Dividers And Developers; Landscape and Horticultural Services; Machinery; Real Estate; Real Estate; Real Estate Development; Real Estate Management and Development</t>
  </si>
  <si>
    <t>Nayuki Holdings Limited (SEHK:2150)</t>
  </si>
  <si>
    <t>SEHK:2150</t>
  </si>
  <si>
    <t>The Stock Exchange of Hong Kong Ltd. (SEHK)</t>
  </si>
  <si>
    <t>Beverage and Tobacco Bars (Primary); Consumer Discretionary (Primary); Consumer Services (Primary); Hotels, Restaurants and Leisure (Primary); Restaurants (Primary); Tea and Coffee Shops (Primary)</t>
  </si>
  <si>
    <t>Global New Material International Holdings Limited (SEHK:6616)</t>
  </si>
  <si>
    <t>SEHK:6616</t>
  </si>
  <si>
    <t>The Stock Exchange of Hong Kong Ltd. (SEHK)</t>
  </si>
  <si>
    <t>Chemicals (Primary); Materials (Primary); Materials (Primary); Organic Dyes And Pigments (Primary); Specialty Chemicals (Primary)</t>
  </si>
  <si>
    <t>Zero2IPO Holdings Inc. (SEHK:1945)</t>
  </si>
  <si>
    <t>SEHK:1945</t>
  </si>
  <si>
    <t>The Stock Exchange of Hong Kong Ltd. (SEHK)</t>
  </si>
  <si>
    <t>Capital Markets (Primary); Diversified Financials (Primary); Financial Exchanges and Data (Primary); Financials (Primary); Advertising; Asset Management and Custody Banks; Commercial and Professional Services; Communication Services; Consulting Services; Consumer Discretionary; Consumer Services; Diversified Consumer Services; Education Services; Industrials; Interactive Media and Services; Interactive Media and Services; Investment Advice; Investment Banking; Investment Banking and Brokerage; Marketing Services; Media; Media and Entertainment; Merger and Acquisition Advisory Services; Online Education Courses; Online Security Brokers and Dealers; Online Services; Online Trading Systems; Private Placement Advisory Services; Professional Services; Research and Consulting Services; Securities and Commodities Markets Services; Security Brokers and Dealers; Security Underwriting Services</t>
  </si>
  <si>
    <t>Nissin Foods Company Limited (SEHK:1475)</t>
  </si>
  <si>
    <t>SEHK:1475</t>
  </si>
  <si>
    <t>The Stock Exchange of Hong Kong Ltd. (SEHK)</t>
  </si>
  <si>
    <t>Consumer Staples (Primary); Food Products (Primary); Food, Beverage and Tobacco (Primary); Frozen Foods (Primary); Packaged Food Mixes (Primary); Packaged Foods and Meats (Primary); Prepared and Preserved Foods (Primary); Snack Food (Primary); Advertising; Beverage Distribution; Beverages; Commercial and Professional Services; Commercial Services and Supplies; Communication Services; Containers and Packaging; Diversified Support Services; Food and Staples Retailing; Food and Staples Retailing; Food Distributors; Industrials; Juices; Materials; Materials; Media; Media and Entertainment; Metal and Glass Containers; Non-Alcoholic Beverage Distribution; Plastic Packaging; Soft Drinks</t>
  </si>
  <si>
    <t>China Leon Inspection Holding Limited (SEHK:1586)</t>
  </si>
  <si>
    <t>SEHK:1586</t>
  </si>
  <si>
    <t>The Stock Exchange of Hong Kong Ltd. (SEHK)</t>
  </si>
  <si>
    <t>Energy (Primary); Energy (Primary); Energy Equipment and Services (Primary); Oil and Gas Equipment and Services (Primary); Application Software; Capital Goods; Chemical Distribution; Commercial and Professional Services; Electric Power By Solar Energy; Electric Power By Wind Energy; Electronic Equipment, Instruments and Components; Independent Power and Renewable Electricity Producers; Industrials; Information Technology; Materials; Materials; Metals and Mining; Nonmetallic Mineral Mining; Nonmetallic Mining Geophysical Surveying; Precious Metals and Minerals; Professional Services; Renewable Electricity; Research and Consulting Services; Research, Development, and Testing Services; Software; Software and Services; Technology Distributors; Technology Hardware and Equipment; Technology Hardware, Storage and Peripherals; Technology Hardware, Storage and Peripherals; Testing Laboratories; Trading Companies and Distributors; Trading Companies and Distributors; Utilities; Utilities</t>
  </si>
  <si>
    <t>Sun.King Technology Group Limited (SEHK:580)</t>
  </si>
  <si>
    <t>SEHK:580</t>
  </si>
  <si>
    <t>The Stock Exchange of Hong Kong Ltd. (SEHK)</t>
  </si>
  <si>
    <t>Capital Goods (Primary); Electrical Components and Equipment (Primary); Electrical Equipment (Primary); Industrials (Primary); Electronic Components; Electronic Components; Electronic Equipment and Instruments; Electronic Equipment, Instruments and Components; Heavy Electrical Equipment; Information Technology; Power Generation Equipment; Semiconductors; Semiconductors and Semiconductor Equipment; Semiconductors and Semiconductor Equipment; Technology Distributors; Technology Hardware and Equipment; Technology Hardware and Equipment Distribution; Trading Companies and Distributors; Trading Companies and Distributors; Transmission and Distribution Equipment</t>
  </si>
  <si>
    <t>JH Educational Technology INC. (SEHK:1935)</t>
  </si>
  <si>
    <t>SEHK:1935</t>
  </si>
  <si>
    <t>The Stock Exchange of Hong Kong Ltd. (SEHK)</t>
  </si>
  <si>
    <t>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Commercial and Professional Services; Consulting Services; Industrials; Management Consulting Services; Professional Services; Research and Consulting Services</t>
  </si>
  <si>
    <t>Cloud Music Inc. (SEHK:9899)</t>
  </si>
  <si>
    <t>SEHK:9899</t>
  </si>
  <si>
    <t>The Stock Exchange of Hong Kong Ltd. (SEHK)</t>
  </si>
  <si>
    <t>Communication Services (Primary); Entertainment (Primary); Entertainment Services (Primary); Entertainment Venues (Primary); Media and Entertainment (Primary); Motion Picture Post-Production Services (Primary); Movies and Entertainment (Primary); Multimedia Streaming Services (Primary); Music Publishing (Primary); Music Services (Primary); Online Entertainment (Primary); Advertising; Application Hosting Services; Application Service Providers (ASPs); Application Software; Information Technology; Media; Software; Software and Services</t>
  </si>
  <si>
    <t>Hangzhou SF Intra-city Industrial Co., Ltd. (SEHK:9699)</t>
  </si>
  <si>
    <t>SEHK:9699</t>
  </si>
  <si>
    <t>The Stock Exchange of Hong Kong Ltd. (SEHK)</t>
  </si>
  <si>
    <t>Air Freight and Logistics (Primary); Air Freight and Logistics (Primary); Ground Courier Services (Primary); Industrials (Primary); Local Ground Courier Services (Primary); Transportation (Primary); Communication Services; Development Consulting; Information Technology; Information Technology (IT) Consulting; Interactive Media and Services; Interactive Media and Services; IT Consulting and Other Services; IT Services; Media and Entertainment; Online Services; Services Outsourcing; Software and Services</t>
  </si>
  <si>
    <t>MINISO Group Holding Limited (NYSE:MNSO)</t>
  </si>
  <si>
    <t>NYSE:MNSO</t>
  </si>
  <si>
    <t>SEHK:9896
Company: MINISO Group Holding Limited
(IQT1783831757) - The Stock Exchange of Hong Kong Ltd. (SEHK)</t>
  </si>
  <si>
    <t>Consumer Discretionary (Primary); General Merchandise Stores (Primary); Multiline Retail (Primary); Retailing (Primary); Variety Stores (Primary); Accessory Stores; Apparel Retail; Appliance Stores; Beauty Care Product Stores; Computer and Electronics Retail; Cosmetics Stores; Gift and Novelty Stores; Greeting Card and Stationery Stores; Hobbies, Games and Toy Stores; Homefurnishing Retail; Internet and Direct Marketing Retail; Internet and Direct Marketing Retail; Leisure Equipment Stores; Online Accessory Retail; Online Apparel and Accessory Retail; Online Apparel Retail; Online Appliance Retail; Online Beauty Care Product Retail; Online Cosmetics Retail; Online Flowers, Gifts and Novelties; Online Food and Drug Retail; Online Food Retail; Online Hobbies, Games and Toy Retail; Online Home Furnishing Retail; Online Leisure Equipment Retail; Online Paper Product Retail; Online Personal Care Product Retail; Online Specialty Retail; Online Stationery Retail; Paper Product Stores; Personal Care Product Stores; Specialty Retail; Specialty Stores</t>
  </si>
  <si>
    <t>FriendTimes Inc. (SEHK:6820)</t>
  </si>
  <si>
    <t>SEHK:6820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</si>
  <si>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</si>
  <si>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Commercial and Professional Services; Consulting Services; Entertainment Production Companies; Industrials; Management Consulting Services; Motion Picture and Video Production Companies; Movies and Entertainment; Professional Services; Research and Consulting Services; Television Production Companies</t>
  </si>
  <si>
    <t>Viva China Holdings Limited (SEHK:8032)</t>
  </si>
  <si>
    <t>SEHK:8032</t>
  </si>
  <si>
    <t>The Stock Exchange of Hong Kong Ltd. (SEHK)</t>
  </si>
  <si>
    <t>Apparel, Accessories and Luxury Goods (Primary); Consumer Discretionary (Primary); Consumer Durables and Apparel (Primary); Textiles, Apparel and Luxury Goods (Primary); Advertising; Amusement And Recreation Services; Amusement Operations, Parks and Services; Communication Services; Consumer Services; Entertainment; Entertainment Services; Footwear; Health Care; Health Care Equipment and Services; Health Care Providers and Services; Health Care Services; Hotels, Restaurants and Leisure; Leisure Facilities; Marketing Services; Media; Media and Entertainment; Movies and Entertainment; Real Estate; Real Estate; Real Estate Development; Real Estate Management and Development; Real Estate Operating Companies; Real Estate Operators And Lessors; Real Estate Services; Rehabilitation Services; Sports and Related Services; Sports Services</t>
  </si>
  <si>
    <t>Orient Victory Smart urban Services Holding Limited (SEHK:265)</t>
  </si>
  <si>
    <t>SEHK:265</t>
  </si>
  <si>
    <t>The Stock Exchange of Hong Kong Ltd. (SEHK)</t>
  </si>
  <si>
    <t>Consumer Discretionary (Primary); Consumer Services (Primary); Hotels, Resorts and Cruise Lines (Primary); Hotels, Restaurants and Leisure (Primary); Lodging (Primary); Travel Agencies (Primary); Travel and Tourism Services (Primary); Capital Goods; Construction and Engineering; Construction and Engineering; Construction Support Services; Engineering and Surveying Services; Engineering Services; Industrials; Nonresidential Building Operators and Lessors; Nonresidential Property Managers; Real Estate; Real Estate; Real Estate Development; Real Estate Management and Development; Real Estate Management Services; Real Estate Operating Companies; Real Estate Operators And Lessors; Residential Building Operators and Lessors; Residential Property Managers</t>
  </si>
  <si>
    <t>Net-a-Go Technology Company Limited (SEHK:1483)</t>
  </si>
  <si>
    <t>SEHK:1483</t>
  </si>
  <si>
    <t>The Stock Exchange of Hong Kong Ltd. (SEHK)</t>
  </si>
  <si>
    <t>Commercial and Professional Services (Primary); Commercial Services and Supplies (Primary); Environmental and Facilities Services (Primary); Industrials (Primary); Sanitary Services (Primary); Capital Markets; Consumer Discretionary; Consumer Services; Diversified Financials; Financials; Hotels, Restaurants and Leisure; Investment Banking and Brokerage; Real Estate; Real Estate; Real Estate Management and Development; Real Estate Operating Companies; Real Estate Operators And Lessors; Restaurants; Securities and Commodities Markets Services; Security Brokers and Dealers</t>
  </si>
  <si>
    <t>CIFI Ever Sunshine Services Group Limited (SEHK:1995)</t>
  </si>
  <si>
    <t>SEHK:1995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</si>
  <si>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</si>
  <si>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Application Software; Asset Management and Custody Banks; Capital Goods; Capital Markets; Commercial and Professional Services; Commercial Services and Supplies; Construction and Engineering; Construction and Engineering; Diversified Financials; Diversified Support Services; Financials; Industrials; Information Technology; IT Consulting and Other Services; IT Services; Real Estate Agents And Brokers; Real Estate Services; Software; Software and Services</t>
  </si>
  <si>
    <t>Dashan Education Holdings Limited (SEHK:9986)</t>
  </si>
  <si>
    <t>SEHK:9986</t>
  </si>
  <si>
    <t>The Stock Exchange of Hong Kong Ltd. (SEHK)</t>
  </si>
  <si>
    <t>Consumer Discretionary (Primary); Consumer Services (Primary); Diversified Consumer Services (Primary); Education Services (Primary); Specialty Educational Services (Primary); Commercial and Professional Services; Consulting Services; Distributors; Distributors; Diversified Financial Services; Diversified Financials; Financials; Industrials; Investment Services and Holding Companies; Media Distribution; Multi-Sector Holdings; Patent Owners and Lessors; Printed Media Distribution; Professional Services; Research and Consulting Services; Retailing</t>
  </si>
  <si>
    <t>Fulu Holdings Limited (SEHK:2101)</t>
  </si>
  <si>
    <t>SEHK:2101</t>
  </si>
  <si>
    <t>The Stock Exchange of Hong Kong Ltd. (SEHK)</t>
  </si>
  <si>
    <t>Consumer Discretionary (Primary); Internet and Direct Marketing Retail (Primary); Internet and Direct Marketing Retail (Primary); Online Specialty Retail (Primary); Retailing (Primary)</t>
  </si>
  <si>
    <t>Hongcheng Environmental Technology Company Limited (SEHK:2265)</t>
  </si>
  <si>
    <t>SEHK:2265</t>
  </si>
  <si>
    <t>The Stock Exchange of Hong Kong Ltd. (SEHK)</t>
  </si>
  <si>
    <t>Commercial and Professional Services (Primary); Commercial Services and Supplies (Primary); Environmental and Facilities Services (Primary); Hazardous Waste Collection, Treatment and Disposal Services (Primary); Industrials (Primary); Recycling Facilities (Primary); Sanitary Services (Primary)</t>
  </si>
  <si>
    <t>Redsun Services Group Limited (SEHK:1971)</t>
  </si>
  <si>
    <t>SEHK:1971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</si>
  <si>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</si>
  <si>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Commercial and Professional Services; Commercial Design Services; Commercial Services and Supplies; Construction and Engineering; Construction and Engineering; Consumer Discretionary; Consumer Services; Development Consulting; Diversified Consumer Services; Diversified Support Services; Financials; Industrials; Information Technology; Information Technology (IT) Consulting; Insurance; Insurance; Insurance Brokers; IT Consulting and Other Services; IT Services; Real Estate Agents And Brokers; Real Estate Services; Residential Design Services ; Services Outsourcing; Software and Services; Specialized Consumer Services; Specialty Contract Work</t>
  </si>
  <si>
    <t>Yuexiu Services Group Limited (SEHK:6626)</t>
  </si>
  <si>
    <t>SEHK:6626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</si>
  <si>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</si>
  <si>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Building Care and Improvement Services; Commercial and Professional Services; Commercial Security and Safety Services ; Commercial Security Systems Services ; Commercial Services and Supplies; Consulting Services; Consumer Discretionary; Consumer Services; Diversified Consumer Services; Diversified Support Services; Industrials; Land Sub Dividers And Developers; Land Sub Dividers and Developers, except Cemetery; Motor Vehicle Parking; Motor Vehicle Repair and Services; Motor Vehicle Services; Professional Services; Real Estate Agents And Brokers; Real Estate Development; Real Estate Services; Research and Consulting Services; Security and Alarm Services; Specialized Consumer Services</t>
  </si>
  <si>
    <t>Tongdao Liepin Group (SEHK:6100)</t>
  </si>
  <si>
    <t>SEHK:6100</t>
  </si>
  <si>
    <t>The Stock Exchange of Hong Kong Ltd. (SEHK)</t>
  </si>
  <si>
    <t>Communication Services (Primary); Interactive Media and Services (Primary); Interactive Media and Services (Primary); Media and Entertainment (Primary); Online Services (Primary); Commercial and Professional Services; Consulting Services; Consumer Discretionary; Consumer Services; Diversified Consumer Services; Education Services; Human Resource and Employment Services; Industrials; Online Education Courses; Online Recruiting and Job Listing Services; Professional Services; Research and Consulting Services</t>
  </si>
  <si>
    <t>Kwung's Holdings Limited (SEHK:1925)</t>
  </si>
  <si>
    <t>SEHK:1925</t>
  </si>
  <si>
    <t>The Stock Exchange of Hong Kong Ltd. (SEHK)</t>
  </si>
  <si>
    <t>Candles and Candleholders (Primary); Consumer Discretionary (Primary); Consumer Durables and Apparel (Primary); Home Decor Accessories (Primary); Home Furnishings (Primary); Household Durables (Primary); Air Fresheners; Cleaning Products; Consumer Staples; Distributors; Distributors; Durable Goods Distribution; Household and Personal Products; Household Durables Distribution; Household Products; Household Products; Internet and Direct Marketing Retail; Internet and Direct Marketing Retail; Online Home Furnishing Retail; Online Specialty Retail; Retailing</t>
  </si>
  <si>
    <t>Guangdong Join-Share Financing Guarantee Investment Co., Ltd. (SEHK:1543)</t>
  </si>
  <si>
    <t>SEHK:1543</t>
  </si>
  <si>
    <t>The Stock Exchange of Hong Kong Ltd. (SEHK)</t>
  </si>
  <si>
    <t>Consumer Finance (Primary); Consumer Finance (Primary); Diversified Financials (Primary); Financials (Primary); Personal Credit Agencies (Primary); Asset Management and Custody Banks; Business Credit Agencies; Capital Markets; Commercial and Professional Services; Consulting Services; Credit Agencies; Diversified Financial Services; Industrials; Professional Services; Research and Consulting Services; Specialized Finance</t>
  </si>
  <si>
    <t>Central China New Life Limited (SEHK:9983)</t>
  </si>
  <si>
    <t>SEHK:9983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</si>
  <si>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</si>
  <si>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Construction and Engineering; Construction and Engineering; Construction Support Services; Consumer Discretionary; Consumer Services; Diversified Consumer Services; Hotels; Hotels And Motels; Hotels, Resorts and Cruise Lines; Hotels, Restaurants and Leisure; Industrials; Internet and Direct Marketing Retail; Internet and Direct Marketing Retail; Lodging; Retailing; Specialized Consumer Services; Travel and Tourism Services</t>
  </si>
  <si>
    <t>Honma Golf Limited (SEHK:6858)</t>
  </si>
  <si>
    <t>SEHK:6858</t>
  </si>
  <si>
    <t>The Stock Exchange of Hong Kong Ltd. (SEHK)</t>
  </si>
  <si>
    <t>Consumer Discretionary (Primary); Consumer Durables and Apparel (Primary); Golf Equipment (Primary); Leisure Products (Primary); Leisure Products (Primary); Sporting and Recreational Goods (Primary); Sporting Goods (Primary); Accessories; Apparel; Apparel, Accessories and Luxury Goods; Athletic Footwear; Athletic Uniforms; Footwear; Gloves; Luggage and Handbags; Specialty Apparel; Textiles, Apparel and Luxury Goods</t>
  </si>
  <si>
    <t>IMAX China Holding, Inc. (SEHK:1970)</t>
  </si>
  <si>
    <t>SEHK:1970</t>
  </si>
  <si>
    <t>The Stock Exchange of Hong Kong Ltd. (SEHK)</t>
  </si>
  <si>
    <t>Communication Services (Primary); Entertainment (Primary); Entertainment Equipment  (Primary); Entertainment Services (Primary); Media and Entertainment (Primary); Movies and Entertainment (Primary); Ticket Agencies (Primary); Advertising; Capital Goods; Commercial and Professional Services; Commercial Services and Supplies; Conference Services; Diversified Support Services; Industrials; Information Technology; Information Technology (IT) Consulting; IT Consulting and Other Services; IT Services; Media; Professional Services; Research and Consulting Services; Software and Services; Trading Companies and Distributors; Trading Companies and Distributors</t>
  </si>
  <si>
    <t>IGG Inc (SEHK:799)</t>
  </si>
  <si>
    <t>SEHK:799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</si>
  <si>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</si>
  <si>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Casinos and Gaming; Commercial and Professional Services; Commercial Services and Supplies; Consumer Discretionary; Consumer Services; Diversified Financial Services; Diversified Financials; Financials; Gaming Operations; Hotels, Restaurants and Leisure; Industrials; Investment Services and Holding Companies; Multi-Sector Holdings; Office Services and Supplies; Online Customer Support; Online Gaming Operations; Outsourced Business Services; Outsourced Client Support and Customer Services; Patent Owners and Lessors</t>
  </si>
  <si>
    <t>E-Star Commercial Management Company Limited (SEHK:6668)</t>
  </si>
  <si>
    <t>SEHK:6668</t>
  </si>
  <si>
    <t>The Stock Exchange of Hong Kong Ltd. (SEHK)</t>
  </si>
  <si>
    <t>Nonresidential Building Operators and Lessors (Primary); Nonresidential Property Managers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Shopping Mall Operators and Lessors (Primary)</t>
  </si>
  <si>
    <t>Dongyue Group Limited (SEHK:189)</t>
  </si>
  <si>
    <t>SEHK:189</t>
  </si>
  <si>
    <t>The Stock Exchange of Hong Kong Ltd. (SEHK)</t>
  </si>
  <si>
    <t>Chemicals (Primary); Materials (Primary); Materials (Primary); Specialty Chemicals (Primary); Acids and Caustics; Alkalis And Chlorine; Capital Goods; Chemical Distribution; Commercial and Professional Services; Commercial Services and Supplies; Commodity Chemicals; Environmental and Facilities Services; Industrial Gases; Industrial Inorganic Chemicals; Industrial Organic Chemicals; Industrials; Petrochemicals; Plastic and Synthetic Resins; Plastic Products; Polymers; Real Estate; Real Estate; Real Estate Development; Real Estate Management and Development; Salts; Sewage Treatment Systems; Silicones; Synthetic Rubber; Trading Companies and Distributors; Trading Companies and Distributors; Utilities; Utilities; Water Utilities; Water Utilities</t>
  </si>
  <si>
    <t>SCE Intelligent Commercial Management Holdings Limited (SEHK:606)</t>
  </si>
  <si>
    <t>SEHK:606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</si>
  <si>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</si>
  <si>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</t>
  </si>
  <si>
    <t>Giordano International Limited (SEHK:709)</t>
  </si>
  <si>
    <t>SEHK:709</t>
  </si>
  <si>
    <t>The Stock Exchange of Hong Kong Ltd. (SEHK)</t>
  </si>
  <si>
    <t>Accessory Stores (Primary); Apparel Retail (Primary); Boys' Apparel Stores (Primary); Consumer Discretionary (Primary); Girls' Apparel Stores (Primary); Men's Apparel Stores (Primary); Retailing (Primary); Specialty Retail (Primary); Women's, Misses', and Juniors' Apparel Stores (Primary); Apparel and Textile Distribution; Distributors; Distributors; Diversified Financial Services; Diversified Financials; Durable Goods Distribution; Financials; Investment Services and Holding Companies; Multi-Sector Holdings; Patent Owners and Lessors</t>
  </si>
  <si>
    <t>Pacific Online Limited (SEHK:543)</t>
  </si>
  <si>
    <t>SEHK:543</t>
  </si>
  <si>
    <t>The Stock Exchange of Hong Kong Ltd. (SEHK)</t>
  </si>
  <si>
    <t>Communication Services (Primary); Interactive Media and Services (Primary); Interactive Media and Services (Primary); Media and Entertainment (Primary); Online Services (Primary); Advertising; Broadcast Advertising; Commercial Electronics Distribution; Consumer Discretionary; Consumer Electronics Distribution; Development Consulting; Distributors; Distributors; Durable Goods Distribution; Electronic Equipment, Instruments and Components; Health Care; Health Care Distributors; Health Care Equipment and Services; Health Care Providers and Services; Information Technology; Information Technology (IT) Consulting; Internet Advertising; IT Consulting and Other Services; IT Services; Media; Retailing; Services Outsourcing; Software and Services; Technology Distributors; Technology Hardware and Equipment</t>
  </si>
  <si>
    <t>New Hope Service Holdings Limited (SEHK:3658)</t>
  </si>
  <si>
    <t>SEHK:3658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</si>
  <si>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</si>
  <si>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Building Care and Improvement Services; Capital Goods; Commercial and Professional Services; Commercial Services and Supplies; Construction and Engineering; Construction and Engineering; Construction Management Services; Construction Support Services; Consumer Discretionary; Consumer Services; Diversified Consumer Services; Diversified Support Services; Industrials; Internet and Direct Marketing Retail; Internet and Direct Marketing Retail; Motor Vehicle Parking; Motor Vehicle Repair and Services; Motor Vehicle Services; Real Estate Agents And Brokers; Real Estate Services; Retailing; Specialized Consumer Services</t>
  </si>
  <si>
    <t>Huili Resources (Group) Limited (SEHK:1303)</t>
  </si>
  <si>
    <t>SEHK:1303</t>
  </si>
  <si>
    <t>The Stock Exchange of Hong Kong Ltd. (SEHK)</t>
  </si>
  <si>
    <t>Diversified Metal Ores (Primary); Diversified Metals and Mining (Primary); Lead Ores (Primary); Materials (Primary); Materials (Primary); Metals and Mining (Primary); Nickel Ores (Primary); Zinc Ores (Primary); Asset Management and Custody Banks; Capital Goods; Capital Markets; Commercial and Professional Services; Construction and Engineering; Construction and Engineering; Construction Support Services; Consulting Services; Copper; Copper Ores; Diversified Financial Services; Diversified Financials; Engineering and Surveying Services; Engineering Services; Financials; Gold; Gold Ores; Industrials; Management Consulting Services; Professional Services; Research and Consulting Services; Specialized Finance; Trading Companies and Distributors; Trading Companies and Distributors</t>
  </si>
  <si>
    <t>Precision Tsugami (China) Corporation Limited (SEHK:1651)</t>
  </si>
  <si>
    <t>SEHK:1651</t>
  </si>
  <si>
    <t>The Stock Exchange of Hong Kong Ltd. (SEHK)</t>
  </si>
  <si>
    <t>Capital Goods (Primary); Industrial Machinery (Primary); Industrials (Primary); Machinery (Primary); Machinery Components (Primary); Metalworking Machinery and Equipment (Primary)</t>
  </si>
  <si>
    <t>JTF International Holdings Limited (SEHK:8479)</t>
  </si>
  <si>
    <t>SEHK:8479</t>
  </si>
  <si>
    <t>The Stock Exchange of Hong Kong Ltd. (SEHK)</t>
  </si>
  <si>
    <t>Crude Petroleum and Natural Gas (Primary); Energy (Primary); Energy (Primary); Gasoline (Primary); Oil and Gas Refining and Marketing (Primary); Oil and Gas Refining and Marketing (Primary); Oil, Gas and Consumable Fuels (Primary); Petroleum and Petroleum Products (Primary); Petroleum Refining (Primary)</t>
  </si>
  <si>
    <t>ManpowerGroup Greater China Limited (SEHK:2180)</t>
  </si>
  <si>
    <t>SEHK:2180</t>
  </si>
  <si>
    <t>The Stock Exchange of Hong Kong Ltd. (SEHK)</t>
  </si>
  <si>
    <t>Commercial and Professional Services (Primary); Human Resource and Employment Services (Primary); Human Resources and Personnel Management (Primary); Industrials (Primary); Payroll Services (Primary); Professional and Management Development Training (Primary); Professional Services (Primary)</t>
  </si>
  <si>
    <t>Meitu, Inc. (SEHK:1357)</t>
  </si>
  <si>
    <t>SEHK:1357</t>
  </si>
  <si>
    <t>The Stock Exchange of Hong Kong Ltd. (SEHK)</t>
  </si>
  <si>
    <t>Communication Services (Primary); Interactive Media and Services (Primary); Interactive Media and Services (Primary); Media and Entertainment (Primary); Advertising; Application Software; Broadcast Advertising; Commercial and Professional Services; Communications Equipment; Communications Equipment; Human Resource and Employment Services; Industrials; Information Technology; Information Technology (IT) Consulting; Internet Advertising; IT Consulting and Other Services; IT Services; Media; Multimedia Software; Online Recruiting and Job Listing Services; Professional Services; Software; Software and Services; Technology Hardware and Equipment; Telephone and Telecommunications Equipment; Telephone Equipment</t>
  </si>
  <si>
    <t>Tsit Wing International Holdings Limited (SEHK:2119)</t>
  </si>
  <si>
    <t>SEHK:2119</t>
  </si>
  <si>
    <t>The Stock Exchange of Hong Kong Ltd. (SEHK)</t>
  </si>
  <si>
    <t>Coffee (Primary); Coffee And Tea (Primary); Consumer Staples (Primary); Food Products (Primary); Food, Beverage and Tobacco (Primary); Packaged Foods and Meats (Primary); Tea (Primary); Beverage and Tobacco Bars; Beverage Distribution; Capital Goods; Consumer Discretionary; Consumer Services; Diversified Consumer Services; Education Services; Food and Beverage Machinery Distribution; Food and Staples Retailing; Food and Staples Retailing; Food Distribution; Food Distributors; Food Retail; Hotels, Restaurants and Leisure; Industrials; Machinery Distribution; Machinery Rental and Leasing; Restaurants; Specialty Educational Services; Tea and Coffee Shops; Trading Companies and Distributors; Trading Companies and Distributors</t>
  </si>
  <si>
    <t>King's Flair International (Holdings) Limited (SEHK:6822)</t>
  </si>
  <si>
    <t>SEHK:6822</t>
  </si>
  <si>
    <t>The Stock Exchange of Hong Kong Ltd. (SEHK)</t>
  </si>
  <si>
    <t>Consumer Discretionary (Primary); Consumer Durables and Apparel (Primary); Household Durables (Primary); Housewares and Specialties (Primary); Kitchen Housewares (Primary); Distributors; Distributors; Durable Goods Distribution; Electronic Components; Electronic Components; Electronic Equipment, Instruments and Components; Household Durables Distribution; Housewares Stores; Information Technology; Nanotechnology; Retailing; Specialty Retail; Specialty Stores; Technology Hardware and Equipment</t>
  </si>
  <si>
    <t>Oriental Watch Holdings Limited (SEHK:398)</t>
  </si>
  <si>
    <t>SEHK:398</t>
  </si>
  <si>
    <t>The Stock Exchange of Hong Kong Ltd. (SEHK)</t>
  </si>
  <si>
    <t>Consumer Discretionary (Primary); Retailing (Primary); Specialty Retail (Primary); Specialty Stores (Primary); Apparel Retail; Distributors; Distributors; Durable Goods Distribution; Internet and Direct Marketing Retail; Internet and Direct Marketing Retail; Jewelry, Timepieces and Gemstone Product Distribution; Online Specialty Retail; Real Estate; Real Estate; Real Estate Management and Development; Real Estate Operating Companies; Real Estate Operators And Lessors; Watch and Timepiece Stores</t>
  </si>
  <si>
    <t>Carpenter Tan Holdings Limited (SEHK:837)</t>
  </si>
  <si>
    <t>SEHK:837</t>
  </si>
  <si>
    <t>The Stock Exchange of Hong Kong Ltd. (SEHK)</t>
  </si>
  <si>
    <t>Accessories (Primary); Apparel, Accessories and Luxury Goods (Primary); Consumer Discretionary (Primary); Consumer Durables and Apparel (Primary); Textiles, Apparel and Luxury Goods (Primary); Beauty Care Products; Consumer Staples; Diversified Financial Services; Diversified Financials; Financials; Hair Brushes, Combs and Hair Clips; Home Furnishings; Household and Personal Products; Household Durables; Internet and Direct Marketing Retail; Internet and Direct Marketing Retail; Investment Services and Holding Companies; Multi-Sector Holdings; Online Beauty Care Product Retail; Online Personal Care Product Retail; Online Specialty Retail; Patent Owners and Lessors; Personal Products; Personal Products; Real Estate; Real Estate; Real Estate Management and Development; Real Estate Operating Companies; Real Estate Operators And Lessors; Retailing; Specialty Retail; Specialty Stores; Wood Household Furniture</t>
  </si>
  <si>
    <t>NetDragon Websoft Holdings Limited (SEHK:777)</t>
  </si>
  <si>
    <t>SEHK:777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</si>
  <si>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</si>
  <si>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Advertising; Application Software; Casinos and Gaming; Consumer Discretionary; Consumer Services; Diversified Consumer Services; Diversified Financial Services; Diversified Financials; Education Services; Electronic Equipment, Instruments and Components; Financials; Gaming Operations; Hotels, Restaurants and Leisure; Information Technology; Investment Services and Holding Companies; Marketing Services; Media; Multi-Sector Holdings; Online Education Courses; Online Gaming Operations; Patent Owners and Lessors; Real Estate; Real Estate; Real Estate Development; Real Estate Management and Development; Software; Software and Services; Software Distribution; Technology Distributors; Technology Hardware and Equipment; Technology Hardware and Equipment Distribution</t>
  </si>
  <si>
    <t>Meilleure Health International Industry Group Limited (SEHK:2327)</t>
  </si>
  <si>
    <t>SEHK:2327</t>
  </si>
  <si>
    <t>The Stock Exchange of Hong Kong Ltd. (SEHK)</t>
  </si>
  <si>
    <t>Capital Goods (Primary); Construction Material Distribution (Primary); Industrials (Primary); Trading Companies and Distributors (Primary); Trading Companies and Distributors (Primary); Health Care; Health Care Distributors; Health Care Equipment and Services; Health Care Providers and Services; Health Care Services; Medicinal Chemicals and Botanical Products; Pharmaceutical Product Distribution; Pharmaceuticals; Pharmaceuticals; Pharmaceuticals, Biotechnology and Life Sciences; Real Estate; Real Estate; Real Estate Agents And Brokers; Real Estate Development; Real Estate Management and Development; Real Estate Operating Companies; Real Estate Operators And Lessors; Real Estate Services</t>
  </si>
  <si>
    <t>Sino-Ocean Service Holding Limited (SEHK:6677)</t>
  </si>
  <si>
    <t>SEHK:6677</t>
  </si>
  <si>
    <t>The Stock Exchange of Hong Kong Ltd. (SEHK)</t>
  </si>
  <si>
    <t>Commercial and Professional Services (Primary); Commercial Services and Supplies (Primary); Environmental and Facilities Services (Primary); Industrials (Primary); Nonresidential Property Managers; Real Estate; Real Estate; Real Estate Agents And Brokers; Real Estate Management and Development; Real Estate Management Services; Real Estate Operating Companies; Real Estate Services; Residential Property Managers</t>
  </si>
  <si>
    <t>Excellence Commercial Property &amp; Facilities Management Group Limited (SEHK:6989)</t>
  </si>
  <si>
    <t>SEHK:6989</t>
  </si>
  <si>
    <t>The Stock Exchange of Hong Kong Ltd. (SEHK)</t>
  </si>
  <si>
    <t>Apartment Building Operators and Lessors (Primary); Nonresidential Property Managers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Residential Property Managers (Primary); Commercial and Professional Services; Commercial Services and Supplies; Consumer Finance; Consumer Finance; Development Consulting; Diversified Financial Services; Diversified Financials; Diversified Support Services; Financials; Industrials; Information Technology; Information Technology (IT) Consulting; IT Consulting and Other Services; IT Services; Services Outsourcing; Software and Services; Specialized Finance</t>
  </si>
  <si>
    <t>China Lilang Limited (SEHK:1234)</t>
  </si>
  <si>
    <t>SEHK:1234</t>
  </si>
  <si>
    <t>The Stock Exchange of Hong Kong Ltd. (SEHK)</t>
  </si>
  <si>
    <t>Accessories (Primary); Apparel (Primary); Apparel, Accessories and Luxury Goods (Primary); Consumer Discretionary (Primary); Consumer Durables and Apparel (Primary); Men's Apparel (Primary); Textiles, Apparel and Luxury Goods (Primary); Commercial and Professional Services; Commercial Services and Supplies; General Management Services; Industrials; Office Services and Supplies</t>
  </si>
  <si>
    <t>Tiande Chemical Holdings Limited (SEHK:609)</t>
  </si>
  <si>
    <t>SEHK:609</t>
  </si>
  <si>
    <t>The Stock Exchange of Hong Kong Ltd. (SEHK)</t>
  </si>
  <si>
    <t>Chemicals (Primary); Materials (Primary); Materials (Primary); Specialty Chemicals (Primary); Acids and Caustics; Commodity Chemicals; Health Care; Health Care Equipment; Health Care Equipment and Services; Health Care Equipment and Supplies; Industrial Inorganic Chemicals; Industrial Organic Chemicals; Medical Equipment</t>
  </si>
  <si>
    <t>China General Education Group Limited (SEHK:2175)</t>
  </si>
  <si>
    <t>SEHK:2175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</si>
  <si>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</si>
  <si>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</t>
  </si>
  <si>
    <t>iShares Asia Trust - iShares Core S&amp;P BSE SENSEX India Index ETF (SEHK:9836)</t>
  </si>
  <si>
    <t>SEHK:9836</t>
  </si>
  <si>
    <t>The Stock Exchange of Hong Kong Ltd. (SEHK)</t>
  </si>
  <si>
    <t>SEHK:82836
Company: iShares Asia Trust - iShares Core S&amp;P BSE SENSEX India Index ETF
(IQT404717293) - The Stock Exchange of Hong Kong Ltd. (SEHK)
SEHK:2836
Company: iShares Asia Trust - iShares Core S&amp;P BSE SENSEX India Index ETF
(IQT99453780) - The Stock Exchange of Hong Kong Ltd. (SEHK)</t>
  </si>
  <si>
    <t>Asset Management and Custody Banks (Primary); Capital Markets (Primary); Diversified Financials (Primary); Financials (Primary); Investment Funds (Primary)</t>
  </si>
  <si>
    <t>Dynamic Holdings Limited (SEHK:29)</t>
  </si>
  <si>
    <t>SEHK:29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</si>
  <si>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</si>
  <si>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(Primary); Commercial and Professional Services; Commercial Services and Supplies; Consulting Services; Diversified Financial Services; Diversified Financials; Diversified Real Estate Activities; Financials; General Management Services; Industrials; Management Consulting Services; Office Services and Supplies; Professional Services; Real Estate Development; Research and Consulting Services; Specialized Finance</t>
  </si>
  <si>
    <t>New Times Energy Corporation Limited (SEHK:166)</t>
  </si>
  <si>
    <t>SEHK:166</t>
  </si>
  <si>
    <t>The Stock Exchange of Hong Kong Ltd. (SEHK)</t>
  </si>
  <si>
    <t>Capital Goods (Primary); Industrials (Primary); Trading Companies and Distributors (Primary); Trading Companies and Distributors (Primary); Energy; Energy; Oil and Gas Exploration and Production; Oil and Gas Production; Oil, Gas and Consumable Fuels</t>
  </si>
  <si>
    <t>Joy Spreader Group Inc. (SEHK:6988)</t>
  </si>
  <si>
    <t>SEHK:6988</t>
  </si>
  <si>
    <t>The Stock Exchange of Hong Kong Ltd. (SEHK)</t>
  </si>
  <si>
    <t>Advertising (Primary); Broadcast Advertising (Primary); Communication Services (Primary); Internet Advertising (Primary); Media (Primary); Media and Entertainment (Primary); Interactive Media and Services; Interactive Media and Services; Online Services</t>
  </si>
  <si>
    <t>Sunac Services Holdings Limited (SEHK:1516)</t>
  </si>
  <si>
    <t>SEHK:1516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</si>
  <si>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</si>
  <si>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Real Estate Agents And Brokers; Real Estate Services</t>
  </si>
  <si>
    <t>Kinetic Development Group Limited (SEHK:1277)</t>
  </si>
  <si>
    <t>SEHK:1277</t>
  </si>
  <si>
    <t>The Stock Exchange of Hong Kong Ltd. (SEHK)</t>
  </si>
  <si>
    <t>Coal and Consumable Fuels (Primary); Coal Products (Primary); Energy (Primary); Energy (Primary); Oil, Gas and Consumable Fuels (Primary); Agricultural Products; Agricultural Services; Animal Services; Beverages; Capital Goods; Commercial and Professional Services; Commercial Services and Supplies; Consumer Staples; Distillers and Vintners; Environmental and Facilities Services; Food Products; Food, Beverage and Tobacco; Fruits; Fruits, Vegetables, and Nuts; Grapes; Industrials; Livestock Services; Trading Companies and Distributors; Trading Companies and Distributors; Wine</t>
  </si>
  <si>
    <t>Nexteer Automotive Group Limited (SEHK:1316)</t>
  </si>
  <si>
    <t>SEHK:1316</t>
  </si>
  <si>
    <t>The Stock Exchange of Hong Kong Ltd. (SEHK)</t>
  </si>
  <si>
    <t>Auto Components (Primary); Auto Parts and Equipment (Primary); Automobiles and Components (Primary); Consumer Discretionary (Primary); Motor Vehicle Safety and Security Systems (Primary); Steering and Suspension System Components (Primary); Consumer Services; Diversified Consumer Services; Motor Vehicle Repair and Services; Specialized Consumer Services</t>
  </si>
  <si>
    <t>Alibaba Pictures Group Limited (SEHK:1060)</t>
  </si>
  <si>
    <t>SEHK:1060</t>
  </si>
  <si>
    <t>The Stock Exchange of Hong Kong Ltd. (SEHK)</t>
  </si>
  <si>
    <t>Communication Services (Primary); Entertainment (Primary); Entertainment Production Companies (Primary); Entertainment Services (Primary); Entertainment Venues (Primary); Media and Entertainment (Primary); Motion Picture and Video Production Companies (Primary); Motion Picture Distribution And Allied Services (Primary); Motion Picture Theaters (Primary); Movies and Entertainment (Primary); Talent Management and Talent Service Agencies (Primary); Television Production Companies (Primary); Ticket Agencies (Primary); Advertising; Asset Management and Custody Banks; Capital Markets; Conference Services; Consumer Discretionary; Consumer Durables and Apparel; Development Tools; Diversified Financial Services; Diversified Financials; Financials; Games and Toys; Hobbies, Toys and Games; Information Technology; Information Technology (IT) Consulting; Investment Services and Holding Companies; IT Consulting and Other Services; IT Services; Leisure Products; Leisure Products; Marketing Services; Media; Multi-Sector Holdings; Patent Owners and Lessors; Services Outsourcing; Software; Software and Services; Software Development; Sporting and Recreational Goods; Systems Software</t>
  </si>
  <si>
    <t>Homeland Interactive Technology Ltd. (SEHK:3798)</t>
  </si>
  <si>
    <t>SEHK:3798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</si>
  <si>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</si>
  <si>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</t>
  </si>
  <si>
    <t>Q P Group Holdings Limited (SEHK:1412)</t>
  </si>
  <si>
    <t>SEHK:1412</t>
  </si>
  <si>
    <t>The Stock Exchange of Hong Kong Ltd. (SEHK)</t>
  </si>
  <si>
    <t>Consumer Discretionary (Primary); Consumer Durables and Apparel (Primary); Household Durables (Primary); Housewares and Specialties (Primary); Commercial and Professional Services; Commercial Printing; Commercial Services and Supplies; Greeting Cards; Industrials; Information Technology; Internet and Direct Marketing Retail; Internet and Direct Marketing Retail; IT Consulting and Other Services; IT Services; Leisure Products; Leisure Products; Materials; Materials; Novelty Paper; Online Paper Product Retail; Online Specialty Retail; Paper and Forest Products; Paper Manufacturing; Paper Products; Printing Services; Professional Services; Real Estate; Real Estate; Real Estate Management and Development; Real Estate Operating Companies; Real Estate Operators And Lessors; Research and Consulting Services; Research, Development, and Testing Services; Retailing; Software and Services; Testing Laboratories</t>
  </si>
  <si>
    <t>Feiyu Technology International Company Ltd. (SEHK:1022)</t>
  </si>
  <si>
    <t>SEHK:1022</t>
  </si>
  <si>
    <t>The Stock Exchange of Hong Kong Ltd. (SEHK)</t>
  </si>
  <si>
    <t>Central China Management Company Limited (SEHK:9982)</t>
  </si>
  <si>
    <t>SEHK:9982</t>
  </si>
  <si>
    <t>The Stock Exchange of Hong Kong Ltd. (SEHK)</t>
  </si>
  <si>
    <t>Real Estate (Primary); Real Estate (Primary); Real Estate Development (Primary); Real Estate Management and Development (Primary); Real Estate Management Services; Real Estate Operating Companies</t>
  </si>
  <si>
    <t>Value Partners Group Limited (SEHK:806)</t>
  </si>
  <si>
    <t>SEHK:806</t>
  </si>
  <si>
    <t>The Stock Exchange of Hong Kong Ltd. (SEHK)</t>
  </si>
  <si>
    <t>Asset Management and Custody Banks (Primary); Capital Markets (Primary); Diversified Financials (Primary); Financials (Primary)</t>
  </si>
  <si>
    <t>361 Degrees International Limited (SEHK:1361)</t>
  </si>
  <si>
    <t>SEHK:1361</t>
  </si>
  <si>
    <t>The Stock Exchange of Hong Kong Ltd. (SEHK)</t>
  </si>
  <si>
    <t>Accessories (Primary); Apparel (Primary); Apparel, Accessories and Luxury Goods (Primary); Athletic Uniforms (Primary); Consumer Discretionary (Primary); Consumer Durables and Apparel (Primary); Specialty Apparel (Primary); Textiles, Apparel and Luxury Goods (Primary); Accessory Stores; Apparel and Textile Distribution; Apparel Retail; Athletic Footwear; Automotive Retail; Distributors; Distributors; Durable Goods Distribution; Footwear; Internet and Direct Marketing Retail; Internet and Direct Marketing Retail; Oil and Gas Retail; Online Apparel and Accessory Retail; Online Shoe Retail; Online Specialty Retail; Retailing; Shoe Accessories; Shoe Stores; Specialty Retail</t>
  </si>
  <si>
    <t>Zengame Technology Holding Limited (SEHK:2660)</t>
  </si>
  <si>
    <t>SEHK:2660</t>
  </si>
  <si>
    <t>The Stock Exchange of Hong Kong Ltd. (SEHK)</t>
  </si>
  <si>
    <t>Yashili International Holdings Ltd (SEHK:1230)</t>
  </si>
  <si>
    <t>SEHK:1230</t>
  </si>
  <si>
    <t>The Stock Exchange of Hong Kong Ltd. (SEHK)</t>
  </si>
  <si>
    <t>Cereal Breakfast Foods (Primary); Consumer Staples (Primary); Dairy Products (Primary); Dairy Products and Eggs (Primary); Dry, Condensed, And Evaporated Dairy Products (Primary); Flour (Primary); Food Products (Primary); Food, Beverage and Tobacco (Primary); Grain Mill Products (Primary); Packaged Foods and Meats (Primary); Food and Staples Retailing; Food and Staples Retailing; Food Distribution; Food Distributors; Food Retail</t>
  </si>
  <si>
    <t>Bairong Inc. (SEHK:6608)</t>
  </si>
  <si>
    <t>SEHK:6608</t>
  </si>
  <si>
    <t>The Stock Exchange of Hong Kong Ltd. (SEHK)</t>
  </si>
  <si>
    <t>Capital Markets (Primary); Diversified Financials (Primary); Financial Exchanges and Data (Primary); Financials (Primary); Advertising; Application Hosting Services; Application Service Providers (ASPs); Application Software; Communication Services; Data Processing and Outsourced Services; Diversified Financial Services; Information Technology; Insurance; Insurance; Insurance Brokers; IT Consulting and Other Services; IT Services; Marketing Services; Media; Media and Entertainment; Online Insurance Services; Reinsurance; Software; Software and Services; Specialized Finance</t>
  </si>
  <si>
    <t>Goldstream Investment Limited (SEHK:1328)</t>
  </si>
  <si>
    <t>SEHK:1328</t>
  </si>
  <si>
    <t>The Stock Exchange of Hong Kong Ltd. (SEHK)</t>
  </si>
  <si>
    <t>Commercial and Professional Services (Primary); Commercial Services and Supplies (Primary); Industrials (Primary); Office Services and Supplies (Primary); Asset Management and Custody Banks; Capital Markets; Diversified Financials; Financials; Information Technology; Information Technology (IT) Consulting; Investment Advice; Investment Banking and Brokerage; IT Consulting and Other Services; IT Services; Securities and Commodities Markets Services; Security Brokers; Security Brokers and Dealers; Software and Services</t>
  </si>
  <si>
    <t>Zhihu Inc. (NYSE:ZH)</t>
  </si>
  <si>
    <t>NYSE:ZH</t>
  </si>
  <si>
    <t>SEHK:2390
Company: Zhihu Inc.
(IQT1684172135) - 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</si>
  <si>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Commercial and Professional Services; Consulting Services; Consumer Discretionary; Consumer Services; Diversified Consumer Services; Diversified Financial Services; Diversified Financials; Education Services; Financials; Industrials; Information Technology; Internet Services and Infrastructure; Investment Services and Holding Companies; IT Consulting and Other Services; IT Services; Marketing Services; Media; Multi-Sector Holdings; Patent Owners and Lessors; Professional Services; Research and Consulting Services; Software and Services; Specialty Educational Services</t>
  </si>
  <si>
    <t>Yantai North Andre Juice Co.,Ltd. (SEHK:2218)</t>
  </si>
  <si>
    <t>SEHK:2218</t>
  </si>
  <si>
    <t>The Stock Exchange of Hong Kong Ltd. (SEHK)</t>
  </si>
  <si>
    <t>Animal Feed (Primary); Consumer Staples (Primary); Food Products (Primary); Food, Beverage and Tobacco (Primary); Packaged Foods and Meats (Primary); Beverages; Bottled Water; Commercial and Professional Services; Commercial Services and Supplies; Containers and Packaging; Diversified Support Services; Drink Mixes; Flavoring Syrup And Concentrate; Food and Staples Retailing; Food and Staples Retailing; Food Distributors; Industrials; Juices; Materials; Materials; Metal and Glass Containers; Metal Packaging; Soft Drinks; Warehousing and Storage</t>
  </si>
  <si>
    <t>Golden Throat Holdings Group Company Limited (SEHK:6896)</t>
  </si>
  <si>
    <t>SEHK:6896</t>
  </si>
  <si>
    <t>The Stock Exchange of Hong Kong Ltd. (SEHK)</t>
  </si>
  <si>
    <t>Consumer Staples (Primary); Household and Personal Products (Primary); Personal Products (Primary); Personal Products (Primary); Health Care; Non-Prescription Drugs; Pharmaceutical Products; Pharmaceuticals; Pharmaceuticals; Pharmaceuticals, Biotechnology and Life Sciences</t>
  </si>
  <si>
    <t>Shoucheng Holdings Limited (SEHK:697)</t>
  </si>
  <si>
    <t>SEHK:697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</si>
  <si>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</si>
  <si>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Markets; Consumer Discretionary; Consumer Services; Diversified Consumer Services; Diversified Financials; Financials; Motor Vehicle Parking; Motor Vehicle Repair and Services; Motor Vehicle Services; Nonresidential Property Managers; Real Estate Management Services; Real Estate Operating Companies; Real Estate Operators And Lessors; Specialized Consumer Services</t>
  </si>
  <si>
    <t>China Financial International Investments Limited (SEHK:721)</t>
  </si>
  <si>
    <t>SEHK:721</t>
  </si>
  <si>
    <t>The Stock Exchange of Hong Kong Ltd. (SEHK)</t>
  </si>
  <si>
    <t>D&amp;G Technology Holding Company Limited (SEHK:1301)</t>
  </si>
  <si>
    <t>SEHK:1301</t>
  </si>
  <si>
    <t>The Stock Exchange of Hong Kong Ltd. (SEHK)</t>
  </si>
  <si>
    <t>Capital Goods (Primary); Construction Machinery and Equipment (Primary); Construction Machinery and Heavy Trucks (Primary); Industrials (Primary); Machinery (Primary); Commercial and Professional Services; Commercial Services and Supplies; Construction Machinery Distribution; Construction Machinery Rental and Leasing; Diversified Support Services; Machinery Distribution; Machinery Rental and Leasing; Trading Companies and Distributors; Trading Companies and Distributors</t>
  </si>
  <si>
    <t>South China Vocational Education Group Company Limited (SEHK:6913)</t>
  </si>
  <si>
    <t>SEHK:6913</t>
  </si>
  <si>
    <t>The Stock Exchange of Hong Kong Ltd. (SEHK)</t>
  </si>
  <si>
    <t>Consumer Discretionary (Primary); Consumer Services (Primary); Diversified Consumer Services (Primary); Education Services (Primary); Schools (Primary); Vocational Schools (Primary)</t>
  </si>
  <si>
    <t>A-Living Smart City Services Co., Ltd. (SEHK:3319)</t>
  </si>
  <si>
    <t>SEHK:3319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</si>
  <si>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</si>
  <si>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Amusement And Recreation Services; Building Care and Improvement Services; Commercial and Professional Services; Commercial Services and Supplies; Communication Services; Consulting Services; Consumer Discretionary; Consumer Services; Diversified Consumer Services; Diversified Support Services; Environmental and Facilities Services; Hotels, Resorts and Cruise Lines; Hotels, Restaurants and Leisure; Industrials; Leisure Facilities; Media; Media and Entertainment; Motor Vehicle Parking; Motor Vehicle Repair and Services; Motor Vehicle Services; Professional Services; Real Estate Agents And Brokers; Real Estate Appraisers; Real Estate Services; Recreation Clubs; Research and Consulting Services; Residential Building Care and Improvement Services ; Residential Security and Personal Safety Services; Specialized Consumer Services; Travel Agencies; Travel and Tourism Services</t>
  </si>
  <si>
    <t>Huabao International Holdings Limited (SEHK:336)</t>
  </si>
  <si>
    <t>SEHK:336</t>
  </si>
  <si>
    <t>The Stock Exchange of Hong Kong Ltd. (SEHK)</t>
  </si>
  <si>
    <t>Chemicals (Primary); Materials (Primary); Materials (Primary); Specialty Chemicals (Primary); Beauty Care Products; Beverages; Commodity Chemicals; Consumer Discretionary; Consumer Staples; Drink Mixes; Flavoring Extracts; Food Products; Food, Beverage and Tobacco; Household and Personal Products; Industrial Organic Chemicals; Packaged Foods and Meats; Perfumes and Colognes; Personal Care Product Stores; Personal Products; Personal Products; Retailing; Seasonings and Preservatives; Soft Drinks; Specialty Retail; Specialty Stores; Tobacco; Tobacco</t>
  </si>
  <si>
    <t>Stella International Holdings Limited (SEHK:1836)</t>
  </si>
  <si>
    <t>SEHK:1836</t>
  </si>
  <si>
    <t>The Stock Exchange of Hong Kong Ltd. (SEHK)</t>
  </si>
  <si>
    <t>Consumer Discretionary (Primary); Consumer Durables and Apparel (Primary); Footwear (Primary); Men's and Boys' Footwear (Primary); Textiles, Apparel and Luxury Goods (Primary); Women's and Girls' Footwear (Primary); Accounting Services; Accounting, Auditing and Taxation Services; Apparel and Textile Distribution; Apparel Retail; Commercial and Professional Services; Distributors; Distributors; Diversified Financial Services; Diversified Financials; Durable Goods Distribution; Financials; Footwear Distribution; Industrials; Investment Services and Holding Companies; Men's Shoe Stores; Multi-Sector Holdings; Patent Owners and Lessors; Professional Services; Research and Consulting Services; Retailing; Shoe Stores; Specialty Retail; Women's Shoe Stores</t>
  </si>
  <si>
    <t>Natural Food International Holding Limited (SEHK:1837)</t>
  </si>
  <si>
    <t>SEHK:1837</t>
  </si>
  <si>
    <t>The Stock Exchange of Hong Kong Ltd. (SEHK)</t>
  </si>
  <si>
    <t>Consumer Staples (Primary); Food Products (Primary); Food, Beverage and Tobacco (Primary); Packaged Foods and Meats (Primary); Commercial and Professional Services; Commercial Services and Supplies; General Management Services; Industrials; Office Services and Supplies</t>
  </si>
  <si>
    <t>iShares Asia Trust - iShares Core MSCI China Index ETF (SEHK:2801)</t>
  </si>
  <si>
    <t>SEHK:2801</t>
  </si>
  <si>
    <t>The Stock Exchange of Hong Kong Ltd. (SEHK)</t>
  </si>
  <si>
    <t>Oriental Enterprise Holdings Limited (SEHK:18)</t>
  </si>
  <si>
    <t>SEHK:18</t>
  </si>
  <si>
    <t>The Stock Exchange of Hong Kong Ltd. (SEHK)</t>
  </si>
  <si>
    <t>Communication Services (Primary); Media (Primary); Media and Entertainment (Primary); Newspaper and Magazine Publishing (Primary); Newspaper Publishing (Primary); Printed Media Publishing (Primary); Published Electronic Materials (Primary); Publishing (Primary); Banks; Commercial and Professional Services; Commercial Printing; Commercial Services and Supplies; Financials; Industrials; Interactive Media and Services; Interactive Media and Services; Online Services; Real Estate; Real Estate; Real Estate Management and Development; Real Estate Operating Companies; Real Estate Operators And Lessors; Thrifts and Mortgage Finance; Thrifts and Mortgage Finance</t>
  </si>
  <si>
    <t>Tysan Holdings Limited (SEHK:687)</t>
  </si>
  <si>
    <t>SEHK:687</t>
  </si>
  <si>
    <t>The Stock Exchange of Hong Kong Ltd. (SEHK)</t>
  </si>
  <si>
    <t>Capital Goods (Primary); Construction and Engineering (Primary); Construction and Engineering (Primary); Construction Management Services (Primary); Construction Support Services (Primary); Engineering and Surveying Services (Primary); Engineering Services (Primary); Industrials (Primary); Specialty Contract Work (Primary); Apartment Building Operators and Lessors; Commercial and Professional Services; Commercial Services and Supplies; Construction Machinery Distribution; Construction Machinery Rental and Leasing; Consulting Services; General Management Services; Machinery Distribution; Machinery Rental and Leasing; Nonresidential Building Operators and Lessors; Office Building Operators and Lessors; Office Services and Supplies; Professional Services; Real Estate; Real Estate; Real Estate Development; Real Estate Management and Development; Real Estate Management Services; Real Estate Operating Companies; Real Estate Operators And Lessors; Research and Consulting Services; Residential Building Operators and Lessors; Trading Companies and Distributors; Trading Companies and Distributors</t>
  </si>
  <si>
    <t>Greentech Technology International Limited (SEHK:195)</t>
  </si>
  <si>
    <t>SEHK:195</t>
  </si>
  <si>
    <t>The Stock Exchange of Hong Kong Ltd. (SEHK)</t>
  </si>
  <si>
    <t>Diversified Metal Ores (Primary); Diversified Metals and Mining (Primary); Materials (Primary); Materials (Primary); Metals and Mining (Primary); Tin Ores (Primary); Copper; Copper Ores</t>
  </si>
  <si>
    <t>Lung Kee (Bermuda) Holdings Limited (SEHK:255)</t>
  </si>
  <si>
    <t>SEHK:255</t>
  </si>
  <si>
    <t>The Stock Exchange of Hong Kong Ltd. (SEHK)</t>
  </si>
  <si>
    <t>Capital Goods (Primary); Die Sets, Jigs and Industrial Molds (Primary); Industrial Machinery (Primary); Industrials (Primary); Machinery (Primary); Metalworking Machinery and Equipment (Primary)</t>
  </si>
  <si>
    <t>Lam Soon (Hong Kong) Limited (SEHK:411)</t>
  </si>
  <si>
    <t>SEHK:411</t>
  </si>
  <si>
    <t>The Stock Exchange of Hong Kong Ltd. (SEHK)</t>
  </si>
  <si>
    <t>Consumer Staples (Primary); Edible Oils (Primary); Flour (Primary); Food Products (Primary); Food, Beverage and Tobacco (Primary); Grain Mill Products (Primary); Packaged Foods and Meats (Primary); Air Freight and Logistics; Air Freight and Logistics; Asset Management and Custody Banks; Capital Markets; Cleaning Products; Commercial and Professional Services; Commercial Services and Supplies; Consumer Discretionary; Consumer Services; Dishwashing Detergents; Distributors; Distributors; Diversified Financials; Diversified Support Services; Financials; Floor Cleaners and Waxes; Food and Staples Retailing; Food and Staples Retailing; Food Distributors; Food Service Contractors; Hotels, Restaurants and Leisure; Household and Personal Product Distribution; Household and Personal Products; Household Products; Household Products; Industrials; Information Technology; Information Technology (IT) Consulting; IT Consulting and Other Services; IT Services; Laundry Products; Motor Vehicle Rental and Leasing; Non-Durable Goods Distribution; Real Estate; Real Estate; Real Estate Management and Development; Real Estate Operating Companies; Real Estate Operators And Lessors; Restaurants; Retailing; Road and Rail; Software and Services; Transportation; Truck Rental and Leasing; Trucking; Warehousing and Storage</t>
  </si>
  <si>
    <t>Shougang Fushan Resources Group Limited (SEHK:639)</t>
  </si>
  <si>
    <t>SEHK:639</t>
  </si>
  <si>
    <t>The Stock Exchange of Hong Kong Ltd. (SEHK)</t>
  </si>
  <si>
    <t>Materials (Primary); Materials (Primary); Metallurgical (Coking) Coal Mining (Primary); Metals and Mining (Primary); Steel (Primary); Coal and Consumable Fuels; Energy; Energy; Oil, Gas and Consumable Fuels</t>
  </si>
  <si>
    <t>Noah Holdings Limited (NYSE:NOAH)</t>
  </si>
  <si>
    <t>NYSE:NOAH</t>
  </si>
  <si>
    <t>SEHK:6686
Company: Noah Holdings Limited
(IQT365852919) - The Stock Exchange of Hong Kong Ltd. (SEHK)</t>
  </si>
  <si>
    <t>Clifford Modern Living Holdings Limited (SEHK:3686)</t>
  </si>
  <si>
    <t>SEHK:3686</t>
  </si>
  <si>
    <t>The Stock Exchange of Hong Kong Ltd. (SEHK)</t>
  </si>
  <si>
    <t>Capital Goods (Primary); Industrial Conglomerates (Primary); Industrial Conglomerates (Primary); Industrials (Primary); Commercial and Professional Services; Computer and Electronics Retail; Construction and Engineering; Construction and Engineering; Consulting Services; Consumer Discretionary; Consumer Electronics Stores; Consumer Services; Consumer Staples; Convenience Stores; Diversified Consumer Services; Domestic Cleaning and Household Services; Education Services; Food and Staples Retailing; Food and Staples Retailing; Food Retail; Fruit and Vegetable Stores and Markets; Full Stock Supermarkets; Grocery Stores; Human Resource and Employment Services; Information Technology; Information Technology (IT) Consulting; IT Consulting and Other Services; IT Services; Laundry Services; Laundry, Cleaning, and Garment Services; Meat Markets and Butchers; Nonresidential Property Managers; Professional Services; Real Estate; Real Estate; Real Estate Agents And Brokers; Real Estate Management and Development; Real Estate Management Services; Real Estate Operating Companies; Real Estate Services; Research and Consulting Services; Residential Building Care and Improvement Services ; Residential Property Managers; Retailing; Services Outsourcing; Software and Services; Specialized Consumer Services; Specialty Educational Services; Specialty Retail; System and Platform Integration</t>
  </si>
  <si>
    <t>CMGE Technology Group Limited (SEHK:302)</t>
  </si>
  <si>
    <t>SEHK:302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</si>
  <si>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</si>
  <si>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Asset Management and Custody Banks; Capital Markets; Diversified Financial Services; Diversified Financials; Financials; Investment Services and Holding Companies; Multi-Sector Holdings; Patent Owners and Lessors</t>
  </si>
  <si>
    <t>Zhejiang Shibao Company Limited (SEHK:1057)</t>
  </si>
  <si>
    <t>SEHK:1057</t>
  </si>
  <si>
    <t>The Stock Exchange of Hong Kong Ltd. (SEHK)</t>
  </si>
  <si>
    <t>Auto Components (Primary); Auto Parts and Equipment (Primary); Automobiles and Components (Primary); Consumer Discretionary (Primary); Steering and Suspension System Components (Primary); Steering Systems (Primary)</t>
  </si>
  <si>
    <t>Prosperous Industrial (Holdings) Limited (SEHK:1731)</t>
  </si>
  <si>
    <t>SEHK:1731</t>
  </si>
  <si>
    <t>The Stock Exchange of Hong Kong Ltd. (SEHK)</t>
  </si>
  <si>
    <t>Apparel, Accessories and Luxury Goods (Primary); Backpacks (Primary); Consumer Discretionary (Primary); Consumer Durables and Apparel (Primary); Luggage (Primary); Luggage and Handbags (Primary); Purses, Handbags and Bags (Primary); Textiles, Apparel and Luxury Goods (Primary); Apparel and Textile Distribution; Apparel Retail; Commercial and Professional Services; Commercial Services and Supplies; Distributors; Distributors; Diversified Support Services; Durable Goods Distribution; Industrials; Luggage and Leather Goods Stores; Retailing; Specialty Retail</t>
  </si>
  <si>
    <t>CMIC Ocean En-Tech Holding Co., Ltd. (SEHK:206)</t>
  </si>
  <si>
    <t>SEHK:206</t>
  </si>
  <si>
    <t>The Stock Exchange of Hong Kong Ltd. (SEHK)</t>
  </si>
  <si>
    <t>Drilling Rigs and Equipment (Primary); Energy (Primary); Energy (Primary); Energy Equipment and Services (Primary); Oil and Gas Equipment and Services (Primary); Oil and Gas Field Services (Primary); Oil and Gas Machinery and Equipment (Primary); Well Drilling Machinery and Equipment (Primary); Capital Goods; Construction and Engineering; Construction and Engineering; Construction Support Services; Engineering and Surveying Services; Engineering Services; Industrial Machinery; Industrials; Machinery; Machinery Distribution; Machinery Rental and Leasing; Material Handling Machinery and Equipment; Oil and Gas Machinery and Equipment Distribution; Trading Companies and Distributors; Trading Companies and Distributors</t>
  </si>
  <si>
    <t>Playmates Toys Limited (SEHK:869)</t>
  </si>
  <si>
    <t>SEHK:869</t>
  </si>
  <si>
    <t>The Stock Exchange of Hong Kong Ltd. (SEHK)</t>
  </si>
  <si>
    <t>Consumer Discretionary (Primary); Consumer Durables and Apparel (Primary); Games and Toys (Primary); Hobbies, Toys and Games (Primary); Leisure Products (Primary); Leisure Products (Primary); Sporting and Recreational Goods (Primary)</t>
  </si>
  <si>
    <t>Maoyan Entertainment (SEHK:1896)</t>
  </si>
  <si>
    <t>SEHK:1896</t>
  </si>
  <si>
    <t>The Stock Exchange of Hong Kong Ltd. (SEHK)</t>
  </si>
  <si>
    <t>Consumer Discretionary (Primary); Internet and Direct Marketing Retail (Primary); Internet and Direct Marketing Retail (Primary); Online Entertainment Ticket Agencies (Primary); Retailing (Primary); Advertising; Broadcast Advertising; Broadcasting; Commercial Distribution Film Libraries; Communication Services; Computer and Mobile Games; Entertainment; Entertainment Production Companies; Entertainment Services; Entertainment Software; Entertainment Venues; Interactive Home Entertainment; Internet Advertising; Media; Media and Entertainment; Motion Picture and Video Production Companies; Motion Picture And Video Tape Distribution; Motion Picture Distribution And Allied Services; Movies and Entertainment; Online Entertainment; Radio; Radio Production Companies; Stage and Theater Services; Talent Management and Talent Service Agencies; Television; Television and Video Post-Production Services; Television Content and Programming; Television Production Companies; Ticket Agencies</t>
  </si>
  <si>
    <t>ENM Holdings Limited (SEHK:128)</t>
  </si>
  <si>
    <t>SEHK:128</t>
  </si>
  <si>
    <t>The Stock Exchange of Hong Kong Ltd. (SEHK)</t>
  </si>
  <si>
    <t>Apparel Retail (Primary); Consumer Discretionary (Primary); Retailing (Primary); Specialty Retail (Primary); Amusement And Recreation Services; Apparel; Apparel and Textile Distribution; Apparel, Accessories and Luxury Goods; Asset Management and Custody Banks; Capital Markets; Consumer Durables and Apparel; Consumer Services; Distributors; Distributors; Diversified Financials; Durable Goods Distribution; Financials; Hotels And Motels; Hotels, Resorts and Cruise Lines; Hotels, Restaurants and Leisure; Leisure Facilities; Lodging; Men's Apparel; Recreation Clubs; Resorts; Textiles, Apparel and Luxury Goods</t>
  </si>
  <si>
    <t>Crystal International Group Limited (SEHK:2232)</t>
  </si>
  <si>
    <t>SEHK:2232</t>
  </si>
  <si>
    <t>The Stock Exchange of Hong Kong Ltd. (SEHK)</t>
  </si>
  <si>
    <t>Apparel (Primary); Apparel, Accessories and Luxury Goods (Primary); Athletic Uniforms (Primary); Consumer Discretionary (Primary); Consumer Durables and Apparel (Primary); Specialty Apparel (Primary); Textiles, Apparel and Luxury Goods (Primary); Women's Intimate Apparel (Primary); Women's, Misses', and Juniors' Apparel (Primary); Women's, Misses', and Juniors' Blouses, Shirts and Sweaters (Primary); Women's, Misses', and Juniors' Underwear and Nightwear (Primary)</t>
  </si>
  <si>
    <t>Kangqiao Service Group Limited (SEHK:2205)</t>
  </si>
  <si>
    <t>SEHK:2205</t>
  </si>
  <si>
    <t>The Stock Exchange of Hong Kong Ltd. (SEHK)</t>
  </si>
  <si>
    <t>Financial Street Property Co., Limited (SEHK:1502)</t>
  </si>
  <si>
    <t>SEHK:1502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</si>
  <si>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</si>
  <si>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Catering Services; Consumer Discretionary; Consumer Services; Financials; Hotels; Hotels And Motels; Hotels, Resorts and Cruise Lines; Hotels, Restaurants and Leisure; Insurance; Insurance; Insurance Brokers; Lodging; Real Estate Agents And Brokers; Real Estate Services; Restaurants</t>
  </si>
  <si>
    <t>Dream International Limited (SEHK:1126)</t>
  </si>
  <si>
    <t>SEHK:1126</t>
  </si>
  <si>
    <t>The Stock Exchange of Hong Kong Ltd. (SEHK)</t>
  </si>
  <si>
    <t>Consumer Discretionary (Primary); Consumer Durables and Apparel (Primary); Dolls and Stuffed Toys (Primary); Hobbies, Toys and Games (Primary); Leisure Products (Primary); Leisure Products (Primary); Sporting and Recreational Goods (Primary); Chemicals; Commercial and Professional Services; Commercial Services and Supplies; Commodity Chemicals; Communications Equipment; Communications Equipment; Electronic Equipment and Instruments; Electronic Equipment, Instruments and Components; Fabrics; Industrials; Information Technology; Materials; Materials; Office Products; Office Services and Supplies; Plastic and Synthetic Resins; Plastic Products; Specialty Chemicals; Technology Hardware and Equipment; Textile Mill Products; Textiles; Textiles, Apparel and Luxury Goods</t>
  </si>
  <si>
    <t>BetterLife Holding Limited (SEHK:6909)</t>
  </si>
  <si>
    <t>SEHK:6909</t>
  </si>
  <si>
    <t>The Stock Exchange of Hong Kong Ltd. (SEHK)</t>
  </si>
  <si>
    <t>Automotive Retail (Primary); Consumer Discretionary (Primary); Motor Vehicle Dealers (New) (Primary); Motor Vehicle Retail (Primary); Retailing (Primary); Specialty Retail (Primary); Car Loans; Consumer Finance; Consumer Finance; Consumer Services; Diversified Consumer Services; Diversified Financials; Financials; Insurance; Insurance; Insurance Brokers; Motor Vehicle Repair and Services; Personal Credit Agencies; Personal Loan Services; Specialized Consumer Services</t>
  </si>
  <si>
    <t>Cheerwin Group Limited (SEHK:6601)</t>
  </si>
  <si>
    <t>SEHK:6601</t>
  </si>
  <si>
    <t>The Stock Exchange of Hong Kong Ltd. (SEHK)</t>
  </si>
  <si>
    <t>Air Fresheners (Primary); Animal Care Products (Primary); Cleaning Products (Primary); Consumer Staples (Primary); Household and Personal Products (Primary); Household Disinfectants (Primary); Household Products (Primary); Household Products (Primary); Soaps (Primary); Advertising; Beauty Care Products; Communication Services; Consumer Discretionary; Distributors; Distributors; Marketing Services; Media; Media and Entertainment; Motor Vehicles and Parts Distribution; Personal Products; Personal Products; Retailing; Skin Care Products</t>
  </si>
  <si>
    <t>Golden Resources Development International Limited (SEHK:677)</t>
  </si>
  <si>
    <t>SEHK:677</t>
  </si>
  <si>
    <t>The Stock Exchange of Hong Kong Ltd. (SEHK)</t>
  </si>
  <si>
    <t>Consumer Staples (Primary); Food and Staples Retailing (Primary); Food and Staples Retailing (Primary); Food Distributors (Primary); Air Freight and Logistics; Air Freight and Logistics; Asset Management and Custody Banks; Capital Markets; Commercial and Professional Services; Commercial Services and Supplies; Convenience Stores; Diversified Financial Services; Diversified Financials; Diversified Support Services; Financials; Food Retail; Grocery Stores; Industrials; Information Technology; Investment Services and Holding Companies; IT Consulting and Other Services; IT Services; Multi-Sector Holdings; Patent Owners and Lessors; Real Estate; Real Estate; Real Estate Development; Real Estate Management and Development; Real Estate Operating Companies; Real Estate Operators And Lessors; Software and Services; Specialized Finance; Transportation; Warehousing and Storage</t>
  </si>
  <si>
    <t>Jinke Smart Services Group Co., Ltd. (SEHK:9666)</t>
  </si>
  <si>
    <t>SEHK:9666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</si>
  <si>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</si>
  <si>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Building Care and Improvement Services; Capital Goods; Catering Services; Commercial and Professional Services; Commercial Services and Supplies; Communication Services; Construction and Engineering; Construction and Engineering; Construction Management Services; Construction Support Services; Consulting Services; Consumer Discretionary; Consumer Services; Diversified Support Services; Hotels; Hotels And Motels; Hotels, Resorts and Cruise Lines; Hotels, Restaurants and Leisure; Industrials; Lodging; Media; Media and Entertainment; Professional Services; Real Estate Agents And Brokers; Real Estate Services; Research and Consulting Services; Restaurants; Trading Companies and Distributors; Trading Companies and Distributors; Travel and Tourism Services</t>
  </si>
  <si>
    <t>Upbest Group Limited (SEHK:335)</t>
  </si>
  <si>
    <t>SEHK:335</t>
  </si>
  <si>
    <t>The Stock Exchange of Hong Kong Ltd. (SEHK)</t>
  </si>
  <si>
    <t>Consumer Discretionary (Primary); Distributors (Primary); Distributors (Primary); Retailing (Primary); Asset Management and Custody Banks; Capital Goods; Capital Markets; Commodity Contract Services; Consumer Finance; Consumer Finance; Diversified Financial Services; Diversified Financials; Financials; Industrials; Investment Advice; Investment Banking; Investment Banking and Brokerage; Other Diversified Financial Services; Personal Credit Agencies; Real Estate; Real Estate; Real Estate Management and Development; Real Estate Management Services; Real Estate Operating Companies; Real Estate Operators And Lessors; Securities and Commodities Markets Services; Security Brokers; Security Brokers and Dealers; Security Underwriting Services; Specialized Finance; Trading Companies and Distributors; Trading Companies and Distributors</t>
  </si>
  <si>
    <t>Archosaur Games Inc. (SEHK:9990)</t>
  </si>
  <si>
    <t>SEHK:9990</t>
  </si>
  <si>
    <t>The Stock Exchange of Hong Kong Ltd. (SEHK)</t>
  </si>
  <si>
    <t>AAG Energy Holdings Limited (SEHK:2686)</t>
  </si>
  <si>
    <t>SEHK:2686</t>
  </si>
  <si>
    <t>The Stock Exchange of Hong Kong Ltd. (SEHK)</t>
  </si>
  <si>
    <t>Energy (Primary); Energy (Primary); Oil and Gas Exploration and Production (Primary); Oil, Gas and Consumable Fuels (Primary)</t>
  </si>
  <si>
    <t>Cathay Media and Education Group Inc. (SEHK:1981)</t>
  </si>
  <si>
    <t>SEHK:1981</t>
  </si>
  <si>
    <t>The Stock Exchange of Hong Kong Ltd. (SEHK)</t>
  </si>
  <si>
    <t>N/A
Company: Cathay Media and Education Group Inc.
(IQT670723266) - The Stock Exchange of Hong Kong Ltd. (SEHK)</t>
  </si>
  <si>
    <t>Communication Services (Primary); Entertainment (Primary); Entertainment Production Companies (Primary); Media and Entertainment (Primary); Motion Picture and Video Production Companies (Primary); Movies and Entertainment (Primary); Television Production Companies (Primary); Consumer Discretionary; Consumer Services; Diversified Consumer Services; Education Services</t>
  </si>
  <si>
    <t>KWG Living Group Holdings Limited (SEHK:3913)</t>
  </si>
  <si>
    <t>SEHK:3913</t>
  </si>
  <si>
    <t>The Stock Exchange of Hong Kong Ltd. (SEHK)</t>
  </si>
  <si>
    <t>A8 New Media Group Limited (SEHK:800)</t>
  </si>
  <si>
    <t>SEHK:800</t>
  </si>
  <si>
    <t>The Stock Exchange of Hong Kong Ltd. (SEHK)</t>
  </si>
  <si>
    <t>Real Estate (Primary); Real Estate (Primary); Real Estate Management and Development (Primary); Real Estate Operating Companies (Primary); Real Estate Operators And Lessors (Primary); Application Software; Communication Services; Diversified Financial Services; Diversified Financials; Entertainment; Entertainment Production Companies; Entertainment Services; Entertainment Software; Financials; Information Technology; Information Technology (IT) Consulting; Interactive Home Entertainment; Investment Services and Holding Companies; IT Consulting and Other Services; IT Services; Media and Entertainment; Motion Picture and Video Production Companies; Movies and Entertainment; Multi-Sector Holdings; Music Services; Patent Owners and Lessors; Software; Software and Services; Television Production Companies</t>
  </si>
  <si>
    <t>Termbray Industries International (Holdings) Limited (SEHK:93)</t>
  </si>
  <si>
    <t>SEHK:93</t>
  </si>
  <si>
    <t>The Stock Exchange of Hong Kong Ltd. (SEHK)</t>
  </si>
  <si>
    <t>Real Estate (Primary); Real Estate (Primary); Real Estate Development (Primary); Real Estate Management and Development (Primary); Consumer Finance; Consumer Finance; Diversified Financials; Financials; Nonresidential Building Operators and Lessors; Real Estate Operating Companies; Real Estate Operators And Lessors; Residential Building Operators and Lessors</t>
  </si>
  <si>
    <t>Honbridge Holdings Limited (SEHK:8137)</t>
  </si>
  <si>
    <t>SEHK:8137</t>
  </si>
  <si>
    <t>The Stock Exchange of Hong Kong Ltd. (SEHK)</t>
  </si>
  <si>
    <t>Batteries (Primary); Capital Goods (Primary); Electrical Components and Equipment (Primary); Electrical Equipment (Primary); Industrials (Primary); Diversified Metals and Mining; Iron Ores; Materials; Materials; Metals and Mining; Steel; Trading Companies and Distributors; Trading Companies and Distributors</t>
  </si>
  <si>
    <t>Greatview Aseptic Packaging Company Limited (SEHK:468)</t>
  </si>
  <si>
    <t>SEHK:468</t>
  </si>
  <si>
    <t>The Stock Exchange of Hong Kong Ltd. (SEHK)</t>
  </si>
  <si>
    <t>Containers and Packaging (Primary); Materials (Primary); Materials (Primary); Paper Packaging (Primary); Application Software; Capital Goods; Commercial and Professional Services; Commercial Services and Supplies; Diversified Support Services; Industrial Machinery; Industrials; Information Technology; Machinery; Machinery Components; Metal and Glass Containers; Packaging Machinery and Equipment; Plastic Packaging; Plastic Packaging Film And Sheet; Software; Software and Services</t>
  </si>
  <si>
    <t>Neo-Neon Holdings Limited (SEHK:1868)</t>
  </si>
  <si>
    <t>SEHK:1868</t>
  </si>
  <si>
    <t>The Stock Exchange of Hong Kong Ltd. (SEHK)</t>
  </si>
  <si>
    <t>Capital Goods (Primary); Electric Lighting and Wiring Equipment (Primary); Electrical Components and Equipment (Primary); Electrical Equipment (Primary); Industrials (Primary); Diversified Financial Services; Diversified Financials; Electrical Equipment Distribution; Financials; Specialized Finance; Trading Companies and Distributors; Trading Companies and Distributors</t>
  </si>
  <si>
    <t>Hong Kong Economic Times Holdings Limited (SEHK:423)</t>
  </si>
  <si>
    <t>SEHK:423</t>
  </si>
  <si>
    <t>The Stock Exchange of Hong Kong Ltd. (SEHK)</t>
  </si>
  <si>
    <t>Book Publishing (Primary); Communication Services (Primary); Magazine Publishing (Primary); Media (Primary); Media and Entertainment (Primary); Newspaper and Magazine Publishing (Primary); Newspaper Publishing (Primary); Periodical Publishing (Primary); Printed Media Publishing (Primary); Published Electronic Materials (Primary); Publishing (Primary); Advertising; Capital Markets; Commercial and Professional Services; Commercial Printing; Commercial Services and Supplies; Diversified Financials; Financials; Human Resource and Employment Services; Industrials; Interactive Media and Services; Interactive Media and Services; Investment Banking and Brokerage; Online Services; Printing Services; Professional and Management Development Training; Professional Services; Real Estate; Real Estate; Real Estate Management and Development; Real Estate Operating Companies; Securities and Commodities Markets Services; Security Brokers and Dealers</t>
  </si>
  <si>
    <t>Duiba Group Limited (SEHK:1753)</t>
  </si>
  <si>
    <t>SEHK:1753</t>
  </si>
  <si>
    <t>The Stock Exchange of Hong Kong Ltd. (SEHK)</t>
  </si>
  <si>
    <t>Communication Services (Primary); Interactive Media and Services (Primary); Interactive Media and Services (Primary); Media and Entertainment (Primary); Advertising; Application Hosting Services; Application Service Providers (ASPs); Application Software; Information Technology; Media; Software; Software and Services</t>
  </si>
  <si>
    <t>The Cross-Harbour (Holdings) Limited (SEHK:32)</t>
  </si>
  <si>
    <t>SEHK:32</t>
  </si>
  <si>
    <t>The Stock Exchange of Hong Kong Ltd. (SEHK)</t>
  </si>
  <si>
    <t>Automobile Driving Instruction (Primary); Consumer Discretionary (Primary); Consumer Services (Primary); Diversified Consumer Services (Primary); Education Services (Primary); Specialty Educational Services (Primary); Asset Management and Custody Banks; Capital Markets; Commercial and Professional Services; Consulting Services; Diversified Financial Services; Diversified Financials; Electronic Equipment and Instruments; Electronic Equipment, Instruments and Components; Financials; Industrials; Information Technology; IT Consulting and Other Services; IT Services; Professional Services; Real Estate; Real Estate; Real Estate Management and Development; Real Estate Operating Companies; Real Estate Operators And Lessors; Research and Consulting Services; Security, Control, Surveillance and Detection Equipment; Software and Services; Specialized Finance; Technology Hardware and Equipment</t>
  </si>
  <si>
    <t>Strawbear Entertainment Group (SEHK:2125)</t>
  </si>
  <si>
    <t>SEHK:2125</t>
  </si>
  <si>
    <t>The Stock Exchange of Hong Kong Ltd. (SEHK)</t>
  </si>
  <si>
    <t>Communication Services (Primary); Entertainment (Primary); Entertainment Production Companies (Primary); Entertainment Services (Primary); Media and Entertainment (Primary); Motion Picture Distribution And Allied Services (Primary); Movies and Entertainment (Primary); Television Production Companies (Primary); Diversified Financial Services; Diversified Financials; Financials; Investment Services and Holding Companies; Multi-Sector Holdings; Patent Owners and Lessors</t>
  </si>
  <si>
    <t>Lonking Holdings Limited (SEHK:3339)</t>
  </si>
  <si>
    <t>SEHK:3339</t>
  </si>
  <si>
    <t>The Stock Exchange of Hong Kong Ltd. (SEHK)</t>
  </si>
  <si>
    <t>Capital Goods (Primary); Construction Machinery and Equipment (Primary); Construction Machinery and Heavy Trucks (Primary); Industrials (Primary); Machinery (Primary); Business Credit Agencies; Construction Machinery Distribution; Credit Agencies; Diversified Financial Services; Diversified Financials; Finance Leasing; Financials; Forklifts; Industrial Machinery; Lifting Equipment; Machinery Components; Machinery Distribution; Material Handling Machinery and Equipment; Specialized Finance; Trading Companies and Distributors; Trading Companies and Distributors</t>
  </si>
  <si>
    <t>Kingmaker Footwear Holdings Limited (SEHK:1170)</t>
  </si>
  <si>
    <t>SEHK:1170</t>
  </si>
  <si>
    <t>The Stock Exchange of Hong Kong Ltd. (SEHK)</t>
  </si>
  <si>
    <t>Athletic Footwear (Primary); Consumer Discretionary (Primary); Consumer Durables and Apparel (Primary); Footwear (Primary); Men's and Boys' Footwear (Primary); Textiles, Apparel and Luxury Goods (Primary); Women's and Girls' Footwear (Primary); Commercial and Professional Services; Commercial Services and Supplies; General Management Services; Industrials; Office Services and Supplies; Real Estate; Real Estate; Real Estate Management and Development; Real Estate Operating Companies</t>
  </si>
  <si>
    <t>Sino Hotels (Holdings) Limited (SEHK:1221)</t>
  </si>
  <si>
    <t>SEHK:1221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</si>
  <si>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</si>
  <si>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Amusement And Recreation Services; Asset Management and Custody Banks; Beverage and Tobacco Bars; Cafeterias; Capital Markets; Diversified Financial Services; Diversified Financials; Financials; Leisure Facilities; Pubs, Bars and Taverns; Recreation Clubs; Restaurants; Specialized Finance</t>
  </si>
  <si>
    <t>Hutchison Telecommunications Hong Kong Holdings Limited (SEHK:215)</t>
  </si>
  <si>
    <t>SEHK:215</t>
  </si>
  <si>
    <t>The Stock Exchange of Hong Kong Ltd. (SEHK)</t>
  </si>
  <si>
    <t>Cellular Services (Primary); Communication Services (Primary); Mobile Data Services (Primary); Telecommunication Services (Primary); Wireless Telecommunication Services (Primary); Wireless Telecommunication Services (Primary); Advertising; Diversified Telecommunication Services; Information Technology; Information Technology (IT) Consulting; Integrated Telecommunication Services; IT Consulting and Other Services; IT Services; Media; Media and Entertainment; Software and Services</t>
  </si>
  <si>
    <t>Renrui Human Resources Technology Holdings Limited (SEHK:6919)</t>
  </si>
  <si>
    <t>SEHK:6919</t>
  </si>
  <si>
    <t>The Stock Exchange of Hong Kong Ltd. (SEHK)</t>
  </si>
  <si>
    <t>Commercial and Professional Services (Primary); Executive Placing Services (Primary); Human Resource and Employment Services (Primary); Human Resources and Personnel Management (Primary); Industrials (Primary); Professional and Management Development Training (Primary); Professional Services (Primary); Temporary Help Supply (Primary)</t>
  </si>
  <si>
    <t>BAIOO Family Interactive Limited (SEHK:2100)</t>
  </si>
  <si>
    <t>SEHK:2100</t>
  </si>
  <si>
    <t>The Stock Exchange of Hong Kong Ltd. (SEHK)</t>
  </si>
  <si>
    <t>Communication Services (Primary); Entertainment (Primary); Interactive Home Entertainment (Primary); Media and Entertainment (Primary); Application Software; Casinos and Gaming; Consumer Discretionary; Consumer Services; Entertainment Services; Gaming Operations; Hotels, Restaurants and Leisure; Information Technology; Information Technology (IT) Consulting; Interactive Media and Services; Interactive Media and Services; IT Consulting and Other Services; IT Services; Movies and Entertainment; Online Gaming Operations; Online Services; Software; Software and Services</t>
  </si>
  <si>
    <t>Lion Rock Group Limited (SEHK:1127)</t>
  </si>
  <si>
    <t>SEHK:1127</t>
  </si>
  <si>
    <t>The Stock Exchange of Hong Kong Ltd. (SEHK)</t>
  </si>
  <si>
    <t>Book Printing (Primary); Commercial and Professional Services (Primary); Commercial Printing (Primary); Commercial Services and Supplies (Primary); Industrials (Primary); Printing Services (Primary); Publication Printing (Primary); Book Publishing; Commercial Design Services; Communication Services; Consumer Discretionary; Distributors; Distributors; Diversified Support Services; Graphic Design; Media; Media and Entertainment; Media Distribution; Printed Media Distribution; Printed Media Publishing; Publishing; Retailing</t>
  </si>
  <si>
    <t>CNT Group Limited (SEHK:701)</t>
  </si>
  <si>
    <t>SEHK:701</t>
  </si>
  <si>
    <t>The Stock Exchange of Hong Kong Ltd. (SEHK)</t>
  </si>
  <si>
    <t>Chemicals (Primary); Materials (Primary); Materials (Primary); Paints, Varnishes, and Lacquers (Primary); Specialty Chemicals (Primary); Asset Management and Custody Banks; Capital Goods; Capital Markets; Commercial and Professional Services; Commercial Services and Supplies; Consulting Services; Consumer Discretionary; Consumer Services; Diversified Financials; Financials; General Management Services; Hotels; Hotels And Motels; Hotels, Resorts and Cruise Lines; Hotels, Restaurants and Leisure; Industrial Property Operators and Lessors; Industrials; Investment Banking and Brokerage; Lodging; Nonresidential Building Operators and Lessors; Office Services and Supplies; Professional Services; Real Estate; Real Estate; Real Estate Development; Real Estate Management and Development; Real Estate Operating Companies; Real Estate Operators And Lessors; Research and Consulting Services; Residential Building Operators and Lessors; Securities and Commodities Markets Services; Security Brokers and Dealers; Trading Companies and Distributors; Trading Companies and Distributors</t>
  </si>
  <si>
    <t>Inkeverse Group Limited (SEHK:3700)</t>
  </si>
  <si>
    <t>SEHK:3700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</si>
  <si>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</si>
  <si>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Commercial and Professional Services; Commercial Services and Supplies; Consulting Services; Diversified Support Services; Entertainment; Entertainment Services; Entertainment Venues; Industrials; Movies and Entertainment; Multimedia Streaming Services; Online Entertainment; Professional Services; Research and Consulting Services; Talent Management and Talent Service Agencies</t>
  </si>
  <si>
    <t>Pan Asia Environmental Protection Group Limited (SEHK:556)</t>
  </si>
  <si>
    <t>SEHK:556</t>
  </si>
  <si>
    <t>The Stock Exchange of Hong Kong Ltd. (SEHK)</t>
  </si>
  <si>
    <t>Commercial and Professional Services (Primary); Commercial Services and Supplies (Primary); Environmental and Facilities Services (Primary); Industrials (Primary); Capital Goods; Construction and Engineering; Construction and Engineering; Construction Support Services; Engineering and Surveying Services; Engineering Services; Machinery Distribution; Trading Companies and Distributors; Trading Companies and Distributors</t>
  </si>
  <si>
    <t>Glorious Sun Enterprises Limited (SEHK:393)</t>
  </si>
  <si>
    <t>SEHK:393</t>
  </si>
  <si>
    <t>The Stock Exchange of Hong Kong Ltd. (SEHK)</t>
  </si>
  <si>
    <t>Apparel Retail (Primary); Consumer Discretionary (Primary); Retailing (Primary); Specialty Retail (Primary); Air Freight and Logistics; Air Freight and Logistics; Apparel; Apparel and Textile Distribution; Apparel, Accessories and Luxury Goods; Asset Management and Custody Banks; Capital Markets; Commercial and Professional Services; Commercial Design Services; Commercial Interior Design ; Commercial Services and Supplies; Consulting Services; Consumer Durables and Apparel; Consumer Services; Distributors; Distributors; Diversified Consumer Services; Diversified Financial Services; Diversified Financials; Diversified Support Services; Durable Goods Distribution; Financials; Household Durables Distribution; Industrials; Information Technology; Information Technology (IT) Consulting; Internet Services and Infrastructure; Investment Services and Holding Companies; IT Consulting and Other Services; IT Services; Maintenance Repair (Break-Fix/Warranty); Multi-Sector Holdings; Patent Owners and Lessors; Professional Services; Real Estate; Real Estate; Real Estate Development; Real Estate Management and Development; Real Estate Management Services; Real Estate Operating Companies; Research and Consulting Services; Residential Design Services ; Residential Interior Services ; Software and Services; Specialized Consumer Services; Textiles, Apparel and Luxury Goods; Transportation; Warehousing and Storage</t>
  </si>
  <si>
    <t>China BlueChemical Ltd. (SEHK:3983)</t>
  </si>
  <si>
    <t>SEHK:3983</t>
  </si>
  <si>
    <t>The Stock Exchange of Hong Kong Ltd. (SEHK)</t>
  </si>
  <si>
    <t>Chemicals (Primary); Fertilizers and Agricultural Chemicals (Primary); Materials (Primary); Materials (Primary); Nitrogenous Fertilizers (Primary); Phosphatic Fertilizers (Primary); Air Freight and Logistics; Air Freight and Logistics; Capital Goods; Chemical And Fertilizer Mineral Mining; Chemical Distribution; Commodity Chemicals; Containers and Packaging; Diversified Metals and Mining; Industrial Gases; Industrial Organic Chemicals; Industrials; Marine Ports and Services; Metal and Glass Containers; Metals and Mining; Phosphate Rock; Plastic Bags; Plastic Packaging; Trading Companies and Distributors; Trading Companies and Distributors; Transportation; Transportation Infrastructure</t>
  </si>
  <si>
    <t>Associated International Hotels Limited (SEHK:105)</t>
  </si>
  <si>
    <t>SEHK:105</t>
  </si>
  <si>
    <t>The Stock Exchange of Hong Kong Ltd. (SEHK)</t>
  </si>
  <si>
    <t>Industrial Property Operators and Lessors (Primary); Nonresidential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</t>
  </si>
  <si>
    <t>Phoenix Media Investment (Holdings) Limited (SEHK:2008)</t>
  </si>
  <si>
    <t>SEHK:2008</t>
  </si>
  <si>
    <t>The Stock Exchange of Hong Kong Ltd. (SEHK)</t>
  </si>
  <si>
    <t>Broadcasting (Primary); Communication Services (Primary); Media (Primary); Media and Entertainment (Primary); Radio (Primary); Radio Broadcasting Stations (Primary); Television (Primary); Television Networks (Primary); Advertising; Aerospace and Defense; Aerospace and Defense; Application Software; Capital Goods; Commercial and Professional Services; Consumer Discretionary; Consumer Services; Diversified Consumer Services; Diversified Telecommunication Services; Education Services; Entertainment; Entertainment Production Companies; Entertainment Software; Industrials; Information Technology; Integrated Telecommunication Services; Interactive Home Entertainment; Interactive Media and Services; Interactive Media and Services; IT Consulting and Other Services; IT Services; Magazine Publishing; Movies and Entertainment; Newspaper and Magazine Publishing; Online Services; Passenger and Cargo Aircraft and Airplanes; Passenger and Cargo Aircraft Rental and Leasing; Periodical Publishing; Printed Media Publishing; Professional Services; Publishing; Real Estate; Real Estate; Real Estate Development; Real Estate Management and Development; Real Estate Operating Companies; Real Estate Operators And Lessors; Research and Consulting Services; Research, Development, and Testing Services; Software; Software and Services; Telecommunication Services; Television Production Companies</t>
  </si>
  <si>
    <t>China Motor Bus Company, Limited (SEHK:26)</t>
  </si>
  <si>
    <t>SEHK:26</t>
  </si>
  <si>
    <t>The Stock Exchange of Hong Kong Ltd. (SEHK)</t>
  </si>
  <si>
    <t>Diversified Real Estate Activities (Primary); Real Estate (Primary); Real Estate (Primary); Real Estate Management and Development (Primary); Apartment Building Operators and Lessors; Nonresidential Building Operators and Lessors; Office Building Operators and Lessors; Real Estate Development; Real Estate Operating Companies; Real Estate Operators And Lessors; Residential Building Operators and Lessors</t>
  </si>
  <si>
    <t>KuangChi Science Limited (SEHK:439)</t>
  </si>
  <si>
    <t>SEHK:439</t>
  </si>
  <si>
    <t>The Stock Exchange of Hong Kong Ltd. (SEHK)</t>
  </si>
  <si>
    <t>Aerospace and Defense (Primary); Aerospace and Defense (Primary); Capital Goods (Primary); Industrials (Primary); Application Software; Commercial and Professional Services; Commercial Services and Supplies; General Management Services; Information Technology; Office Services and Supplies; Real Estate; Real Estate; Real Estate Management and Development; Real Estate Operating Companies; Software; Software and Services</t>
  </si>
  <si>
    <t>Miramar Hotel and Investment Company, Limited (SEHK:71)</t>
  </si>
  <si>
    <t>SEHK:71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</si>
  <si>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</si>
  <si>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Travel Agencies (Primary); Travel and Tourism Services (Primary); Diversified Financial Services; Diversified Financials; Financials; Nonresidential Building Operators and Lessors; Office Building Operators and Lessors; Real Estate; Real Estate; Real Estate Management and Development; Real Estate Management Services; Real Estate Operating Companies; Real Estate Operators And Lessors; Restaurants; Shopping Mall Operators and Lessors; Specialized Finance</t>
  </si>
  <si>
    <t>Get Nice Financial Group Limited (SEHK:1469)</t>
  </si>
  <si>
    <t>SEHK:1469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</si>
  <si>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</si>
  <si>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Security Brokers and Dealers (Primary); Security Underwriting Services (Primary); Asset Management and Custody Banks; Real Estate; Real Estate; Real Estate Management and Development; Real Estate Operating Companies; Real Estate Operators And Lessors</t>
  </si>
  <si>
    <t>Wah Ha Realty Company Limited (SEHK:278)</t>
  </si>
  <si>
    <t>SEHK:278</t>
  </si>
  <si>
    <t>The Stock Exchange of Hong Kong Ltd. (SEHK)</t>
  </si>
  <si>
    <t>Diversified Real Estate Activities (Primary); Real Estate (Primary); Real Estate (Primary); Real Estate Management and Development (Primary); Capital Goods; Commercial Construction and Engineering; Commercial Construction, General Contractors and Operative Builders; Construction and Engineering; Construction and Engineering; Industrials; Nonresidential Building Operators and Lessors; Real Estate Development; Real Estate Management Services; Real Estate Operating Companies; Real Estate Operators And Lessors; Residential Building Operators and Lessors</t>
  </si>
  <si>
    <t>China Xinhua Education Group Limited (SEHK:2779)</t>
  </si>
  <si>
    <t>SEHK:2779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</si>
  <si>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</si>
  <si>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Vocational Schools (Primary); Commercial and Professional Services; Consulting Services; Industrials; Information Technology; IT Consulting and Other Services; IT Services; Management Consulting Services; Professional Services; Research and Consulting Services; Software and Services</t>
  </si>
  <si>
    <t>COSCO SHIPPING International (Hong Kong) Co., Ltd. (SEHK:517)</t>
  </si>
  <si>
    <t>SEHK:517</t>
  </si>
  <si>
    <t>The Stock Exchange of Hong Kong Ltd. (SEHK)</t>
  </si>
  <si>
    <t>Industrials (Primary); Marine Ports and Services (Primary); Transportation (Primary); Transportation Infrastructure (Primary); Capital Goods; Chemicals; Commercial and Professional Services; Communications Equipment Distribution; Consulting Services; Electronic Equipment, Instruments and Components; Energy; Energy; Financials; Industrial Coatings; Information Technology; Insurance; Insurance; Insurance Brokers; Materials; Materials; Oil and Gas Refining and Marketing; Oil and Gas Refining and Marketing; Oil, Gas and Consumable Fuels; Professional Services; Research and Consulting Services; Specialty Chemicals; Technology Distributors; Technology Hardware and Equipment; Trading Companies and Distributors; Trading Companies and Distributors; Transportation Equipment and Supplies Distribution</t>
  </si>
  <si>
    <t>Hong Kong Ferry (Holdings) Company Limited (SEHK:50)</t>
  </si>
  <si>
    <t>SEHK:50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</si>
  <si>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</si>
  <si>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Goods; Capital Markets; Construction Machinery and Heavy Trucks; Consumer Discretionary; Consumer Services; Distributors; Distributors; Diversified Consumer Services; Diversified Financial Services; Diversified Financials; Financials; Hotels, Restaurants and Leisure; Industrials; Machinery; Marine; Marine; Marine Transportation Equipment; Marine Transportation Of Freight; Motor Vehicle Parking; Motor Vehicle Repair and Services; Motor Vehicle Services; Real Estate Development; Real Estate Management Services; Real Estate Operating Companies; Real Estate Operators And Lessors; Restaurants; Retailing; Ship and Boat Repairing; Specialized Consumer Services; Specialized Finance; Trading Companies and Distributors; Trading Companies and Distributors; Transportation</t>
  </si>
  <si>
    <t>Sinopec Kantons Holdings Limited (SEHK:934)</t>
  </si>
  <si>
    <t>SEHK:934</t>
  </si>
  <si>
    <t>The Stock Exchange of Hong Kong Ltd. (SEHK)</t>
  </si>
  <si>
    <t>Energy (Primary); Energy (Primary); Oil and Gas Storage and Transportation (Primary); Oil, Gas and Consumable Fuels (Primary); Air Freight and Logistics; Air Freight and Logistics; Gas Utilities; Gas Utilities; Industrials; Natural Gas Transmission; Oil and Gas Distribution; Oil and Gas Refining and Marketing; Oil and Gas Refining and Marketing; Transportation; Utilities; Utilities</t>
  </si>
  <si>
    <t>Tai Cheung Holdings Limited (SEHK:88)</t>
  </si>
  <si>
    <t>SEHK:88</t>
  </si>
  <si>
    <t>The Stock Exchange of Hong Kong Ltd. (SEHK)</t>
  </si>
  <si>
    <t>Diversified Real Estate Activities (Primary); Real Estate (Primary); Real Estate (Primary); Real Estate Management and Development (Primary); Capital Goods; Commercial and Professional Services; Construction and Engineering; Construction and Engineering; Human Resource and Employment Services; Industrials; Land Sub Dividers And Developers; Land Sub Dividers and Developers, except Cemetery; Nonresidential Building Operators and Lessors; Professional Services; Real Estate Development; Real Estate Management Services; Real Estate Operating Companies; Real Estate Operators And Lessors; Residential Building Operators and Lessors; Secretarial Services</t>
  </si>
  <si>
    <t>Melbourne Enterprises Limited (SEHK:158)</t>
  </si>
  <si>
    <t>SEHK:158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</si>
  <si>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</si>
  <si>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</t>
  </si>
  <si>
    <t>IPE Group Limited (SEHK:929)</t>
  </si>
  <si>
    <t>SEHK:929</t>
  </si>
  <si>
    <t>The Stock Exchange of Hong Kong Ltd. (SEHK)</t>
  </si>
  <si>
    <t>Capital Goods (Primary); Industrial Machinery (Primary); Industrials (Primary); Machinery (Primary); Machinery Components (Primary); Auto Components; Auto Parts and Equipment; Automobiles and Components; Commercial and Professional Services; Commercial Services and Supplies; Consumer Discretionary; Diversified Metals and Mining; Diversified Support Services; Electronic Components; Electronic Components; Electronic Equipment, Instruments and Components; Fabricated Structural Metal Products; Information Technology; Materials; Materials; Metals and Mining; Technology Hardware and Equipment; Trading Companies and Distributors; Trading Companies and Distributors</t>
  </si>
  <si>
    <t>Capital Industrial Financial Services Group Limited (SEHK:730)</t>
  </si>
  <si>
    <t>SEHK:730</t>
  </si>
  <si>
    <t>The Stock Exchange of Hong Kong Ltd. (SEHK)</t>
  </si>
  <si>
    <t>Consumer Finance (Primary); Consumer Finance (Primary); Diversified Financials (Primary); Financials (Primary); Asset Management and Custody Banks; Business Credit Agencies; Capital Markets; Commercial and Professional Services; Commercial Services and Supplies; Credit Agencies; Diversified Financial Services; Finance Leasing; General Management Services; Industrials; Nonresidential Building Operators and Lessors; Office Services and Supplies; Real Estate; Real Estate; Real Estate Management and Development; Real Estate Management Services; Real Estate Operating Companies; Real Estate Operators And Lessors; Real Estate Services; Residential Building Operators and Lessors; Specialized Finance</t>
  </si>
  <si>
    <t>Chen Hsong Holdings Limited (SEHK:57)</t>
  </si>
  <si>
    <t>SEHK:57</t>
  </si>
  <si>
    <t>The Stock Exchange of Hong Kong Ltd. (SEHK)</t>
  </si>
  <si>
    <t>Capital Goods (Primary); Chemical Processing Machinery and Equipment (Primary); Fluid Power Pumps and Motors (Primary); Industrial Machinery (Primary); Industrials (Primary); Injection Molding Machinery and Equipment (Primary); Machinery (Primary); Machinery Components (Primary); Pumps and Pumping Equipment (Primary); Rubber and Plastics Processing Machinery (Primary); Diversified Metal Foundries And Castings; Diversified Metals and Mining; Materials; Materials; Metals and Mining; Real Estate; Real Estate; Real Estate Management and Development; Real Estate Operating Companies; Real Estate Operators And Lessors; Rolling, Drawing, And Extruding Of Diversified Metals</t>
  </si>
  <si>
    <t>Tian Teck Land Limited (SEHK:266)</t>
  </si>
  <si>
    <t>SEHK:266</t>
  </si>
  <si>
    <t>The Stock Exchange of Hong Kong Ltd. (SEHK)</t>
  </si>
  <si>
    <t>China Rare Earth Holdings Limited (SEHK:769)</t>
  </si>
  <si>
    <t>SEHK:769</t>
  </si>
  <si>
    <t>The Stock Exchange of Hong Kong Ltd. (SEHK)</t>
  </si>
  <si>
    <t>Diversified Metals and Mining (Primary); Materials (Primary); Materials (Primary); Metals and Mining (Primary); Capital Goods; Clay Refractories; Clays; Construction Materials; Construction Materials; Industrials; Structural Clay Products; Trading Companies and Distributors; Trading Companies and Distributors</t>
  </si>
  <si>
    <t>Shenguan Holdings (Group) Limited (SEHK:829)</t>
  </si>
  <si>
    <t>SEHK:829</t>
  </si>
  <si>
    <t>The Stock Exchange of Hong Kong Ltd. (SEHK)</t>
  </si>
  <si>
    <t>Consumer Staples (Primary); Food Products (Primary); Food, Beverage and Tobacco (Primary); Meat Products (Primary); Meats, Meat Processing And Meat Related Products (Primary); Packaged Foods and Meats (Primary); Sausage and Hot Dogs (Primary); Beauty Care Products; Chemicals; Health Care; Household and Personal Products; Materials; Materials; Medicinal Chemicals and Botanical Products; Personal Products; Personal Products; Pharmaceutical Products; Pharmaceuticals; Pharmaceuticals; Pharmaceuticals, Biotechnology and Life Sciences; Skin Care Products; Specialty Chemicals</t>
  </si>
  <si>
    <t>Tianjin Jinran Public Utilities Company Limited (SEHK:1265)</t>
  </si>
  <si>
    <t>SEHK:1265</t>
  </si>
  <si>
    <t>The Stock Exchange of Hong Kong Ltd. (SEHK)</t>
  </si>
  <si>
    <t>Gas Utilities (Primary); Gas Utilities (Primary); Oil and Gas Distribution (Primary); Utilities (Primary); Utilities (Primary); Consumer Discretionary; Distributors; Distributors; Diversified Metals and Mining; Durable Goods Distribution; Energy; Energy; Household Durables Distribution; Materials; Materials; Metals and Mining; Natural Gas Pipelines; Nonresidential Building Operators and Lessors; Oil and Gas Storage and Transportation; Oil, Gas and Consumable Fuels; Real Estate; Real Estate; Real Estate Management and Development; Real Estate Operating Companies; Real Estate Operators And Lessors; Retailing</t>
  </si>
  <si>
    <t>Fountain Set (Holdings) Limited (SEHK:420)</t>
  </si>
  <si>
    <t>SEHK:420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</si>
  <si>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</si>
  <si>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Apparel; Apparel and Textile Distribution; Apparel, Accessories and Luxury Goods; Capital Goods; Chemical Distribution; Distributors; Distributors; Durable Goods Distribution; Industrials; Retailing; Trading Companies and Distributors; Trading Companies and Distributors; Utilities; Utilities; Water Utilities; Water Utilities</t>
  </si>
  <si>
    <t>Singamas Container Holdings Limited (SEHK:716)</t>
  </si>
  <si>
    <t>SEHK:716</t>
  </si>
  <si>
    <t>The Stock Exchange of Hong Kong Ltd. (SEHK)</t>
  </si>
  <si>
    <t>Capital Goods (Primary); Industrial Machinery (Primary); Industrials (Primary); Machinery (Primary); Commercial and Professional Services; Commercial Repair Services; Commercial Services and Supplies; Diversified Metals and Mining; Diversified Support Services; Fabricated Structural Metal Products; General Management Services; Heavy Gauge Tanks; Human Resource and Employment Services; Human Resources and Personnel Management; Marine Ports and Services; Materials; Materials; Metals and Mining; Office Services and Supplies; Professional Services; Real Estate; Real Estate; Real Estate Management and Development; Real Estate Operating Companies; Real Estate Operators And Lessors; Road and Rail; Transportation; Transportation Infrastructure; Trucking; Warehousing and Storage</t>
  </si>
  <si>
    <t>China Starch Holdings Limited (SEHK:3838)</t>
  </si>
  <si>
    <t>SEHK:3838</t>
  </si>
  <si>
    <t>The Stock Exchange of Hong Kong Ltd. (SEHK)</t>
  </si>
  <si>
    <t>Consumer Staples (Primary); Food Products (Primary); Food, Beverage and Tobacco (Primary); Grain Mill Products (Primary); Packaged Foods and Meats (Primary); Sweeteners (Primary); Biochemical Polymers; Chemicals; Commodity Chemicals; Materials; Materials; Polymers</t>
  </si>
  <si>
    <t>APT Satellite Holdings Limited (SEHK:1045)</t>
  </si>
  <si>
    <t>SEHK:1045</t>
  </si>
  <si>
    <t>The Stock Exchange of Hong Kong Ltd. (SEHK)</t>
  </si>
  <si>
    <t>Alternative Carriers (Primary); Broadband Telecommunications Services (Primary); Communication Services (Primary); Digital Telecommunications Services (Primary); Diversified Telecommunication Services (Primary); Satellite Communication Services (Primary); Telecommunication Services (Primary); Cable and Satellite; Co-location/Data Centers; Commercial and Professional Services; Consulting Services; Industrials; Information Technology; Internet Services and Infrastructure; IT Services; Management Consulting Services; Media; Media and Entertainment; Professional Services; Real Estate; Real Estate; Real Estate Management and Development; Real Estate Operating Companies; Real Estate Operators And Lessors; Research and Consulting Services; Software and Services</t>
  </si>
  <si>
    <t>New Silkroad Culturaltainment Limited (SEHK:472)</t>
  </si>
  <si>
    <t>SEHK:472</t>
  </si>
  <si>
    <t>The Stock Exchange of Hong Kong Ltd. (SEHK)</t>
  </si>
  <si>
    <t>Beverages (Primary); Consumer Staples (Primary); Distillers and Vintners (Primary); Food, Beverage and Tobacco (Primary); Wine (Primary); Consumer Discretionary; Consumer Services; Food and Staples Retailing; Food and Staples Retailing; Food Distribution; Food Distributors; Hotels And Motels; Hotels, Resorts and Cruise Lines; Hotels, Restaurants and Leisure; Lodging; Real Estate; Real Estate; Real Estate Development; Real Estate Management and Development; Real Estate Operating Companies; Real Estate Operators And Lessors; Resorts; Tour Operators; Travel and Tourism Services</t>
  </si>
  <si>
    <t>Time Watch Investments Limited (SEHK:2033)</t>
  </si>
  <si>
    <t>SEHK:2033</t>
  </si>
  <si>
    <t>The Stock Exchange of Hong Kong Ltd. (SEHK)</t>
  </si>
  <si>
    <t>Apparel, Accessories and Luxury Goods (Primary); Consumer Discretionary (Primary); Consumer Durables and Apparel (Primary); Jewelry, Timepieces and Gemstone Products (Primary); Textiles, Apparel and Luxury Goods (Primary); Timepieces (Primary); Watches (Primary); Advertising; Apparel Retail; Commercial and Professional Services; Communication Services; Consulting Services; Distributors; Distributors; Durable Goods Distribution; Industrials; Internet and Direct Marketing Retail; Internet and Direct Marketing Retail; Jewelry, Timepieces and Gemstone Product Distribution; Marketing Services; Media; Media and Entertainment; Online Accessory Retail; Online Apparel and Accessory Retail; Online Specialty Retail; Professional Services; Real Estate; Real Estate; Real Estate Management and Development; Real Estate Operating Companies; Real Estate Operators And Lessors; Research and Consulting Services; Retailing; Specialty Retail; Watch and Timepiece Stores</t>
  </si>
  <si>
    <t>APAC Resources Limited (SEHK:1104)</t>
  </si>
  <si>
    <t>SEHK:1104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</si>
  <si>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</si>
  <si>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Consulting Services; Diversified Financials; Diversified Metals and Mining; Financials; Materials; Materials; Metals and Mining; Professional Services; Research and Consulting Services</t>
  </si>
  <si>
    <t>Wealthking Investments Limited (SEHK:1140)</t>
  </si>
  <si>
    <t>SEHK:1140</t>
  </si>
  <si>
    <t>The Stock Exchange of Hong Kong Ltd. (SEHK)</t>
  </si>
  <si>
    <t>Qingling Motors Co., Ltd. (SEHK:1122)</t>
  </si>
  <si>
    <t>SEHK:1122</t>
  </si>
  <si>
    <t>The Stock Exchange of Hong Kong Ltd. (SEHK)</t>
  </si>
  <si>
    <t>Automobile Manufacturers (Primary); Automobiles (Primary); Automobiles and Components (Primary); Consumer Discretionary (Primary); Passenger Motor Vehicles (Primary); Auto Components; Auto Parts and Equipment; Automotive Retail; Capital Goods; Construction Machinery and Heavy Trucks; Die Sets, Jigs and Industrial Molds; Heavy Duty Trucks; Industrial Machinery; Industrials; Machinery; Metalworking Machinery and Equipment; Motor Vehicle Accessories; Motor Vehicle Retail; Retailing; Specialty Retail</t>
  </si>
  <si>
    <t>Continental Aerospace Technologies Holding Limited (SEHK:232)</t>
  </si>
  <si>
    <t>SEHK:232</t>
  </si>
  <si>
    <t>The Stock Exchange of Hong Kong Ltd. (SEHK)</t>
  </si>
  <si>
    <t>Aerospace and Defense (Primary); Aerospace and Defense (Primary); Aircraft Engines and Engine Parts (Primary); Aircraft Systems, Components and Equipment (Primary); Capital Goods (Primary); Industrials (Primary); Aircraft Maintenance and Repair; Airport Services; Real Estate; Real Estate; Real Estate Development; Real Estate Management and Development; Transportation; Transportation Infrastructure</t>
  </si>
  <si>
    <t>Oshidori International Holdings Limited (SEHK:622)</t>
  </si>
  <si>
    <t>SEHK:622</t>
  </si>
  <si>
    <t>The Stock Exchange of Hong Kong Ltd. (SEHK)</t>
  </si>
  <si>
    <t>Consumer Finance (Primary); Consumer Finance (Primary); Diversified Financials (Primary); Financials (Primary); Asset Management and Custody Banks; Capital Markets; Commercial and Professional Services; Commercial Services and Supplies; Consulting Services; General Management Services; Industrials; Investment Banking; Investment Banking and Brokerage; Investment Brokerage Services; Motor Vehicle Rental and Leasing; Office Services and Supplies; Professional Services; Research and Consulting Services; Road and Rail; Securities and Commodities Markets Services; Security Brokers and Dealers; Security Underwriting Services; Transportation; Trucking</t>
  </si>
  <si>
    <t>Lippo China Resources Limited (SEHK:156)</t>
  </si>
  <si>
    <t>SEHK:156</t>
  </si>
  <si>
    <t>The Stock Exchange of Hong Kong Ltd. (SEHK)</t>
  </si>
  <si>
    <t>Consumer Staples (Primary); Food and Staples Retailing (Primary); Food and Staples Retailing (Primary); Food Distribution (Primary); Food Distributors (Primary); Groceries and Related Product Distribution (Primary); Asset Management and Custody Banks; Capital Markets; Commercial and Professional Services; Consulting Services; Consumer Discretionary; Consumer Services; Development Tools; Diversified Financial Services; Diversified Financials; Diversified Metal Ores; Diversified Metals and Mining; Diversified Real Estate Activities; Financials; Food Products; Food Retail; Food, Beverage and Tobacco; Hotels, Restaurants and Leisure; Industrials; Information Technology; Investment Banking and Brokerage; Materials; Materials; Metals and Mining; Packaged Foods and Meats; Professional Services; Real Estate; Real Estate; Real Estate Agents And Brokers; Real Estate Development; Real Estate Management and Development; Real Estate Management Services; Real Estate Operating Companies; Real Estate Operators And Lessors; Real Estate Services; Research and Consulting Services; Restaurants; Securities and Commodities Markets Services; Software; Software and Services; Software Development; Specialized Finance; Systems Software</t>
  </si>
  <si>
    <t>Asia Financial Holdings Limited (SEHK:662)</t>
  </si>
  <si>
    <t>SEHK:662</t>
  </si>
  <si>
    <t>The Stock Exchange of Hong Kong Ltd. (SEHK)</t>
  </si>
  <si>
    <t>Financials (Primary); Insurance (Primary); Insurance (Primary); Multi-line Insurance (Primary); Banks; Capital Markets; Diversified Financials; Health Care; Health Care Equipment and Services; Health Care Providers and Services; Health Care Services; Investment Banking and Brokerage; Life and Health Insurance; Life Insurance; Mortgage Bankers and Loan Correspondents; Property and Casualty Insurance; Real Estate; Real Estate; Real Estate Management and Development; Real Estate Operating Companies; Real Estate Operators And Lessors; Securities and Commodities Markets Services; Thrifts and Mortgage Finance; Thrifts and Mortgage Finance</t>
  </si>
  <si>
    <t>Chu Kong Shipping Enterprises (Group) Company Limited (SEHK:560)</t>
  </si>
  <si>
    <t>SEHK:560</t>
  </si>
  <si>
    <t>The Stock Exchange of Hong Kong Ltd. (SEHK)</t>
  </si>
  <si>
    <t>Cargo or Container Ships (Primary); Ferries (Primary); Industrials (Primary); Marine (Primary); Marine (Primary); Marine Transportation Of Freight (Primary); Marine Transportation Of Passengers (Primary); Transportation (Primary); Air Freight and Logistics; Air Freight and Logistics; Commercial and Professional Services; Commercial Services and Supplies; Consumer Discretionary; Consumer Services; Diversified Support Services; Energy; Energy; Hotels, Resorts and Cruise Lines; Hotels, Restaurants and Leisure; Information Technology; IT Consulting and Other Services; IT Services; Marine Ports and Services; Oil and Gas Refining and Marketing; Oil, Gas and Consumable Fuels; Real Estate; Real Estate; Real Estate Management and Development; Real Estate Operating Companies; Real Estate Operators And Lessors; Road and Rail; Road Transportation of Freight; Software and Services; Tour Operators; Transportation Infrastructure; Travel Agencies; Travel and Tourism Services; Trucking; Warehousing and Storage</t>
  </si>
  <si>
    <t>Asia Cement (China) Holdings Corporation (SEHK:743)</t>
  </si>
  <si>
    <t>SEHK:743</t>
  </si>
  <si>
    <t>The Stock Exchange of Hong Kong Ltd. (SEHK)</t>
  </si>
  <si>
    <t>Cement, Hydraulic (Primary); Concrete (Primary); Construction Materials (Primary); Construction Materials (Primary); Limestone (Primary); Materials (Primary); Materials (Primary); Ready-Mixed Concrete (Primary); Stone Materials (Primary); Industrials; Road and Rail; Transportation; Trucking</t>
  </si>
  <si>
    <t>Texwinca Holdings Limited (SEHK:321)</t>
  </si>
  <si>
    <t>SEHK:321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</si>
  <si>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</si>
  <si>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 and Textile Distribution; Apparel Retail; Capital Goods; Commercial and Professional Services; Commercial Services and Supplies; Distributors; Distributors; Diversified Financial Services; Diversified Financials; Durable Goods Distribution; Financials; General Management Services; Industrials; Investment Services and Holding Companies; Machinery Distribution; Multi-Sector Holdings; Office Services and Supplies; Patent Owners and Lessors; Real Estate; Real Estate; Real Estate Management and Development; Real Estate Operating Companies; Real Estate Operators And Lessors; Retailing; Specialty Retail; Trading Companies and Distributors; Trading Companies and Distributors</t>
  </si>
  <si>
    <t>Hung Hing Printing Group Limited (SEHK:450)</t>
  </si>
  <si>
    <t>SEHK:450</t>
  </si>
  <si>
    <t>The Stock Exchange of Hong Kong Ltd. (SEHK)</t>
  </si>
  <si>
    <t>Containers and Packaging (Primary); Converted Paper And Paperboard Products (Primary); Corrugated And Solid Fiber Boxes (Primary); Materials (Primary); Materials (Primary); Paper Packaging (Primary); Paperboard Containers And Boxes (Primary); Setup Paperboard Boxes (Primary); Book Printing; Capital Goods; Commercial and Professional Services; Commercial Printing; Commercial Services and Supplies; Communication Services; Consumer Discretionary; Diversified Support Services; Greeting Card Printing; Industrials; Internet and Direct Marketing Retail; Internet and Direct Marketing Retail; Media; Media and Entertainment; Paper and Forest Product Distribution; Printing Services; Publication Printing; Published Electronic Materials; Publishing; Retailing; Stationery and Business Form Printing; Trading Companies and Distributors; Trading Companies and Distributors; Typesetting</t>
  </si>
  <si>
    <t>C.banner International Holdings Limited (SEHK:1028)</t>
  </si>
  <si>
    <t>SEHK:1028</t>
  </si>
  <si>
    <t>The Stock Exchange of Hong Kong Ltd. (SEHK)</t>
  </si>
  <si>
    <t>Consumer Discretionary (Primary); Consumer Durables and Apparel (Primary); Footwear (Primary); Textiles, Apparel and Luxury Goods (Primary); Women's and Girls' Footwear (Primary); Apparel Retail; Hobbies, Games and Toy Stores; Leisure Equipment Stores; Retailing; Shoe Stores; Specialty Retail; Specialty Stores; Women's Shoe Stores</t>
  </si>
  <si>
    <t>BabyTree Group (SEHK:1761)</t>
  </si>
  <si>
    <t>SEHK:1761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</si>
  <si>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</si>
  <si>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Consumer Discretionary; Diversified Financial Services; Diversified Financials; Financials; Internet and Direct Marketing Retail; Internet and Direct Marketing Retail; Marketing Services; Media; Retailing; Specialized Finance</t>
  </si>
  <si>
    <t>Mason Group Holdings Limited (SEHK:273)</t>
  </si>
  <si>
    <t>SEHK:273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</si>
  <si>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</si>
  <si>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Asset Management and Custody Banks; Consumer Discretionary; Consumer Finance; Consumer Finance; Consumer Staples; Diversified Financial Services; Food and Staples Retailing; Food and Staples Retailing; Food Products; Food Retail; Food, Beverage and Tobacco; Grocery Stores; Health Care; Health Care Equipment and Services; Health Care Providers and Services; Health Care Services; Health Food Stores; Household and Personal Products; Infant Food; Investment Advice; Investment Services and Holding Companies; Medical Laboratory Services; Multi-Sector Holdings; Packaged Foods and Meats; Patent Owners and Lessors; Personal Products; Personal Products; Prepared and Preserved Foods; Retailing; Specialized Finance; Specialty Retail; Specialty Stores; Vitamins and Nutritional Supplements</t>
  </si>
  <si>
    <t>Hengdeli Holdings Limited (SEHK:3389)</t>
  </si>
  <si>
    <t>SEHK:3389</t>
  </si>
  <si>
    <t>The Stock Exchange of Hong Kong Ltd. (SEHK)</t>
  </si>
  <si>
    <t>Consumer Discretionary (Primary); Retailing (Primary); Specialty Retail (Primary); Specialty Stores (Primary); Apparel Retail; Apparel, Accessories and Luxury Goods; Consumer Durables and Apparel; Containers and Packaging; Jewelry, Timepieces and Gemstone Products; Materials; Materials; Paper Packaging; Textiles, Apparel and Luxury Goods; Timepieces; Watch and Clock parts; Watch and Timepiece Stores; Watches</t>
  </si>
  <si>
    <t>Asiasec Properties Limited (SEHK:271)</t>
  </si>
  <si>
    <t>SEHK:271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</si>
  <si>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</si>
  <si>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Diversified Financial Services; Diversified Financials; Financials; Specialized Finance</t>
  </si>
  <si>
    <t>Rizhao Port Jurong Co., Ltd. (SEHK:6117)</t>
  </si>
  <si>
    <t>SEHK:6117</t>
  </si>
  <si>
    <t>The Stock Exchange of Hong Kong Ltd. (SEHK)</t>
  </si>
  <si>
    <t>Industrials (Primary); Marine Cargo Services (Primary); Marine Ports and Services (Primary); Transportation (Primary); Transportation Infrastructure (Primary); Marine; Marine; Marine Transportation Of Freight; Marine Transportation Of Passengers</t>
  </si>
  <si>
    <t>Safety Godown Company, Limited (SEHK:237)</t>
  </si>
  <si>
    <t>SEHK:237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</si>
  <si>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</si>
  <si>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Commercial and Professional Services; Commercial Services and Supplies; Diversified Financials; Diversified Support Services; Financials; Industrials; Investment Banking and Brokerage; Public Warehousing and Storage; Securities and Commodities Markets Services; Warehousing and Storage</t>
  </si>
  <si>
    <t>Get Nice Holdings Limited (SEHK:64)</t>
  </si>
  <si>
    <t>SEHK:64</t>
  </si>
  <si>
    <t>The Stock Exchange of Hong Kong Ltd. (SEHK)</t>
  </si>
  <si>
    <t>Capital Markets (Primary); Commodity Contract Services (Primary); Diversified Financials (Primary); Financials (Primary); Investment Banking (Primary); Investment Banking and Brokerage (Primary); Private Placement Advisory Services (Primary); Securities and Commodities Markets Services (Primary); Security Brokers and Dealers (Primary); Security Underwriting Services (Primary); Asset Management and Custody Banks; Banks; Business Credit Agencies; Consumer Finance; Consumer Finance; Credit Agencies; Diversified Financial Services; Personal Credit Agencies; Personal Loan Services; Real Estate; Real Estate; Real Estate Agents And Brokers; Real Estate Development; Real Estate Management and Development; Real Estate Operating Companies; Real Estate Operators And Lessors; Real Estate Services; Specialized Finance; Thrifts and Mortgage Finance; Thrifts and Mortgage Finance</t>
  </si>
  <si>
    <t>Goldlion Holdings Limited (SEHK:533)</t>
  </si>
  <si>
    <t>SEHK:533</t>
  </si>
  <si>
    <t>The Stock Exchange of Hong Kong Ltd. (SEHK)</t>
  </si>
  <si>
    <t>Accessory Stores (Primary); Apparel Retail (Primary); Consumer Discretionary (Primary); Luggage and Leather Goods Stores (Primary); Retailing (Primary); Specialty Retail (Primary); Accessories; Apparel; Apparel, Accessories and Luxury Goods; Consumer Durables and Apparel; Diversified Financial Services; Diversified Financials; Financials; Internet and Direct Marketing Retail; Internet and Direct Marketing Retail; Investment Services and Holding Companies; Leather and Leather Products; Multi-Sector Holdings; Online Accessory Retail; Online Apparel and Accessory Retail; Online Apparel Retail; Online Luggage and Leather Goods Retail; Online Specialty Retail; Patent Owners and Lessors; Real Estate; Real Estate; Real Estate Development; Real Estate Management and Development; Real Estate Management Services; Real Estate Operating Companies; Real Estate Operators And Lessors; Textile Mill Products; Textiles; Textiles, Apparel and Luxury Goods</t>
  </si>
  <si>
    <t>China Strategic Holdings Limited (SEHK:235)</t>
  </si>
  <si>
    <t>SEHK:235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</si>
  <si>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</si>
  <si>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Commercial Electronics Distribution; Commercial Services and Supplies; Consumer Finance; Consumer Finance; Diversified Financial Services; Diversified Financials; Electronic Equipment, Instruments and Components; Financials; General Management Services; Information Technology; Investment Banking; Investment Banking and Brokerage; Office Services and Supplies; Securities and Commodities Markets Services; Security Brokers; Security Brokers and Dealers; Security Underwriting Services; Specialized Finance; Technology Distributors; Technology Hardware and Equipment</t>
  </si>
  <si>
    <t>China Merchants China Direct Investments Limited (SEHK:133)</t>
  </si>
  <si>
    <t>SEHK:133</t>
  </si>
  <si>
    <t>The Stock Exchange of Hong Kong Ltd. (SEHK)</t>
  </si>
  <si>
    <t>Diversified Financial Services (Primary); Diversified Financials (Primary); Financials (Primary); Multi-Sector Holdings (Primary); Asset Management and Custody Banks; Capital Markets; Investment Funds</t>
  </si>
  <si>
    <t>Yuxing InfoTech Investment Holdings Limited (SEHK:8005)</t>
  </si>
  <si>
    <t>SEHK:8005</t>
  </si>
  <si>
    <t>The Stock Exchange of Hong Kong Ltd. (SEHK)</t>
  </si>
  <si>
    <t>Audio Equipment (Primary); Consumer Discretionary (Primary); Consumer Durables and Apparel (Primary); Consumer Electronics (Primary); Household Durables (Primary); Video Equipment (Primary); Asset Management and Custody Banks; Cable Network Equipment; Capital Goods; Capital Markets; Commercial and Professional Services; Commercial Electronics Distribution; Communications Equipment; Communications Equipment; Diversified Financials; Electronic Equipment, Instruments and Components; Financials; Industrials; Information Technology; Information Technology (IT) Consulting; Investment Banking and Brokerage; IT Consulting and Other Services; IT Services; Networking Equipment; Professional Services; Real Estate; Real Estate; Real Estate Management and Development; Real Estate Operating Companies; Real Estate Operators And Lessors; Research and Consulting Services; Securities and Commodities Markets Services; Services Outsourcing; Software and Services; Technology Distributors; Technology Hardware and Equipment; Trading Companies and Distributors; Trading Companies and Distributors</t>
  </si>
  <si>
    <t>Summit Ascent Holdings Limited (SEHK:102)</t>
  </si>
  <si>
    <t>SEHK:102</t>
  </si>
  <si>
    <t>The Stock Exchange of Hong Kong Ltd. (SEHK)</t>
  </si>
  <si>
    <t>Casinos and Gaming (Primary); Consumer Discretionary (Primary); Consumer Services (Primary); Gaming Operations (Primary); Hotels, Restaurants and Leisure (Primary); Apparel Retail; Beauty Care Services; Beauty, Hair and Nail Salons; Beverage and Tobacco Bars; Bus Transportation; Commercial and Professional Services; Commercial Services and Supplies; Diversified Consumer Services; General Management Services; Hotels And Motels; Hotels, Resorts and Cruise Lines; Industrials; Lodging; Office Services and Supplies; Pubs, Bars and Taverns; Resorts; Restaurants; Retailing; Road and Rail; Road Transportation of Passengers; Specialized Consumer Services; Specialty Retail; Transportation; Trucking; Watch and Timepiece Stores</t>
  </si>
  <si>
    <t>Tian Ge Interactive Holdings Limited (SEHK:1980)</t>
  </si>
  <si>
    <t>SEHK:1980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</si>
  <si>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</si>
  <si>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Application Software; Asset Management and Custody Banks; Capital Markets; Computer and Mobile Games; Consumer Digital Lending; Consumer Finance; Consumer Finance; Development Consulting; Diversified Financials; Entertainment; Entertainment Software; Financials; Information Technology; Information Technology (IT) Consulting; Interactive Home Entertainment; Internet Software; IT Consulting and Other Services; IT Services; Media; Personal Credit Agencies; Services Outsourcing; Software; Software and Services</t>
  </si>
  <si>
    <t>China Ting Group Holdings Limited (SEHK:3398)</t>
  </si>
  <si>
    <t>SEHK:3398</t>
  </si>
  <si>
    <t>The Stock Exchange of Hong Kong Ltd. (SEHK)</t>
  </si>
  <si>
    <t>Apparel (Primary); Apparel, Accessories and Luxury Goods (Primary); Consumer Discretionary (Primary); Consumer Durables and Apparel (Primary); Textiles, Apparel and Luxury Goods (Primary); Apparel and Textile Distribution; Apparel Retail; Distributors; Distributors; Diversified Financial Services; Diversified Financials; Durable Goods Distribution; Dyeing and Finishing Textiles; Fabrics; Financials; Internet and Direct Marketing Retail; Internet and Direct Marketing Retail; Investment Services and Holding Companies; Multi-Sector Holdings; Online Apparel and Accessory Retail; Online Apparel Retail; Online Specialty Retail; Patent Owners and Lessors; Real Estate; Real Estate; Real Estate Management and Development; Real Estate Operating Companies; Real Estate Operators And Lessors; Retailing; Specialty Retail; Textile Mill Products; Textile Mills; Textiles</t>
  </si>
  <si>
    <t>Playmates Holdings Limited (SEHK:635)</t>
  </si>
  <si>
    <t>SEHK:635</t>
  </si>
  <si>
    <t>The Stock Exchange of Hong Kong Ltd. (SEHK)</t>
  </si>
  <si>
    <t>Consumer Discretionary (Primary); Consumer Durables and Apparel (Primary); Hobbies, Toys and Games (Primary); Leisure Products (Primary); Leisure Products (Primary); Sporting and Recreational Goods (Primary); Asset Management and Custody Banks; Capital Markets; Diversified Financials; Financials; Nonresidential Building Operators and Lessors; Real Estate; Real Estate; Real Estate Management and Development; Real Estate Management Services; Real Estate Operating Companies; Real Estate Operators And Lessors; Residential Building Operators and Lessors</t>
  </si>
  <si>
    <t>Ajisen (China) Holdings Limited (SEHK:538)</t>
  </si>
  <si>
    <t>SEHK:538</t>
  </si>
  <si>
    <t>The Stock Exchange of Hong Kong Ltd. (SEHK)</t>
  </si>
  <si>
    <t>Consumer Discretionary (Primary); Consumer Services (Primary); Fast-Food Restaurants (Primary); Hotels, Restaurants and Leisure (Primary); Limited Service Restaurants (Primary); Restaurants (Primary); Asset Management and Custody Banks; Capital Markets; Consumer Staples; Diversified Financials; Financials; Food and Staples Retailing; Food and Staples Retailing; Food Distribution; Food Distributors; Food Products; Food, Beverage and Tobacco; Groceries and Related Product Distribution; Packaged Foods and Meats; Prepared and Preserved Foods; Real Estate; Real Estate; Real Estate Management and Development; Real Estate Operating Companies; Real Estate Operators And Lessors</t>
  </si>
  <si>
    <t>Wing On Company International Limited (SEHK:289)</t>
  </si>
  <si>
    <t>SEHK:289</t>
  </si>
  <si>
    <t>The Stock Exchange of Hong Kong Ltd. (SEHK)</t>
  </si>
  <si>
    <t>Consumer Discretionary (Primary); Department Stores (Primary); Multiline Retail (Primary); Retailing (Primary); Capital Markets; Diversified Financial Services; Diversified Financials; Financials; Information Technology; Internet and Direct Marketing Retail; Internet and Direct Marketing Retail; Investment Banking and Brokerage; Investment Services and Holding Companies; IT Consulting and Other Services; IT Services; Multi-Sector Holdings; Nonresidential Building Operators and Lessors; Online Specialty Retail; Patent Owners and Lessors; Real Estate; Real Estate; Real Estate Management and Development; Real Estate Management Services; Real Estate Operating Companies; Real Estate Operators And Lessors; Securities and Commodities Markets Services; Security Brokers; Security Brokers and Dealers; Software and Services; Trusts</t>
  </si>
  <si>
    <t>Huisen Household International Group Limited (SEHK:2127)</t>
  </si>
  <si>
    <t>SEHK:2127</t>
  </si>
  <si>
    <t>The Stock Exchange of Hong Kong Ltd. (SEHK)</t>
  </si>
  <si>
    <t>Consumer Discretionary (Primary); Consumer Durables and Apparel (Primary); Home Furnishings (Primary); Household Durables (Primary); Metal Household Furniture (Primary); Metal Tables (Primary); Outdoor Furniture (Primary); Upholstery (Primary); Wood Household Furniture (Primary); Wood Household Furniture, Upholstered (Primary); Wood Tables (Primary); Bookcases; Classroom and Institutional Furniture; Commercial and Professional Services; Commercial Services and Supplies; Desks; Industrials; Office Furnishings; Office Furnishings and Equipment; Office Services and Supplies; Wood Office Furniture</t>
  </si>
  <si>
    <t>GDH Guangnan (Holdings) Limited (SEHK:1203)</t>
  </si>
  <si>
    <t>SEHK:1203</t>
  </si>
  <si>
    <t>The Stock Exchange of Hong Kong Ltd. (SEHK)</t>
  </si>
  <si>
    <t>Cold-Rolled Steel Sheet, Strip, And Bars (Primary); Materials (Primary); Materials (Primary); Metals and Mining (Primary); Steel (Primary); Steel Nails, Spikes, And Wire (Primary); Steel Wire Drawing, Nails and Spikes (Primary); Steel Works, Blast Furnaces, And Finishing Mills (Primary); Steel Works, Blast Furnaces, And Rolling Mills (Primary); Agricultural Products; Animal Feed; Consumer Staples; Factory Outlet Center Operators and Lessors; Food and Staples Retailing; Food and Staples Retailing; Food Distribution; Food Distributors; Food Products; Food, Beverage and Tobacco; Grain And Field Beans; Groceries and Related Product Distribution; Meat Processing; Meat Slaughtering; Meats, Meat Processing And Meat Related Products; Nonresidential Building Operators and Lessors; Office Building Operators and Lessors; Packaged Foods and Meats; Real Estate; Real Estate; Real Estate Management and Development; Real Estate Operating Companies; Real Estate Operators And Lessors</t>
  </si>
  <si>
    <t>DaChan Food (Asia) Limited (SEHK:3999)</t>
  </si>
  <si>
    <t>SEHK:3999</t>
  </si>
  <si>
    <t>The Stock Exchange of Hong Kong Ltd. (SEHK)</t>
  </si>
  <si>
    <t>Animal Feed (Primary); Consumer Staples (Primary); Dairy Products (Primary); Dairy Products and Eggs (Primary); Eggs and Egg Products (Primary); Food Products (Primary); Food, Beverage and Tobacco (Primary); Frozen Foods (Primary); Livestock And Animal Specialties (Primary); Livestock Feed (Primary); Meats, Meat Processing And Meat Related Products (Primary); Packaged Foods and Meats (Primary); Poultry Processing (Primary); Prepared and Preserved Foods (Primary); Seafood, Seafood Processing and Seafood Products (Primary); Food and Staples Retailing; Food and Staples Retailing; Food Retail; Health Care; Nonresidential Building Operators and Lessors; Pharmaceuticals; Pharmaceuticals; Pharmaceuticals, Biotechnology and Life Sciences; Real Estate; Real Estate; Real Estate Management and Development; Real Estate Operating Companies; Real Estate Operators And Lessors; Veterinary Drugs</t>
  </si>
  <si>
    <t>Luks Group (Vietnam Holdings) Company Limited (SEHK:366)</t>
  </si>
  <si>
    <t>SEHK:366</t>
  </si>
  <si>
    <t>The Stock Exchange of Hong Kong Ltd. (SEHK)</t>
  </si>
  <si>
    <t>Cement, Hydraulic (Primary); Concrete (Primary); Construction Materials (Primary); Construction Materials (Primary); Materials (Primary); Materials (Primary); Commercial Electronics Distribution; Consumer Discretionary; Consumer Services; Electronic Equipment, Instruments and Components; Forest Products; Hotels; Hotels And Motels; Hotels, Resorts and Cruise Lines; Hotels, Restaurants and Leisure; Industrial Property Operators and Lessors; Information Technology; Lodging; Lumber Products; Nonresidential Building Operators and Lessors; Office Building Operators and Lessors; Paper and Forest Products; Real Estate; Real Estate; Real Estate Development; Real Estate Management and Development; Real Estate Management Services; Real Estate Operating Companies; Real Estate Operators And Lessors; Residential Building Operators and Lessors; Technology Distributors; Technology Hardware and Equipment; Veneer, Plywood And Structural Wood Products</t>
  </si>
  <si>
    <t>Wai Kee Holdings Limited (SEHK:610)</t>
  </si>
  <si>
    <t>SEHK:610</t>
  </si>
  <si>
    <t>The Stock Exchange of Hong Kong Ltd. (SEHK)</t>
  </si>
  <si>
    <t>Capital Goods (Primary); Commercial Construction and Engineering (Primary); Commercial Construction, General Contractors and Operative Builders (Primary); Construction and Engineering (Primary); Construction and Engineering (Primary); Construction Support Services (Primary); Engineering and Surveying Services (Primary); Engineering Services (Primary); Heavy Construction (Primary); Industrials (Primary); Specialty Contract Work (Primary); Asphalt Paving and Roofing Materials; Asset Management and Custody Banks; Building Products; Building Products; Capital Markets; Concrete; Construction Material Distribution; Construction Materials; Construction Materials; Diversified Financial Services; Diversified Financials; Financials; Highways and Railtracks; Investment Advice; Investment Banking and Brokerage; Marine Ports and Services; Materials; Materials; Real Estate; Real Estate; Real Estate Development; Real Estate Management and Development; Real Estate Operating Companies; Real Estate Operators And Lessors; Roofing, Siding, and Insulation Materials; Securities and Commodities Markets Services; Security Brokers; Security Brokers and Dealers; Sewage Treatment Systems; Specialized Finance; Trading Companies and Distributors; Trading Companies and Distributors; Transportation; Transportation Infrastructure; Utilities; Utilities; Water Utilities; Water Utilities</t>
  </si>
  <si>
    <t>Liu Chong Hing Investment Limited (SEHK:194)</t>
  </si>
  <si>
    <t>SEHK:194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</si>
  <si>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</si>
  <si>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Shopping Mall Operators and Lessors (Primary); Capital Markets; Consumer Discretionary; Consumer Services; Diversified Consumer Services; Diversified Financial Services; Diversified Financials; Financials; Hotels; Hotels And Motels; Hotels, Resorts and Cruise Lines; Hotels, Restaurants and Leisure; Investment Banking and Brokerage; Lodging; Real Estate Development; Residential Design Services ; Residential Interior Services ; Securities and Commodities Markets Services; Security Brokers; Security Brokers and Dealers; Specialized Consumer Services; Specialized Finance</t>
  </si>
  <si>
    <t>Nanyang Holdings Limited (SEHK:212)</t>
  </si>
  <si>
    <t>SEHK:212</t>
  </si>
  <si>
    <t>The Stock Exchange of Hong Kong Ltd. (SEHK)</t>
  </si>
  <si>
    <t>Industrial Property Operators and Lessors (Primary); 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Diversified Financials; Financials; Investment Banking and Brokerage; Securities and Commodities Markets Services; Security Brokers; Security Brokers and Dealers</t>
  </si>
  <si>
    <t>Emperor Watch &amp; Jewellery Limited (SEHK:887)</t>
  </si>
  <si>
    <t>SEHK:887</t>
  </si>
  <si>
    <t>The Stock Exchange of Hong Kong Ltd. (SEHK)</t>
  </si>
  <si>
    <t>Apparel Retail (Primary); Consumer Discretionary (Primary); Jewelry Stores (Primary); Retailing (Primary); Specialty Retail (Primary); Watch and Timepiece Stores (Primary); Internet and Direct Marketing Retail; Internet and Direct Marketing Retail; Online Apparel and Accessory Retail; Online Jewelry Retail; Online Specialty Retail</t>
  </si>
  <si>
    <t>China Dongxiang (Group) Co., Ltd. (SEHK:3818)</t>
  </si>
  <si>
    <t>SEHK:3818</t>
  </si>
  <si>
    <t>The Stock Exchange of Hong Kong Ltd. (SEHK)</t>
  </si>
  <si>
    <t>Apparel (Primary); Apparel, Accessories and Luxury Goods (Primary); Boys' Apparel (Primary); Consumer Discretionary (Primary); Consumer Durables and Apparel (Primary); Girls' Apparel (Primary); Specialty Apparel (Primary); Textiles, Apparel and Luxury Goods (Primary); Apparel and Textile Distribution; Apparel Retail; Asset Management and Custody Banks; Capital Markets; Consumer Services; Distributors; Distributors; Diversified Financials; Durable Goods Distribution; Financials; Footwear; Hotels, Resorts and Cruise Lines; Hotels, Restaurants and Leisure; Internet and Direct Marketing Retail; Internet and Direct Marketing Retail; Leisure Products; Leisure Products; Online Accessory Retail; Online Apparel and Accessory Retail; Online Apparel Retail; Online Shoe Retail; Online Specialty Retail; Real Estate; Real Estate; Real Estate Development; Real Estate Management and Development; Real Estate Operating Companies; Real Estate Operators And Lessors; Retailing; Shoe Stores; Specialty Retail; Sporting and Recreational Goods; Travel and Tourism Services</t>
  </si>
  <si>
    <t>YuanShengTai Dairy Farm Limited (SEHK:1431)</t>
  </si>
  <si>
    <t>SEHK:1431</t>
  </si>
  <si>
    <t>The Stock Exchange of Hong Kong Ltd. (SEHK)</t>
  </si>
  <si>
    <t>Agricultural Products (Primary); Consumer Staples (Primary); Food Products (Primary); Food, Beverage and Tobacco (Primary); Dairy Products; Dairy Products and Eggs; Milk; Packaged Foods and Meats</t>
  </si>
  <si>
    <t>Emperor Entertainment Hotel Limited (SEHK:296)</t>
  </si>
  <si>
    <t>SEHK:296</t>
  </si>
  <si>
    <t>The Stock Exchange of Hong Kong Ltd. (SEHK)</t>
  </si>
  <si>
    <t>Casinos (Primary); Casinos and Gaming (Primary); Consumer Discretionary (Primary); Consumer Services (Primary); Hotels, Restaurants and Leisure (Primary); Advertising; Catering Services; Communication Services; Diversified Financial Services; Diversified Financials; Financials; Hotels; Hotels And Motels; Hotels, Resorts and Cruise Lines; Lodging; Marketing Services; Media; Media and Entertainment; Public Relations Services; Restaurants; Specialized Finance; Travel Agencies; Travel and Tourism Services</t>
  </si>
  <si>
    <t>Chuang's China Investments Limited (SEHK:298)</t>
  </si>
  <si>
    <t>SEHK:298</t>
  </si>
  <si>
    <t>The Stock Exchange of Hong Kong Ltd. (SEHK)</t>
  </si>
  <si>
    <t>Cemetery Sub Dividers And Developers (Primary); Land Sub Dividers And Developers (Primary); Real Estate (Primary); Real Estate (Primary); Real Estate Development (Primary); Real Estate Management and Development (Primary); Asset Management and Custody Banks; Capital Goods; Capital Markets; Cemeteries; Cemeteries and Funeral Home Services; Construction Machinery and Heavy Trucks; Consumer Discretionary; Consumer Services; Distributors; Distributors; Diversified Consumer Services; Diversified Financial Services; Diversified Financials; Durable Goods Distribution; Financials; Hotels; Hotels And Motels; Hotels, Resorts and Cruise Lines; Hotels, Restaurants and Leisure; Household Durables Distribution; Industrials; Investment Banking and Brokerage; Lodging; Machinery; Marine Transportation Equipment; Real Estate Operating Companies; Real Estate Operators And Lessors; Retailing; Securities and Commodities Markets Services; Security Brokers and Dealers; Ship and Boat Building; Specialized Consumer Services; Specialized Finance</t>
  </si>
  <si>
    <t>China New Town Development Company Limited (SEHK:1278)</t>
  </si>
  <si>
    <t>SEHK:1278</t>
  </si>
  <si>
    <t>The Stock Exchange of Hong Kong Ltd. (SEHK)</t>
  </si>
  <si>
    <t>Land Sub Dividers And Developers (Primary); Land Sub Dividers and Developers, except Cemetery (Primary); Real Estate (Primary); Real Estate (Primary); Real Estate Development (Primary); Real Estate Management and Development (Primary); Asset Management and Custody Banks; Capital Goods; Capital Markets; Commercial and Professional Services; Construction and Engineering; Construction and Engineering; Construction Support Services; Consulting Services; Diversified Financials; Financials; Industrials; Professional Services; Real Estate Management Services; Real Estate Operating Companies; Real Estate Operators And Lessors; Real Estate Services; Research and Consulting Services</t>
  </si>
  <si>
    <t>CRCC High-Tech Equipment Corporation Limited (SEHK:1786)</t>
  </si>
  <si>
    <t>SEHK:1786</t>
  </si>
  <si>
    <t>The Stock Exchange of Hong Kong Ltd. (SEHK)</t>
  </si>
  <si>
    <t>Capital Goods (Primary); Construction Machinery and Heavy Trucks (Primary); Industrials (Primary); Locomotives and Electronic Trolleys (Primary); Machinery (Primary); Railroad Equipment (Primary); Railroad Support Equipment and Systems (Primary); Railway and Tramway Cars (Primary); Railway Track Maintenance Equipment (Primary); Commercial and Professional Services; Commercial Services and Supplies; Diversified Support Services; Railroad Switching and Terminal Establishments; Railroads; Road and Rail; Services Incidental to Railroad Transportation; Transportation</t>
  </si>
  <si>
    <t>Tianjin Development Holdings Limited (SEHK:882)</t>
  </si>
  <si>
    <t>SEHK:882</t>
  </si>
  <si>
    <t>The Stock Exchange of Hong Kong Ltd. (SEHK)</t>
  </si>
  <si>
    <t>Multi-Utilities (Primary); Multi-Utilities (Primary); Utilities (Primary); Utilities (Primary); Building Product and Home Supply Stores; Building Product Distribution; Business Credit Agencies; Capital Goods; Commercial and Professional Services; Commercial Services and Supplies; Consulting Services; Consumer Discretionary; Consumer Services; Containers and Packaging; Credit Agencies; Diversified Financial Services; Diversified Financials; Diversified Support Services; Electric Power Distribution; Electric Utilities; Electric Utilities; Electrical Equipment; Elevators and Moving Stairways; Escalators; Finance Leasing; Financials; Health Care; Heavy Electrical Equipment; Home Improvement Retail; Hotels; Hotels And Motels; Hotels, Resorts and Cruise Lines; Hotels, Restaurants and Leisure; Industrial Machinery; Industrials; Lifting Equipment; Lodging; Machinery; Marine Ports and Services; Material Handling Machinery and Equipment; Materials; Materials; Paper Packaging; Pharmaceutical Products; Pharmaceuticals; Pharmaceuticals; Pharmaceuticals, Biotechnology and Life Sciences; Professional Services; Pumps and Pumping Equipment; Research and Consulting Services; Retailing; Specialized Finance; Specialty Retail; Trading Companies and Distributors; Trading Companies and Distributors; Transportation; Transportation Infrastructure; Water Supply; Water Utilities; Water Utilities</t>
  </si>
  <si>
    <t>Weiqiao Textile Company Limited (SEHK:2698)</t>
  </si>
  <si>
    <t>SEHK:2698</t>
  </si>
  <si>
    <t>The Stock Exchange of Hong Kong Ltd. (SEHK)</t>
  </si>
  <si>
    <t>Consumer Discretionary (Primary); Consumer Durables and Apparel (Primary); Cotton Yarn (Primary); Fabrics (Primary); Polyester Yarn (Primary); Textile Mill Products (Primary); Textiles (Primary); Textiles, Apparel and Luxury Goods (Primary); Yarns (Primary); Apparel and Textile Distribution; Distributors; Distributors; Durable Goods Distribution; Electric Utilities; Electric Utilities; Retailing; Utilities; Utilities; Water Utilities; Water Utilities</t>
  </si>
  <si>
    <t>G-Resources Group Limited (SEHK:1051)</t>
  </si>
  <si>
    <t>SEHK:1051</t>
  </si>
  <si>
    <t>The Stock Exchange of Hong Kong Ltd. (SEHK)</t>
  </si>
  <si>
    <t>Diversified Financial Services (Primary); Diversified Financials (Primary); Financials (Primary); Other Diversified Financial Services (Primary); Asset Management and Custody Banks; Capital Markets; Investment Banking and Brokerage; Real Estate; Real Estate; Real Estate Management and Development; Real Estate Operating Companies; Real Estate Operators And Lessors; Securities and Commodities Markets Services; Security Brokers; Security Brokers and Dealers; Specialized Finance</t>
  </si>
  <si>
    <t>Screening Aggregates</t>
  </si>
  <si>
    <t>Company Screening Aggregates</t>
  </si>
  <si>
    <t xml:space="preserve"> </t>
  </si>
  <si>
    <t>Total</t>
  </si>
  <si>
    <t>Average</t>
  </si>
  <si>
    <t>Minimum</t>
  </si>
  <si>
    <t>Maximum</t>
  </si>
  <si>
    <t>Standard Deviation</t>
  </si>
  <si>
    <t>Market Cap. Weighted Avg.</t>
  </si>
  <si>
    <t>N/A</t>
  </si>
  <si>
    <t>Screening Criteria</t>
  </si>
  <si>
    <r>
      <t xml:space="preserve">1) </t>
    </r>
    <r>
      <rPr>
        <b/>
        <sz val="8"/>
        <color indexed="8"/>
        <rFont val="Arial"/>
      </rPr>
      <t xml:space="preserve">Exchanges (All Listings): </t>
    </r>
    <r>
      <rPr>
        <sz val="8"/>
        <color indexed="8"/>
        <rFont val="Arial"/>
      </rPr>
      <t>(SEHK) The Stock Exchange of Hong Kong Ltd.</t>
    </r>
  </si>
  <si>
    <r>
      <t xml:space="preserve">2) </t>
    </r>
    <r>
      <rPr>
        <b/>
        <sz val="8"/>
        <color indexed="8"/>
        <rFont val="Arial"/>
      </rPr>
      <t xml:space="preserve">Quick Ratio [Latest Annual]: </t>
    </r>
    <r>
      <rPr>
        <sz val="8"/>
        <color indexed="8"/>
        <rFont val="Arial"/>
      </rPr>
      <t>is greater than 1</t>
    </r>
  </si>
  <si>
    <r>
      <t xml:space="preserve">3) </t>
    </r>
    <r>
      <rPr>
        <b/>
        <sz val="8"/>
        <color indexed="8"/>
        <rFont val="Arial"/>
      </rPr>
      <t xml:space="preserve">Net Debt [Latest Annual] (HKDmm, Historical rate): </t>
    </r>
    <r>
      <rPr>
        <sz val="8"/>
        <color indexed="8"/>
        <rFont val="Arial"/>
      </rPr>
      <t>is less than 0 (Unreported data set to 0)</t>
    </r>
  </si>
  <si>
    <r>
      <t xml:space="preserve">4)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less than 20000</t>
    </r>
  </si>
  <si>
    <r>
      <t xml:space="preserve">5)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greater than 500</t>
    </r>
  </si>
  <si>
    <r>
      <t xml:space="preserve">6) </t>
    </r>
    <r>
      <rPr>
        <b/>
        <sz val="8"/>
        <color indexed="8"/>
        <rFont val="Arial"/>
      </rPr>
      <t xml:space="preserve">Total Liabilities/Total Assets % [Latest Annual]: </t>
    </r>
    <r>
      <rPr>
        <sz val="8"/>
        <color indexed="8"/>
        <rFont val="Arial"/>
      </rPr>
      <t>is less than 40</t>
    </r>
  </si>
  <si>
    <r>
      <t xml:space="preserve">7) </t>
    </r>
    <r>
      <rPr>
        <b/>
        <sz val="8"/>
        <color indexed="8"/>
        <rFont val="Arial"/>
      </rPr>
      <t xml:space="preserve">P/BV [Latest] (x): </t>
    </r>
    <r>
      <rPr>
        <sz val="8"/>
        <color indexed="8"/>
        <rFont val="Arial"/>
      </rPr>
      <t>is less than 2</t>
    </r>
  </si>
  <si>
    <r>
      <t xml:space="preserve">8) </t>
    </r>
    <r>
      <rPr>
        <b/>
        <sz val="8"/>
        <color indexed="8"/>
        <rFont val="Arial"/>
      </rPr>
      <t>Industry Classifications: NOT (</t>
    </r>
    <r>
      <rPr>
        <sz val="8"/>
        <color indexed="8"/>
        <rFont val="Arial"/>
      </rPr>
      <t>Health Care (Primary)</t>
    </r>
    <r>
      <rPr>
        <b/>
        <sz val="8"/>
        <color indexed="8"/>
        <rFont val="Arial"/>
      </rPr>
      <t xml:space="preserve"> OR </t>
    </r>
    <r>
      <rPr>
        <sz val="8"/>
        <color indexed="8"/>
        <rFont val="Arial"/>
      </rPr>
      <t>Information Technology (Primary)</t>
    </r>
    <r>
      <rPr>
        <b/>
        <sz val="8"/>
        <color indexed="8"/>
        <rFont val="Arial"/>
      </rPr>
      <t>)</t>
    </r>
  </si>
  <si>
    <t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t>
  </si>
  <si>
    <t>交易所</t>
  </si>
  <si>
    <t>代码</t>
  </si>
  <si>
    <t>公司</t>
  </si>
  <si>
    <t>行业</t>
  </si>
  <si>
    <t>市值 最近时间 (HKD)</t>
  </si>
  <si>
    <t>关注度</t>
  </si>
  <si>
    <t>理杏仁Url</t>
  </si>
  <si>
    <t>hk</t>
  </si>
  <si>
    <t>腾讯控股</t>
  </si>
  <si>
    <t>电子商贸及互联网服务</t>
  </si>
  <si>
    <t>www.lixinger.com/analytics/company/hk/00700/700/detail</t>
  </si>
  <si>
    <t>阿里巴巴-SW</t>
  </si>
  <si>
    <t>www.lixinger.com/analytics/company/hk/09988/9988/detail</t>
  </si>
  <si>
    <t>工商银行</t>
  </si>
  <si>
    <t>银行</t>
  </si>
  <si>
    <t>www.lixinger.com/analytics/company/hk/01398/1398/detail</t>
  </si>
  <si>
    <t>建设银行</t>
  </si>
  <si>
    <t>www.lixinger.com/analytics/company/hk/00939/939/detail</t>
  </si>
  <si>
    <t>招商银行</t>
  </si>
  <si>
    <t>www.lixinger.com/analytics/company/hk/03968/3968/detail</t>
  </si>
  <si>
    <t>中国移动</t>
  </si>
  <si>
    <t>电讯服务</t>
  </si>
  <si>
    <t>www.lixinger.com/analytics/company/hk/00941/941/detail</t>
  </si>
  <si>
    <t>美团-W</t>
  </si>
  <si>
    <t>www.lixinger.com/analytics/company/hk/03690/3690/detail</t>
  </si>
  <si>
    <t>友邦保险</t>
  </si>
  <si>
    <t>保险</t>
  </si>
  <si>
    <t>www.lixinger.com/analytics/company/hk/01299/1299/detail</t>
  </si>
  <si>
    <t>汇丰控股</t>
  </si>
  <si>
    <t>www.lixinger.com/analytics/company/hk/00005/5/detail</t>
  </si>
  <si>
    <t>中国平安</t>
  </si>
  <si>
    <t>www.lixinger.com/analytics/company/hk/02318/2318/detail</t>
  </si>
  <si>
    <t>农业银行</t>
  </si>
  <si>
    <t>www.lixinger.com/analytics/company/hk/01288/1288/detail</t>
  </si>
  <si>
    <t>中国银行</t>
  </si>
  <si>
    <t>www.lixinger.com/analytics/company/hk/03988/3988/detail</t>
  </si>
  <si>
    <t>京东集团-SW</t>
  </si>
  <si>
    <t>www.lixinger.com/analytics/company/hk/09618/9618/detail</t>
  </si>
  <si>
    <t>中国石油股份</t>
  </si>
  <si>
    <t>油气生产商</t>
  </si>
  <si>
    <t>www.lixinger.com/analytics/company/hk/00857/857/detail</t>
  </si>
  <si>
    <t>比亚迪股份</t>
  </si>
  <si>
    <t>汽车</t>
  </si>
  <si>
    <t>www.lixinger.com/analytics/company/hk/01211/1211/detail</t>
  </si>
  <si>
    <t>迅销有限公司-预托证券</t>
  </si>
  <si>
    <t>服装</t>
  </si>
  <si>
    <t>www.lixinger.com/analytics/company/hk/06288/6288/detail</t>
  </si>
  <si>
    <t>农夫山泉</t>
  </si>
  <si>
    <t>非酒精饮料</t>
  </si>
  <si>
    <t>www.lixinger.com/analytics/company/hk/09633/9633/detail</t>
  </si>
  <si>
    <t>中国海洋石油</t>
  </si>
  <si>
    <t>www.lixinger.com/analytics/company/hk/00883/883/detail</t>
  </si>
  <si>
    <t>中国中免</t>
  </si>
  <si>
    <t>旅游及观光</t>
  </si>
  <si>
    <t>www.lixinger.com/analytics/company/hk/01880/1880/detail</t>
  </si>
  <si>
    <t>中国石油化工股份</t>
  </si>
  <si>
    <t>www.lixinger.com/analytics/company/hk/00386/386/detail</t>
  </si>
  <si>
    <t>邮储银行</t>
  </si>
  <si>
    <t>www.lixinger.com/analytics/company/hk/01658/1658/detail</t>
  </si>
  <si>
    <t>中国神华</t>
  </si>
  <si>
    <t>煤炭</t>
  </si>
  <si>
    <t>www.lixinger.com/analytics/company/hk/01088/1088/detail</t>
  </si>
  <si>
    <t>香港交易所</t>
  </si>
  <si>
    <t>其他金融</t>
  </si>
  <si>
    <t>www.lixinger.com/analytics/company/hk/00388/388/detail</t>
  </si>
  <si>
    <t>网易-S</t>
  </si>
  <si>
    <t>软件开发</t>
  </si>
  <si>
    <t>www.lixinger.com/analytics/company/hk/09999/9999/detail</t>
  </si>
  <si>
    <t>中国人寿</t>
  </si>
  <si>
    <t>www.lixinger.com/analytics/company/hk/02628/2628/detail</t>
  </si>
  <si>
    <t>交通银行</t>
  </si>
  <si>
    <t>www.lixinger.com/analytics/company/hk/03328/3328/detail</t>
  </si>
  <si>
    <t>百威亚太</t>
  </si>
  <si>
    <t>酒精饮料</t>
  </si>
  <si>
    <t>www.lixinger.com/analytics/company/hk/01876/1876/detail</t>
  </si>
  <si>
    <t>百度集团-SW</t>
  </si>
  <si>
    <t>www.lixinger.com/analytics/company/hk/09888/9888/detail</t>
  </si>
  <si>
    <t>快手-W</t>
  </si>
  <si>
    <t>www.lixinger.com/analytics/company/hk/01024/1024/detail</t>
  </si>
  <si>
    <t>新鸿基地产</t>
  </si>
  <si>
    <t>地产发展商</t>
  </si>
  <si>
    <t>www.lixinger.com/analytics/company/hk/00016/16/detail</t>
  </si>
  <si>
    <t>保诚</t>
  </si>
  <si>
    <t>www.lixinger.com/analytics/company/hk/02378/2378/detail</t>
  </si>
  <si>
    <t>紫金矿业</t>
  </si>
  <si>
    <t>黄金及贵金属</t>
  </si>
  <si>
    <t>www.lixinger.com/analytics/company/hk/02899/2899/detail</t>
  </si>
  <si>
    <t>中国电信</t>
  </si>
  <si>
    <t>www.lixinger.com/analytics/company/hk/00728/728/detail</t>
  </si>
  <si>
    <t>中银香港</t>
  </si>
  <si>
    <t>www.lixinger.com/analytics/company/hk/02388/2388/detail</t>
  </si>
  <si>
    <t>安踏体育</t>
  </si>
  <si>
    <t>www.lixinger.com/analytics/company/hk/02020/2020/detail</t>
  </si>
  <si>
    <t>小米集团-W</t>
  </si>
  <si>
    <t>电讯设备</t>
  </si>
  <si>
    <t>www.lixinger.com/analytics/company/hk/01810/1810/detail</t>
  </si>
  <si>
    <t>药明生物</t>
  </si>
  <si>
    <t>生物技术</t>
  </si>
  <si>
    <t>www.lixinger.com/analytics/company/hk/02269/2269/detail</t>
  </si>
  <si>
    <t>宏利金融-S</t>
  </si>
  <si>
    <t>www.lixinger.com/analytics/company/hk/00945/945/detail</t>
  </si>
  <si>
    <t>华润置地</t>
  </si>
  <si>
    <t>www.lixinger.com/analytics/company/hk/01109/1109/detail</t>
  </si>
  <si>
    <t>港铁公司</t>
  </si>
  <si>
    <t>公共运输</t>
  </si>
  <si>
    <t>www.lixinger.com/analytics/company/hk/00066/66/detail</t>
  </si>
  <si>
    <t>药明康德</t>
  </si>
  <si>
    <t>www.lixinger.com/analytics/company/hk/02359/2359/detail</t>
  </si>
  <si>
    <t>海尔智家</t>
  </si>
  <si>
    <t>家庭电器</t>
  </si>
  <si>
    <t>www.lixinger.com/analytics/company/hk/06690/6690/detail</t>
  </si>
  <si>
    <t>恒生银行</t>
  </si>
  <si>
    <t>www.lixinger.com/analytics/company/hk/00011/11/detail</t>
  </si>
  <si>
    <t>中信股份</t>
  </si>
  <si>
    <t>综合企业</t>
  </si>
  <si>
    <t>www.lixinger.com/analytics/company/hk/00267/267/detail</t>
  </si>
  <si>
    <t>银河娱乐</t>
  </si>
  <si>
    <t>赌场及博彩</t>
  </si>
  <si>
    <t>www.lixinger.com/analytics/company/hk/00027/27/detail</t>
  </si>
  <si>
    <t>中信证券</t>
  </si>
  <si>
    <t>投资及资产管理</t>
  </si>
  <si>
    <t>www.lixinger.com/analytics/company/hk/06030/6030/detail</t>
  </si>
  <si>
    <t>中国海外发展</t>
  </si>
  <si>
    <t>www.lixinger.com/analytics/company/hk/00688/688/detail</t>
  </si>
  <si>
    <t>京东健康</t>
  </si>
  <si>
    <t>药品</t>
  </si>
  <si>
    <t>www.lixinger.com/analytics/company/hk/06618/6618/detail</t>
  </si>
  <si>
    <t>金沙中国有限公司</t>
  </si>
  <si>
    <t>www.lixinger.com/analytics/company/hk/01928/1928/detail</t>
  </si>
  <si>
    <t>中通快递-SW</t>
  </si>
  <si>
    <t>航空货运及物流</t>
  </si>
  <si>
    <t>www.lixinger.com/analytics/company/hk/02057/2057/detail</t>
  </si>
  <si>
    <t>百济神州</t>
  </si>
  <si>
    <t>www.lixinger.com/analytics/company/hk/06160/6160/detail</t>
  </si>
  <si>
    <t>李宁</t>
  </si>
  <si>
    <t>www.lixinger.com/analytics/company/hk/02331/2331/detail</t>
  </si>
  <si>
    <t>百胜中国</t>
  </si>
  <si>
    <t>餐饮</t>
  </si>
  <si>
    <t>www.lixinger.com/analytics/company/hk/09987/9987/detail</t>
  </si>
  <si>
    <t>长和</t>
  </si>
  <si>
    <t>www.lixinger.com/analytics/company/hk/00001/1/detail</t>
  </si>
  <si>
    <t>万科企业</t>
  </si>
  <si>
    <t>www.lixinger.com/analytics/company/hk/02202/2202/detail</t>
  </si>
  <si>
    <t>华润啤酒</t>
  </si>
  <si>
    <t>www.lixinger.com/analytics/company/hk/00291/291/detail</t>
  </si>
  <si>
    <t>理想汽车-W</t>
  </si>
  <si>
    <t>www.lixinger.com/analytics/company/hk/02015/2015/detail</t>
  </si>
  <si>
    <t>长实集团</t>
  </si>
  <si>
    <t>www.lixinger.com/analytics/company/hk/01113/1113/detail</t>
  </si>
  <si>
    <t>携程集团-S</t>
  </si>
  <si>
    <t>www.lixinger.com/analytics/company/hk/09961/9961/detail</t>
  </si>
  <si>
    <t>中信银行</t>
  </si>
  <si>
    <t>www.lixinger.com/analytics/company/hk/00998/998/detail</t>
  </si>
  <si>
    <t>渣打集团</t>
  </si>
  <si>
    <t>www.lixinger.com/analytics/company/hk/02888/2888/detail</t>
  </si>
  <si>
    <t>中国太保</t>
  </si>
  <si>
    <t>www.lixinger.com/analytics/company/hk/02601/2601/detail</t>
  </si>
  <si>
    <t>周大福</t>
  </si>
  <si>
    <t>其他零售商</t>
  </si>
  <si>
    <t>www.lixinger.com/analytics/company/hk/01929/1929/detail</t>
  </si>
  <si>
    <t>中国财险</t>
  </si>
  <si>
    <t>www.lixinger.com/analytics/company/hk/02328/2328/detail</t>
  </si>
  <si>
    <t>创科实业</t>
  </si>
  <si>
    <t>www.lixinger.com/analytics/company/hk/00669/669/detail</t>
  </si>
  <si>
    <t>中国联通</t>
  </si>
  <si>
    <t>www.lixinger.com/analytics/company/hk/00762/762/detail</t>
  </si>
  <si>
    <t>龙湖集团</t>
  </si>
  <si>
    <t>www.lixinger.com/analytics/company/hk/00960/960/detail</t>
  </si>
  <si>
    <t>中国铁塔</t>
  </si>
  <si>
    <t>卫星及无线通讯</t>
  </si>
  <si>
    <t>www.lixinger.com/analytics/company/hk/00788/788/detail</t>
  </si>
  <si>
    <t>海螺水泥</t>
  </si>
  <si>
    <t>建筑材料</t>
  </si>
  <si>
    <t>www.lixinger.com/analytics/company/hk/00914/914/detail</t>
  </si>
  <si>
    <t>蒙牛乳业</t>
  </si>
  <si>
    <t>乳制品</t>
  </si>
  <si>
    <t>www.lixinger.com/analytics/company/hk/02319/2319/detail</t>
  </si>
  <si>
    <t>中电控股</t>
  </si>
  <si>
    <t>电力</t>
  </si>
  <si>
    <t>www.lixinger.com/analytics/company/hk/00002/2/detail</t>
  </si>
  <si>
    <t>贝壳-W</t>
  </si>
  <si>
    <t>地产代理</t>
  </si>
  <si>
    <t>www.lixinger.com/analytics/company/hk/02423/2423/detail</t>
  </si>
  <si>
    <t>九龙仓置业</t>
  </si>
  <si>
    <t>地产投资</t>
  </si>
  <si>
    <t>www.lixinger.com/analytics/company/hk/01997/1997/detail</t>
  </si>
  <si>
    <t>香港中华煤气</t>
  </si>
  <si>
    <t>燃气供应</t>
  </si>
  <si>
    <t>www.lixinger.com/analytics/company/hk/00003/3/detail</t>
  </si>
  <si>
    <t>蔚来-SW</t>
  </si>
  <si>
    <t>www.lixinger.com/analytics/company/hk/09866/9866/detail</t>
  </si>
  <si>
    <t>恒基地产</t>
  </si>
  <si>
    <t>www.lixinger.com/analytics/company/hk/00012/12/detail</t>
  </si>
  <si>
    <t>申洲国际</t>
  </si>
  <si>
    <t>www.lixinger.com/analytics/company/hk/02313/2313/detail</t>
  </si>
  <si>
    <t>中芯国际</t>
  </si>
  <si>
    <t>半导体</t>
  </si>
  <si>
    <t>www.lixinger.com/analytics/company/hk/00981/981/detail</t>
  </si>
  <si>
    <t>中国光大银行</t>
  </si>
  <si>
    <t>www.lixinger.com/analytics/company/hk/06818/6818/detail</t>
  </si>
  <si>
    <t>新奥能源</t>
  </si>
  <si>
    <t>www.lixinger.com/analytics/company/hk/02688/2688/detail</t>
  </si>
  <si>
    <t>中远海控</t>
  </si>
  <si>
    <t>航运及港口</t>
  </si>
  <si>
    <t>www.lixinger.com/analytics/company/hk/01919/1919/detail</t>
  </si>
  <si>
    <t>海底捞</t>
  </si>
  <si>
    <t>www.lixinger.com/analytics/company/hk/06862/6862/detail</t>
  </si>
  <si>
    <t>领展房产基金</t>
  </si>
  <si>
    <t>www.lixinger.com/analytics/company/hk/00823/823/detail</t>
  </si>
  <si>
    <t>太古地产</t>
  </si>
  <si>
    <t>www.lixinger.com/analytics/company/hk/01972/1972/detail</t>
  </si>
  <si>
    <t>民生银行</t>
  </si>
  <si>
    <t>www.lixinger.com/analytics/company/hk/01988/1988/detail</t>
  </si>
  <si>
    <t>吉利汽车</t>
  </si>
  <si>
    <t>www.lixinger.com/analytics/company/hk/00175/175/detail</t>
  </si>
  <si>
    <t>赣锋锂业</t>
  </si>
  <si>
    <t>其他金属及矿物</t>
  </si>
  <si>
    <t>www.lixinger.com/analytics/company/hk/01772/1772/detail</t>
  </si>
  <si>
    <t>兖矿能源</t>
  </si>
  <si>
    <t>www.lixinger.com/analytics/company/hk/01171/1171/detail</t>
  </si>
  <si>
    <t>普拉达</t>
  </si>
  <si>
    <t>其他服饰配件</t>
  </si>
  <si>
    <t>www.lixinger.com/analytics/company/hk/01913/1913/detail</t>
  </si>
  <si>
    <t>中国人民保险集团</t>
  </si>
  <si>
    <t>www.lixinger.com/analytics/company/hk/01339/1339/detail</t>
  </si>
  <si>
    <t>华住集团-S</t>
  </si>
  <si>
    <t>酒店及度假村</t>
  </si>
  <si>
    <t>www.lixinger.com/analytics/company/hk/01179/1179/detail</t>
  </si>
  <si>
    <t>青岛啤酒股份</t>
  </si>
  <si>
    <t>www.lixinger.com/analytics/company/hk/00168/168/detail</t>
  </si>
  <si>
    <t>舜宇光学科技</t>
  </si>
  <si>
    <t>电子零件</t>
  </si>
  <si>
    <t>www.lixinger.com/analytics/company/hk/02382/2382/detail</t>
  </si>
  <si>
    <t>中国中铁</t>
  </si>
  <si>
    <t>重型基建</t>
  </si>
  <si>
    <t>www.lixinger.com/analytics/company/hk/00390/390/detail</t>
  </si>
  <si>
    <t>中国国航</t>
  </si>
  <si>
    <t>航空服务</t>
  </si>
  <si>
    <t>www.lixinger.com/analytics/company/hk/00753/753/detail</t>
  </si>
  <si>
    <t>长江基建集团</t>
  </si>
  <si>
    <t>www.lixinger.com/analytics/company/hk/01038/1038/detail</t>
  </si>
  <si>
    <t>京东物流</t>
  </si>
  <si>
    <t>采购及供应链管理</t>
  </si>
  <si>
    <t>www.lixinger.com/analytics/company/hk/02618/2618/detail</t>
  </si>
  <si>
    <t>中升控股</t>
  </si>
  <si>
    <t>汽车零售商</t>
  </si>
  <si>
    <t>www.lixinger.com/analytics/company/hk/00881/881/detail</t>
  </si>
  <si>
    <t>石药集团</t>
  </si>
  <si>
    <t>www.lixinger.com/analytics/company/hk/01093/1093/detail</t>
  </si>
  <si>
    <t>哔哩哔哩-W</t>
  </si>
  <si>
    <t>www.lixinger.com/analytics/company/hk/09626/9626/detail</t>
  </si>
  <si>
    <t>太古股份公司A</t>
  </si>
  <si>
    <t>www.lixinger.com/analytics/company/hk/00019/19/detail</t>
  </si>
  <si>
    <t>中国南方航空股份</t>
  </si>
  <si>
    <t>www.lixinger.com/analytics/company/hk/01055/1055/detail</t>
  </si>
  <si>
    <t>中广核电力</t>
  </si>
  <si>
    <t>www.lixinger.com/analytics/company/hk/01816/1816/detail</t>
  </si>
  <si>
    <t>天齐锂业</t>
  </si>
  <si>
    <t>www.lixinger.com/analytics/company/hk/09696/9696/detail</t>
  </si>
  <si>
    <t>华润万象生活</t>
  </si>
  <si>
    <t>物业服务及管理</t>
  </si>
  <si>
    <t>www.lixinger.com/analytics/company/hk/01209/1209/detail</t>
  </si>
  <si>
    <t>长城汽车</t>
  </si>
  <si>
    <t>www.lixinger.com/analytics/company/hk/02333/2333/detail</t>
  </si>
  <si>
    <t>潍柴动力</t>
  </si>
  <si>
    <t>商业用车及货车</t>
  </si>
  <si>
    <t>www.lixinger.com/analytics/company/hk/02338/2338/detail</t>
  </si>
  <si>
    <t>东方海外国际</t>
  </si>
  <si>
    <t>www.lixinger.com/analytics/company/hk/00316/316/detail</t>
  </si>
  <si>
    <t>电能实业</t>
  </si>
  <si>
    <t>www.lixinger.com/analytics/company/hk/00006/6/detail</t>
  </si>
  <si>
    <t>中国中车</t>
  </si>
  <si>
    <t>www.lixinger.com/analytics/company/hk/01766/1766/detail</t>
  </si>
  <si>
    <t>阿里健康</t>
  </si>
  <si>
    <t>www.lixinger.com/analytics/company/hk/00241/241/detail</t>
  </si>
  <si>
    <t>翰森制药</t>
  </si>
  <si>
    <t>www.lixinger.com/analytics/company/hk/03692/3692/detail</t>
  </si>
  <si>
    <t>福耀玻璃</t>
  </si>
  <si>
    <t>汽车零件</t>
  </si>
  <si>
    <t>www.lixinger.com/analytics/company/hk/03606/3606/detail</t>
  </si>
  <si>
    <t>中国生物制药</t>
  </si>
  <si>
    <t>www.lixinger.com/analytics/company/hk/01177/1177/detail</t>
  </si>
  <si>
    <t>龙源电力</t>
  </si>
  <si>
    <t>非传统 / 可再生能源</t>
  </si>
  <si>
    <t>www.lixinger.com/analytics/company/hk/00916/916/detail</t>
  </si>
  <si>
    <t>广发证券</t>
  </si>
  <si>
    <t>证券及经纪</t>
  </si>
  <si>
    <t>www.lixinger.com/analytics/company/hk/01776/1776/detail</t>
  </si>
  <si>
    <t>中煤能源</t>
  </si>
  <si>
    <t>www.lixinger.com/analytics/company/hk/01898/1898/detail</t>
  </si>
  <si>
    <t>中兴通讯</t>
  </si>
  <si>
    <t>www.lixinger.com/analytics/company/hk/00763/763/detail</t>
  </si>
  <si>
    <t>信和置业</t>
  </si>
  <si>
    <t>www.lixinger.com/analytics/company/hk/00083/83/detail</t>
  </si>
  <si>
    <t>洛阳钼业</t>
  </si>
  <si>
    <t>www.lixinger.com/analytics/company/hk/03993/3993/detail</t>
  </si>
  <si>
    <t>泰格医药</t>
  </si>
  <si>
    <t>www.lixinger.com/analytics/company/hk/03347/3347/detail</t>
  </si>
  <si>
    <t>华润电力</t>
  </si>
  <si>
    <t>www.lixinger.com/analytics/company/hk/00836/836/detail</t>
  </si>
  <si>
    <t>信义光能</t>
  </si>
  <si>
    <t>新能源物料</t>
  </si>
  <si>
    <t>www.lixinger.com/analytics/company/hk/00968/968/detail</t>
  </si>
  <si>
    <t>康师傅控股</t>
  </si>
  <si>
    <t>www.lixinger.com/analytics/company/hk/00322/322/detail</t>
  </si>
  <si>
    <t>华泰证券</t>
  </si>
  <si>
    <t>www.lixinger.com/analytics/company/hk/06886/6886/detail</t>
  </si>
  <si>
    <t>联想集团</t>
  </si>
  <si>
    <t>电脑及周边器材</t>
  </si>
  <si>
    <t>www.lixinger.com/analytics/company/hk/00992/992/detail</t>
  </si>
  <si>
    <t>国泰君安</t>
  </si>
  <si>
    <t>www.lixinger.com/analytics/company/hk/02611/2611/detail</t>
  </si>
  <si>
    <t>太古股份公司B</t>
  </si>
  <si>
    <t>www.lixinger.com/analytics/company/hk/00087/87/detail</t>
  </si>
  <si>
    <t>碧桂园</t>
  </si>
  <si>
    <t>www.lixinger.com/analytics/company/hk/02007/2007/detail</t>
  </si>
  <si>
    <t>ESR</t>
  </si>
  <si>
    <t>www.lixinger.com/analytics/company/hk/01821/1821/detail</t>
  </si>
  <si>
    <t>香港电讯-SS</t>
  </si>
  <si>
    <t>www.lixinger.com/analytics/company/hk/06823/6823/detail</t>
  </si>
  <si>
    <t>商汤-W</t>
  </si>
  <si>
    <t>www.lixinger.com/analytics/company/hk/00020/20/detail</t>
  </si>
  <si>
    <t>思摩尔国际</t>
  </si>
  <si>
    <t>消费电子产品</t>
  </si>
  <si>
    <t>www.lixinger.com/analytics/company/hk/06969/6969/detail</t>
  </si>
  <si>
    <t>中金公司</t>
  </si>
  <si>
    <t>www.lixinger.com/analytics/company/hk/03908/3908/detail</t>
  </si>
  <si>
    <t>小鹏汽车-W</t>
  </si>
  <si>
    <t>www.lixinger.com/analytics/company/hk/09868/9868/detail</t>
  </si>
  <si>
    <t>中国宏桥</t>
  </si>
  <si>
    <t>铝</t>
  </si>
  <si>
    <t>www.lixinger.com/analytics/company/hk/01378/1378/detail</t>
  </si>
  <si>
    <t>恒隆地产</t>
  </si>
  <si>
    <t>www.lixinger.com/analytics/company/hk/00101/101/detail</t>
  </si>
  <si>
    <t>九龙仓集团</t>
  </si>
  <si>
    <t>www.lixinger.com/analytics/company/hk/00004/4/detail</t>
  </si>
  <si>
    <t>华润燃气</t>
  </si>
  <si>
    <t>www.lixinger.com/analytics/company/hk/01193/1193/detail</t>
  </si>
  <si>
    <t>复星医药</t>
  </si>
  <si>
    <t>www.lixinger.com/analytics/company/hk/02196/2196/detail</t>
  </si>
  <si>
    <t>腾讯音乐-SW</t>
  </si>
  <si>
    <t>影视娱乐</t>
  </si>
  <si>
    <t>www.lixinger.com/analytics/company/hk/01698/1698/detail</t>
  </si>
  <si>
    <t>山东黄金</t>
  </si>
  <si>
    <t>www.lixinger.com/analytics/company/hk/01787/1787/detail</t>
  </si>
  <si>
    <t>招商证券</t>
  </si>
  <si>
    <t>www.lixinger.com/analytics/company/hk/06099/6099/detail</t>
  </si>
  <si>
    <t>康龙化成</t>
  </si>
  <si>
    <t>www.lixinger.com/analytics/company/hk/03759/3759/detail</t>
  </si>
  <si>
    <t>中国铁建</t>
  </si>
  <si>
    <t>www.lixinger.com/analytics/company/hk/01186/1186/detail</t>
  </si>
  <si>
    <t>碧桂园服务</t>
  </si>
  <si>
    <t>www.lixinger.com/analytics/company/hk/06098/6098/detail</t>
  </si>
  <si>
    <t>华能国际电力股份</t>
  </si>
  <si>
    <t>www.lixinger.com/analytics/company/hk/00902/902/detail</t>
  </si>
  <si>
    <t>国药控股</t>
  </si>
  <si>
    <t>www.lixinger.com/analytics/company/hk/01099/1099/detail</t>
  </si>
  <si>
    <t>金蝶国际</t>
  </si>
  <si>
    <t>系统开发及资讯科技顾问</t>
  </si>
  <si>
    <t>www.lixinger.com/analytics/company/hk/00268/268/detail</t>
  </si>
  <si>
    <t>中国旺旺</t>
  </si>
  <si>
    <t>包装食品</t>
  </si>
  <si>
    <t>www.lixinger.com/analytics/company/hk/00151/151/detail</t>
  </si>
  <si>
    <t>海通证券</t>
  </si>
  <si>
    <t>www.lixinger.com/analytics/company/hk/06837/6837/detail</t>
  </si>
  <si>
    <t>中国燃气</t>
  </si>
  <si>
    <t>www.lixinger.com/analytics/company/hk/00384/384/detail</t>
  </si>
  <si>
    <t>中国交通建设</t>
  </si>
  <si>
    <t>www.lixinger.com/analytics/company/hk/01800/1800/detail</t>
  </si>
  <si>
    <t>阳光保险</t>
  </si>
  <si>
    <t>www.lixinger.com/analytics/company/hk/06963/6963/detail</t>
  </si>
  <si>
    <t>中国飞鹤</t>
  </si>
  <si>
    <t>www.lixinger.com/analytics/company/hk/06186/6186/detail</t>
  </si>
  <si>
    <t>新华保险</t>
  </si>
  <si>
    <t>www.lixinger.com/analytics/company/hk/01336/1336/detail</t>
  </si>
  <si>
    <t>万物云</t>
  </si>
  <si>
    <t>www.lixinger.com/analytics/company/hk/02602/2602/detail</t>
  </si>
  <si>
    <t>中国东方航空股份</t>
  </si>
  <si>
    <t>www.lixinger.com/analytics/company/hk/00670/670/detail</t>
  </si>
  <si>
    <t>信义玻璃</t>
  </si>
  <si>
    <t>工业零件及器材</t>
  </si>
  <si>
    <t>www.lixinger.com/analytics/company/hk/00868/868/detail</t>
  </si>
  <si>
    <t>俄铝</t>
  </si>
  <si>
    <t>www.lixinger.com/analytics/company/hk/00486/486/detail</t>
  </si>
  <si>
    <t>万洲国际</t>
  </si>
  <si>
    <t>禽畜肉类</t>
  </si>
  <si>
    <t>www.lixinger.com/analytics/company/hk/00288/288/detail</t>
  </si>
  <si>
    <t>威高股份</t>
  </si>
  <si>
    <t>医疗保健设备</t>
  </si>
  <si>
    <t>www.lixinger.com/analytics/company/hk/01066/1066/detail</t>
  </si>
  <si>
    <t>浙商银行</t>
  </si>
  <si>
    <t>www.lixinger.com/analytics/company/hk/02016/2016/detail</t>
  </si>
  <si>
    <t>中国铝业</t>
  </si>
  <si>
    <t>www.lixinger.com/analytics/company/hk/02600/2600/detail</t>
  </si>
  <si>
    <t>比亚迪电子</t>
  </si>
  <si>
    <t>www.lixinger.com/analytics/company/hk/00285/285/detail</t>
  </si>
  <si>
    <t>新世界发展</t>
  </si>
  <si>
    <t>www.lixinger.com/analytics/company/hk/00017/17/detail</t>
  </si>
  <si>
    <t>金斯瑞生物科技</t>
  </si>
  <si>
    <t>www.lixinger.com/analytics/company/hk/01548/1548/detail</t>
  </si>
  <si>
    <t>广汽集团</t>
  </si>
  <si>
    <t>www.lixinger.com/analytics/company/hk/02238/2238/detail</t>
  </si>
  <si>
    <t>中国建材</t>
  </si>
  <si>
    <t>www.lixinger.com/analytics/company/hk/03323/3323/detail</t>
  </si>
  <si>
    <t>时代电气</t>
  </si>
  <si>
    <t>www.lixinger.com/analytics/company/hk/03898/3898/detail</t>
  </si>
  <si>
    <t>国泰航空</t>
  </si>
  <si>
    <t>www.lixinger.com/analytics/company/hk/00293/293/detail</t>
  </si>
  <si>
    <t>复星国际</t>
  </si>
  <si>
    <t>www.lixinger.com/analytics/company/hk/00656/656/detail</t>
  </si>
  <si>
    <t>粤海投资</t>
  </si>
  <si>
    <t>水务</t>
  </si>
  <si>
    <t>www.lixinger.com/analytics/company/hk/00270/270/detail</t>
  </si>
  <si>
    <t>信达生物</t>
  </si>
  <si>
    <t>www.lixinger.com/analytics/company/hk/01801/1801/detail</t>
  </si>
  <si>
    <t>协鑫科技</t>
  </si>
  <si>
    <t>www.lixinger.com/analytics/company/hk/03800/3800/detail</t>
  </si>
  <si>
    <t>中信建投证券</t>
  </si>
  <si>
    <t>www.lixinger.com/analytics/company/hk/06066/6066/detail</t>
  </si>
  <si>
    <t>盛京银行</t>
  </si>
  <si>
    <t>www.lixinger.com/analytics/company/hk/02066/2066/detail</t>
  </si>
  <si>
    <t>中国民航信息网络</t>
  </si>
  <si>
    <t>www.lixinger.com/analytics/company/hk/00696/696/detail</t>
  </si>
  <si>
    <t>上海医药</t>
  </si>
  <si>
    <t>www.lixinger.com/analytics/company/hk/02607/2607/detail</t>
  </si>
  <si>
    <t>新东方在线</t>
  </si>
  <si>
    <t>教育</t>
  </si>
  <si>
    <t>www.lixinger.com/analytics/company/hk/01797/1797/detail</t>
  </si>
  <si>
    <t>东莞农商银行</t>
  </si>
  <si>
    <t>www.lixinger.com/analytics/company/hk/09889/9889/detail</t>
  </si>
  <si>
    <t>昆仑能源</t>
  </si>
  <si>
    <t>www.lixinger.com/analytics/company/hk/00135/135/detail</t>
  </si>
  <si>
    <t>达利食品</t>
  </si>
  <si>
    <t>www.lixinger.com/analytics/company/hk/03799/3799/detail</t>
  </si>
  <si>
    <t>永利澳门</t>
  </si>
  <si>
    <t>www.lixinger.com/analytics/company/hk/01128/1128/detail</t>
  </si>
  <si>
    <t>新东方-S</t>
  </si>
  <si>
    <t>www.lixinger.com/analytics/company/hk/09901/9901/detail</t>
  </si>
  <si>
    <t>恒安国际</t>
  </si>
  <si>
    <t>个人护理</t>
  </si>
  <si>
    <t>www.lixinger.com/analytics/company/hk/01044/1044/detail</t>
  </si>
  <si>
    <t>海丰国际</t>
  </si>
  <si>
    <t>www.lixinger.com/analytics/company/hk/01308/1308/detail</t>
  </si>
  <si>
    <t>中银航空租赁</t>
  </si>
  <si>
    <t>www.lixinger.com/analytics/company/hk/02588/2588/detail</t>
  </si>
  <si>
    <t>港灯-SS</t>
  </si>
  <si>
    <t>www.lixinger.com/analytics/company/hk/02638/2638/detail</t>
  </si>
  <si>
    <t>招商局港口</t>
  </si>
  <si>
    <t>www.lixinger.com/analytics/company/hk/00144/144/detail</t>
  </si>
  <si>
    <t>中海油田服务</t>
  </si>
  <si>
    <t>油气设备与服务</t>
  </si>
  <si>
    <t>www.lixinger.com/analytics/company/hk/02883/2883/detail</t>
  </si>
  <si>
    <t>中国电力</t>
  </si>
  <si>
    <t>www.lixinger.com/analytics/company/hk/02380/2380/detail</t>
  </si>
  <si>
    <t>尖沙咀置业</t>
  </si>
  <si>
    <t>www.lixinger.com/analytics/company/hk/00247/247/detail</t>
  </si>
  <si>
    <t>东方电气</t>
  </si>
  <si>
    <t>环保工程</t>
  </si>
  <si>
    <t>www.lixinger.com/analytics/company/hk/01072/1072/detail</t>
  </si>
  <si>
    <t>雅迪控股</t>
  </si>
  <si>
    <t>www.lixinger.com/analytics/company/hk/01585/1585/detail</t>
  </si>
  <si>
    <t>同程旅行</t>
  </si>
  <si>
    <t>www.lixinger.com/analytics/company/hk/00780/780/detail</t>
  </si>
  <si>
    <t>中国建筑国际</t>
  </si>
  <si>
    <t>www.lixinger.com/analytics/company/hk/03311/3311/detail</t>
  </si>
  <si>
    <t>凯莱英</t>
  </si>
  <si>
    <t>www.lixinger.com/analytics/company/hk/06821/6821/detail</t>
  </si>
  <si>
    <t>中国信达</t>
  </si>
  <si>
    <t>www.lixinger.com/analytics/company/hk/01359/1359/detail</t>
  </si>
  <si>
    <t>华润医药</t>
  </si>
  <si>
    <t>www.lixinger.com/analytics/company/hk/03320/3320/detail</t>
  </si>
  <si>
    <t>江西铜业股份</t>
  </si>
  <si>
    <t>铜</t>
  </si>
  <si>
    <t>www.lixinger.com/analytics/company/hk/00358/358/detail</t>
  </si>
  <si>
    <t>兖煤澳大利亚</t>
  </si>
  <si>
    <t>www.lixinger.com/analytics/company/hk/03668/3668/detail</t>
  </si>
  <si>
    <t>福莱特玻璃</t>
  </si>
  <si>
    <t>www.lixinger.com/analytics/company/hk/06865/6865/detail</t>
  </si>
  <si>
    <t>波司登</t>
  </si>
  <si>
    <t>www.lixinger.com/analytics/company/hk/03998/3998/detail</t>
  </si>
  <si>
    <t>微创医疗</t>
  </si>
  <si>
    <t>www.lixinger.com/analytics/company/hk/00853/853/detail</t>
  </si>
  <si>
    <t>康方生物-B</t>
  </si>
  <si>
    <t>www.lixinger.com/analytics/company/hk/09926/9926/detail</t>
  </si>
  <si>
    <t>洪九果品</t>
  </si>
  <si>
    <t>农产品</t>
  </si>
  <si>
    <t>www.lixinger.com/analytics/company/hk/06689/6689/detail</t>
  </si>
  <si>
    <t>滔搏</t>
  </si>
  <si>
    <t>服装零售商</t>
  </si>
  <si>
    <t>www.lixinger.com/analytics/company/hk/06110/6110/detail</t>
  </si>
  <si>
    <t>中国银河</t>
  </si>
  <si>
    <t>www.lixinger.com/analytics/company/hk/06881/6881/detail</t>
  </si>
  <si>
    <t>东风集团股份</t>
  </si>
  <si>
    <t>www.lixinger.com/analytics/company/hk/00489/489/detail</t>
  </si>
  <si>
    <t>金山软件</t>
  </si>
  <si>
    <t>www.lixinger.com/analytics/company/hk/03888/3888/detail</t>
  </si>
  <si>
    <t>君实生物</t>
  </si>
  <si>
    <t>www.lixinger.com/analytics/company/hk/01877/1877/detail</t>
  </si>
  <si>
    <t>中国能源建设</t>
  </si>
  <si>
    <t>www.lixinger.com/analytics/company/hk/03996/3996/detail</t>
  </si>
  <si>
    <t>贵州银行</t>
  </si>
  <si>
    <t>www.lixinger.com/analytics/company/hk/06199/6199/detail</t>
  </si>
  <si>
    <t>建发国际集团</t>
  </si>
  <si>
    <t>www.lixinger.com/analytics/company/hk/01908/1908/detail</t>
  </si>
  <si>
    <t>白云山</t>
  </si>
  <si>
    <t>中医药</t>
  </si>
  <si>
    <t>www.lixinger.com/analytics/company/hk/00874/874/detail</t>
  </si>
  <si>
    <t>美高梅中国</t>
  </si>
  <si>
    <t>www.lixinger.com/analytics/company/hk/02282/2282/detail</t>
  </si>
  <si>
    <t>微博-SW</t>
  </si>
  <si>
    <t>www.lixinger.com/analytics/company/hk/09898/9898/detail</t>
  </si>
  <si>
    <t>申万宏源</t>
  </si>
  <si>
    <t>www.lixinger.com/analytics/company/hk/06806/6806/detail</t>
  </si>
  <si>
    <t>欧舒丹</t>
  </si>
  <si>
    <t>www.lixinger.com/analytics/company/hk/00973/973/detail</t>
  </si>
  <si>
    <t>中国中冶</t>
  </si>
  <si>
    <t>www.lixinger.com/analytics/company/hk/01618/1618/detail</t>
  </si>
  <si>
    <t>海吉亚医疗</t>
  </si>
  <si>
    <t>医疗及医学美容服务</t>
  </si>
  <si>
    <t>www.lixinger.com/analytics/company/hk/06078/6078/detail</t>
  </si>
  <si>
    <t>华虹半导体</t>
  </si>
  <si>
    <t>www.lixinger.com/analytics/company/hk/01347/1347/detail</t>
  </si>
  <si>
    <t>江苏宁沪高速公路</t>
  </si>
  <si>
    <t>铁路及公路</t>
  </si>
  <si>
    <t>www.lixinger.com/analytics/company/hk/00177/177/detail</t>
  </si>
  <si>
    <t>中创新航</t>
  </si>
  <si>
    <t>www.lixinger.com/analytics/company/hk/03931/3931/detail</t>
  </si>
  <si>
    <t>中国太平</t>
  </si>
  <si>
    <t>www.lixinger.com/analytics/company/hk/00966/966/detail</t>
  </si>
  <si>
    <t>山高控股</t>
  </si>
  <si>
    <t>www.lixinger.com/analytics/company/hk/00412/412/detail</t>
  </si>
  <si>
    <t>巨子生物</t>
  </si>
  <si>
    <t>www.lixinger.com/analytics/company/hk/02367/2367/detail</t>
  </si>
  <si>
    <t>玖龙纸业</t>
  </si>
  <si>
    <t>纸及纸制品</t>
  </si>
  <si>
    <t>www.lixinger.com/analytics/company/hk/02689/2689/detail</t>
  </si>
  <si>
    <t>徽商银行</t>
  </si>
  <si>
    <t>www.lixinger.com/analytics/company/hk/03698/3698/detail</t>
  </si>
  <si>
    <t>海天国际</t>
  </si>
  <si>
    <t>www.lixinger.com/analytics/company/hk/01882/1882/detail</t>
  </si>
  <si>
    <t>统一企业中国</t>
  </si>
  <si>
    <t>www.lixinger.com/analytics/company/hk/00220/220/detail</t>
  </si>
  <si>
    <t>澳博控股</t>
  </si>
  <si>
    <t>www.lixinger.com/analytics/company/hk/00880/880/detail</t>
  </si>
  <si>
    <t>零跑汽车</t>
  </si>
  <si>
    <t>www.lixinger.com/analytics/company/hk/09863/9863/detail</t>
  </si>
  <si>
    <t>中国华融</t>
  </si>
  <si>
    <t>www.lixinger.com/analytics/company/hk/02799/2799/detail</t>
  </si>
  <si>
    <t>伊泰煤炭</t>
  </si>
  <si>
    <t>www.lixinger.com/analytics/company/hk/03948/3948/detail</t>
  </si>
  <si>
    <t>中联重科</t>
  </si>
  <si>
    <t>重机械</t>
  </si>
  <si>
    <t>www.lixinger.com/analytics/company/hk/01157/1157/detail</t>
  </si>
  <si>
    <t>华电国际电力股份</t>
  </si>
  <si>
    <t>www.lixinger.com/analytics/company/hk/01071/1071/detail</t>
  </si>
  <si>
    <t>阅文集团</t>
  </si>
  <si>
    <t>出版</t>
  </si>
  <si>
    <t>www.lixinger.com/analytics/company/hk/00772/772/detail</t>
  </si>
  <si>
    <t>北京控股</t>
  </si>
  <si>
    <t>www.lixinger.com/analytics/company/hk/00392/392/detail</t>
  </si>
  <si>
    <t>荣昌生物-B</t>
  </si>
  <si>
    <t>www.lixinger.com/analytics/company/hk/09995/9995/detail</t>
  </si>
  <si>
    <t>中集集团</t>
  </si>
  <si>
    <t>www.lixinger.com/analytics/company/hk/02039/2039/detail</t>
  </si>
  <si>
    <t>众安在线</t>
  </si>
  <si>
    <t>www.lixinger.com/analytics/company/hk/06060/6060/detail</t>
  </si>
  <si>
    <t>东方证券</t>
  </si>
  <si>
    <t>www.lixinger.com/analytics/company/hk/03958/3958/detail</t>
  </si>
  <si>
    <t>金风科技</t>
  </si>
  <si>
    <t>www.lixinger.com/analytics/company/hk/02208/2208/detail</t>
  </si>
  <si>
    <t>金界控股</t>
  </si>
  <si>
    <t>www.lixinger.com/analytics/company/hk/03918/3918/detail</t>
  </si>
  <si>
    <t>JS环球生活</t>
  </si>
  <si>
    <t>www.lixinger.com/analytics/company/hk/01691/1691/detail</t>
  </si>
  <si>
    <t>万国数据-SW</t>
  </si>
  <si>
    <t>www.lixinger.com/analytics/company/hk/09698/9698/detail</t>
  </si>
  <si>
    <t>九毛九</t>
  </si>
  <si>
    <t>www.lixinger.com/analytics/company/hk/09922/9922/detail</t>
  </si>
  <si>
    <t>中国重汽</t>
  </si>
  <si>
    <t>www.lixinger.com/analytics/company/hk/03808/3808/detail</t>
  </si>
  <si>
    <t>汽车之家-S</t>
  </si>
  <si>
    <t>www.lixinger.com/analytics/company/hk/02518/2518/detail</t>
  </si>
  <si>
    <t>海螺创业</t>
  </si>
  <si>
    <t>www.lixinger.com/analytics/company/hk/00586/586/detail</t>
  </si>
  <si>
    <t>蓝月亮集团</t>
  </si>
  <si>
    <t>家具</t>
  </si>
  <si>
    <t>www.lixinger.com/analytics/company/hk/06993/6993/detail</t>
  </si>
  <si>
    <t>敏华控股</t>
  </si>
  <si>
    <t>www.lixinger.com/analytics/company/hk/01999/1999/detail</t>
  </si>
  <si>
    <t>重庆农村商业银行</t>
  </si>
  <si>
    <t>www.lixinger.com/analytics/company/hk/03618/3618/detail</t>
  </si>
  <si>
    <t>康哲药业</t>
  </si>
  <si>
    <t>www.lixinger.com/analytics/company/hk/00867/867/detail</t>
  </si>
  <si>
    <t>越秀地产</t>
  </si>
  <si>
    <t>www.lixinger.com/analytics/company/hk/00123/123/detail</t>
  </si>
  <si>
    <t>广州农商银行</t>
  </si>
  <si>
    <t>www.lixinger.com/analytics/company/hk/01551/1551/detail</t>
  </si>
  <si>
    <t>中远海能</t>
  </si>
  <si>
    <t>www.lixinger.com/analytics/company/hk/01138/1138/detail</t>
  </si>
  <si>
    <t>招金矿业</t>
  </si>
  <si>
    <t>www.lixinger.com/analytics/company/hk/01818/1818/detail</t>
  </si>
  <si>
    <t>泡泡玛特</t>
  </si>
  <si>
    <t>玩具及消闲用品</t>
  </si>
  <si>
    <t>www.lixinger.com/analytics/company/hk/09992/9992/detail</t>
  </si>
  <si>
    <t>新秀丽</t>
  </si>
  <si>
    <t>www.lixinger.com/analytics/company/hk/01910/1910/detail</t>
  </si>
  <si>
    <t>颐海国际</t>
  </si>
  <si>
    <t>食品添加剂</t>
  </si>
  <si>
    <t>www.lixinger.com/analytics/company/hk/01579/1579/detail</t>
  </si>
  <si>
    <t>微创机器人-B</t>
  </si>
  <si>
    <t>www.lixinger.com/analytics/company/hk/02252/2252/detail</t>
  </si>
  <si>
    <t>华润水泥控股</t>
  </si>
  <si>
    <t>www.lixinger.com/analytics/company/hk/01313/1313/detail</t>
  </si>
  <si>
    <t>先声药业</t>
  </si>
  <si>
    <t>www.lixinger.com/analytics/company/hk/02096/2096/detail</t>
  </si>
  <si>
    <t>中海物业</t>
  </si>
  <si>
    <t>www.lixinger.com/analytics/company/hk/02669/2669/detail</t>
  </si>
  <si>
    <t>绿城中国</t>
  </si>
  <si>
    <t>www.lixinger.com/analytics/company/hk/03900/3900/detail</t>
  </si>
  <si>
    <t>渤海银行</t>
  </si>
  <si>
    <t>www.lixinger.com/analytics/company/hk/09668/9668/detail</t>
  </si>
  <si>
    <t>维达国际</t>
  </si>
  <si>
    <t>www.lixinger.com/analytics/company/hk/03331/3331/detail</t>
  </si>
  <si>
    <t>艾美疫苗</t>
  </si>
  <si>
    <t>www.lixinger.com/analytics/company/hk/06660/6660/detail</t>
  </si>
  <si>
    <t>建滔集团</t>
  </si>
  <si>
    <t>www.lixinger.com/analytics/company/hk/00148/148/detail</t>
  </si>
  <si>
    <t>上海电气</t>
  </si>
  <si>
    <t>www.lixinger.com/analytics/company/hk/02727/2727/detail</t>
  </si>
  <si>
    <t>中航科工</t>
  </si>
  <si>
    <t>航空航天与国防</t>
  </si>
  <si>
    <t>www.lixinger.com/analytics/company/hk/02357/2357/detail</t>
  </si>
  <si>
    <t>电讯盈科</t>
  </si>
  <si>
    <t>www.lixinger.com/analytics/company/hk/00008/8/detail</t>
  </si>
  <si>
    <t>中国通号</t>
  </si>
  <si>
    <t>www.lixinger.com/analytics/company/hk/03969/3969/detail</t>
  </si>
  <si>
    <t>保利物业</t>
  </si>
  <si>
    <t>www.lixinger.com/analytics/company/hk/06049/6049/detail</t>
  </si>
  <si>
    <t>建滔积层板</t>
  </si>
  <si>
    <t>www.lixinger.com/analytics/company/hk/01888/1888/detail</t>
  </si>
  <si>
    <t>名创优品</t>
  </si>
  <si>
    <t>多元化零售商</t>
  </si>
  <si>
    <t>www.lixinger.com/analytics/company/hk/09896/9896/detail</t>
  </si>
  <si>
    <t>希慎兴业</t>
  </si>
  <si>
    <t>www.lixinger.com/analytics/company/hk/00014/14/detail</t>
  </si>
  <si>
    <t>浙江沪杭甬</t>
  </si>
  <si>
    <t>www.lixinger.com/analytics/company/hk/00576/576/detail</t>
  </si>
  <si>
    <t>新创建集团</t>
  </si>
  <si>
    <t>www.lixinger.com/analytics/company/hk/00659/659/detail</t>
  </si>
  <si>
    <t>北京首都机场股份</t>
  </si>
  <si>
    <t>www.lixinger.com/analytics/company/hk/00694/694/detail</t>
  </si>
  <si>
    <t>上海复旦</t>
  </si>
  <si>
    <t>www.lixinger.com/analytics/company/hk/01385/1385/detail</t>
  </si>
  <si>
    <t>远东宏信</t>
  </si>
  <si>
    <t>信贷</t>
  </si>
  <si>
    <t>www.lixinger.com/analytics/company/hk/03360/3360/detail</t>
  </si>
  <si>
    <t>360数科-S</t>
  </si>
  <si>
    <t>www.lixinger.com/analytics/company/hk/03660/3660/detail</t>
  </si>
  <si>
    <t>高鑫零售</t>
  </si>
  <si>
    <t>超市及便利店</t>
  </si>
  <si>
    <t>www.lixinger.com/analytics/company/hk/06808/6808/detail</t>
  </si>
  <si>
    <t>中国联塑</t>
  </si>
  <si>
    <t>www.lixinger.com/analytics/company/hk/02128/2128/detail</t>
  </si>
  <si>
    <t>嘉里建设</t>
  </si>
  <si>
    <t>www.lixinger.com/analytics/company/hk/00683/683/detail</t>
  </si>
  <si>
    <t>东亚银行</t>
  </si>
  <si>
    <t>www.lixinger.com/analytics/company/hk/00023/23/detail</t>
  </si>
  <si>
    <t>诺诚健华-B</t>
  </si>
  <si>
    <t>www.lixinger.com/analytics/company/hk/09969/9969/detail</t>
  </si>
  <si>
    <t>嘉里物流</t>
  </si>
  <si>
    <t>www.lixinger.com/analytics/company/hk/00636/636/detail</t>
  </si>
  <si>
    <t>三一国际</t>
  </si>
  <si>
    <t>www.lixinger.com/analytics/company/hk/00631/631/detail</t>
  </si>
  <si>
    <t>青岛港</t>
  </si>
  <si>
    <t>www.lixinger.com/analytics/company/hk/06198/6198/detail</t>
  </si>
  <si>
    <t>卫龙</t>
  </si>
  <si>
    <t>www.lixinger.com/analytics/company/hk/09985/9985/detail</t>
  </si>
  <si>
    <t>敏实集团</t>
  </si>
  <si>
    <t>www.lixinger.com/analytics/company/hk/00425/425/detail</t>
  </si>
  <si>
    <t>华晨中国</t>
  </si>
  <si>
    <t>www.lixinger.com/analytics/company/hk/01114/1114/detail</t>
  </si>
  <si>
    <t>力勤资源</t>
  </si>
  <si>
    <t>www.lixinger.com/analytics/company/hk/02245/2245/detail</t>
  </si>
  <si>
    <t>大唐发电</t>
  </si>
  <si>
    <t>www.lixinger.com/analytics/company/hk/00991/991/detail</t>
  </si>
  <si>
    <t>平安好医生</t>
  </si>
  <si>
    <t>www.lixinger.com/analytics/company/hk/01833/1833/detail</t>
  </si>
  <si>
    <t>再鼎医药</t>
  </si>
  <si>
    <t>www.lixinger.com/analytics/company/hk/09688/9688/detail</t>
  </si>
  <si>
    <t>丽珠医药</t>
  </si>
  <si>
    <t>www.lixinger.com/analytics/company/hk/01513/1513/detail</t>
  </si>
  <si>
    <t>光大证券</t>
  </si>
  <si>
    <t>www.lixinger.com/analytics/company/hk/06178/6178/detail</t>
  </si>
  <si>
    <t>中教控股</t>
  </si>
  <si>
    <t>www.lixinger.com/analytics/company/hk/00839/839/detail</t>
  </si>
  <si>
    <t>健世科技-B</t>
  </si>
  <si>
    <t>www.lixinger.com/analytics/company/hk/09877/9877/detail</t>
  </si>
  <si>
    <t>香格里拉(亚洲)</t>
  </si>
  <si>
    <t>www.lixinger.com/analytics/company/hk/00069/69/detail</t>
  </si>
  <si>
    <t>中原银行</t>
  </si>
  <si>
    <t>www.lixinger.com/analytics/company/hk/01216/1216/detail</t>
  </si>
  <si>
    <t>九江银行</t>
  </si>
  <si>
    <t>www.lixinger.com/analytics/company/hk/06190/6190/detail</t>
  </si>
  <si>
    <t>中国金茂</t>
  </si>
  <si>
    <t>www.lixinger.com/analytics/company/hk/00817/817/detail</t>
  </si>
  <si>
    <t>ASMPT</t>
  </si>
  <si>
    <t>www.lixinger.com/analytics/company/hk/00522/522/detail</t>
  </si>
  <si>
    <t>特步国际</t>
  </si>
  <si>
    <t>鞋类</t>
  </si>
  <si>
    <t>www.lixinger.com/analytics/company/hk/01368/1368/detail</t>
  </si>
  <si>
    <t>合生创展集团</t>
  </si>
  <si>
    <t>www.lixinger.com/analytics/company/hk/00754/754/detail</t>
  </si>
  <si>
    <t>昭衍新药</t>
  </si>
  <si>
    <t>www.lixinger.com/analytics/company/hk/06127/6127/detail</t>
  </si>
  <si>
    <t>美东汽车</t>
  </si>
  <si>
    <t>www.lixinger.com/analytics/company/hk/01268/1268/detail</t>
  </si>
  <si>
    <t>国浩集团</t>
  </si>
  <si>
    <t>www.lixinger.com/analytics/company/hk/00053/53/detail</t>
  </si>
  <si>
    <t>中国软件国际</t>
  </si>
  <si>
    <t>www.lixinger.com/analytics/company/hk/00354/354/detail</t>
  </si>
  <si>
    <t>中国再保险</t>
  </si>
  <si>
    <t>www.lixinger.com/analytics/company/hk/01508/1508/detail</t>
  </si>
  <si>
    <t>光大环境</t>
  </si>
  <si>
    <t>www.lixinger.com/analytics/company/hk/00257/257/detail</t>
  </si>
  <si>
    <t>和黄医药</t>
  </si>
  <si>
    <t>www.lixinger.com/analytics/company/hk/00013/13/detail</t>
  </si>
  <si>
    <t>中远海运港口</t>
  </si>
  <si>
    <t>www.lixinger.com/analytics/company/hk/01199/1199/detail</t>
  </si>
  <si>
    <t>瑞声科技</t>
  </si>
  <si>
    <t>www.lixinger.com/analytics/company/hk/02018/2018/detail</t>
  </si>
  <si>
    <t>中国通信服务</t>
  </si>
  <si>
    <t>www.lixinger.com/analytics/company/hk/00552/552/detail</t>
  </si>
  <si>
    <t>汇通达网络</t>
  </si>
  <si>
    <t>www.lixinger.com/analytics/company/hk/09878/9878/detail</t>
  </si>
  <si>
    <t>鞍钢股份</t>
  </si>
  <si>
    <t>钢铁</t>
  </si>
  <si>
    <t>www.lixinger.com/analytics/company/hk/00347/347/detail</t>
  </si>
  <si>
    <t>新城发展</t>
  </si>
  <si>
    <t>www.lixinger.com/analytics/company/hk/01030/1030/detail</t>
  </si>
  <si>
    <t>新特能源</t>
  </si>
  <si>
    <t>www.lixinger.com/analytics/company/hk/01799/1799/detail</t>
  </si>
  <si>
    <t>海伦司</t>
  </si>
  <si>
    <t>www.lixinger.com/analytics/company/hk/09869/9869/detail</t>
  </si>
  <si>
    <t>联想控股</t>
  </si>
  <si>
    <t>www.lixinger.com/analytics/company/hk/03396/3396/detail</t>
  </si>
  <si>
    <t>北控水务集团</t>
  </si>
  <si>
    <t>www.lixinger.com/analytics/company/hk/00371/371/detail</t>
  </si>
  <si>
    <t>联合能源集团</t>
  </si>
  <si>
    <t>www.lixinger.com/analytics/company/hk/00467/467/detail</t>
  </si>
  <si>
    <t>三生制药</t>
  </si>
  <si>
    <t>www.lixinger.com/analytics/company/hk/01530/1530/detail</t>
  </si>
  <si>
    <t>时代天使</t>
  </si>
  <si>
    <t>www.lixinger.com/analytics/company/hk/06699/6699/detail</t>
  </si>
  <si>
    <t>中国儒意</t>
  </si>
  <si>
    <t>www.lixinger.com/analytics/company/hk/00136/136/detail</t>
  </si>
  <si>
    <t>东岳集团</t>
  </si>
  <si>
    <t>特殊化工用品</t>
  </si>
  <si>
    <t>www.lixinger.com/analytics/company/hk/00189/189/detail</t>
  </si>
  <si>
    <t>泉峰控股</t>
  </si>
  <si>
    <t>www.lixinger.com/analytics/company/hk/02285/2285/detail</t>
  </si>
  <si>
    <t>信义能源</t>
  </si>
  <si>
    <t>www.lixinger.com/analytics/company/hk/03868/3868/detail</t>
  </si>
  <si>
    <t>恒隆集团</t>
  </si>
  <si>
    <t>www.lixinger.com/analytics/company/hk/00010/10/detail</t>
  </si>
  <si>
    <t>锦州银行</t>
  </si>
  <si>
    <t>www.lixinger.com/analytics/company/hk/00416/416/detail</t>
  </si>
  <si>
    <t>金力永磁</t>
  </si>
  <si>
    <t>www.lixinger.com/analytics/company/hk/06680/6680/detail</t>
  </si>
  <si>
    <t>锦欣生殖</t>
  </si>
  <si>
    <t>www.lixinger.com/analytics/company/hk/01951/1951/detail</t>
  </si>
  <si>
    <t>星空华文</t>
  </si>
  <si>
    <t>www.lixinger.com/analytics/company/hk/06698/6698/detail</t>
  </si>
  <si>
    <t>中国外运</t>
  </si>
  <si>
    <t>www.lixinger.com/analytics/company/hk/00598/598/detail</t>
  </si>
  <si>
    <t>冠君产业信托</t>
  </si>
  <si>
    <t>www.lixinger.com/analytics/company/hk/02778/2778/detail</t>
  </si>
  <si>
    <t>华新水泥</t>
  </si>
  <si>
    <t>www.lixinger.com/analytics/company/hk/06655/6655/detail</t>
  </si>
  <si>
    <t>中国中药</t>
  </si>
  <si>
    <t>www.lixinger.com/analytics/company/hk/00570/570/detail</t>
  </si>
  <si>
    <t>青岛银行</t>
  </si>
  <si>
    <t>www.lixinger.com/analytics/company/hk/03866/3866/detail</t>
  </si>
  <si>
    <t>微盟集团</t>
  </si>
  <si>
    <t>广告及宣传</t>
  </si>
  <si>
    <t>www.lixinger.com/analytics/company/hk/02013/2013/detail</t>
  </si>
  <si>
    <t>深圳国际</t>
  </si>
  <si>
    <t>www.lixinger.com/analytics/company/hk/00152/152/detail</t>
  </si>
  <si>
    <t>中国天瑞水泥</t>
  </si>
  <si>
    <t>www.lixinger.com/analytics/company/hk/01252/1252/detail</t>
  </si>
  <si>
    <t>中环控股</t>
  </si>
  <si>
    <t>楼宇建造</t>
  </si>
  <si>
    <t>www.lixinger.com/analytics/company/hk/01735/1735/detail</t>
  </si>
  <si>
    <t>五矿资源</t>
  </si>
  <si>
    <t>www.lixinger.com/analytics/company/hk/01208/1208/detail</t>
  </si>
  <si>
    <t>裕元集团</t>
  </si>
  <si>
    <t>www.lixinger.com/analytics/company/hk/00551/551/detail</t>
  </si>
  <si>
    <t>维他奶国际</t>
  </si>
  <si>
    <t>www.lixinger.com/analytics/company/hk/00345/345/detail</t>
  </si>
  <si>
    <t>绿城服务</t>
  </si>
  <si>
    <t>www.lixinger.com/analytics/company/hk/02869/2869/detail</t>
  </si>
  <si>
    <t>大唐新能源</t>
  </si>
  <si>
    <t>www.lixinger.com/analytics/company/hk/01798/1798/detail</t>
  </si>
  <si>
    <t>北京汽车</t>
  </si>
  <si>
    <t>www.lixinger.com/analytics/company/hk/01958/1958/detail</t>
  </si>
  <si>
    <t>云音乐</t>
  </si>
  <si>
    <t>www.lixinger.com/analytics/company/hk/09899/9899/detail</t>
  </si>
  <si>
    <t>中裕能源</t>
  </si>
  <si>
    <t>www.lixinger.com/analytics/company/hk/03633/3633/detail</t>
  </si>
  <si>
    <t>辽港股份</t>
  </si>
  <si>
    <t>www.lixinger.com/analytics/company/hk/02880/2880/detail</t>
  </si>
  <si>
    <t>康希诺生物</t>
  </si>
  <si>
    <t>www.lixinger.com/analytics/company/hk/06185/6185/detail</t>
  </si>
  <si>
    <t>美的置业</t>
  </si>
  <si>
    <t>www.lixinger.com/analytics/company/hk/03990/3990/detail</t>
  </si>
  <si>
    <t>友联租赁</t>
  </si>
  <si>
    <t>www.lixinger.com/analytics/company/hk/01563/1563/detail</t>
  </si>
  <si>
    <t>远大医药</t>
  </si>
  <si>
    <t>www.lixinger.com/analytics/company/hk/00512/512/detail</t>
  </si>
  <si>
    <t>阿里影业</t>
  </si>
  <si>
    <t>www.lixinger.com/analytics/company/hk/01060/1060/detail</t>
  </si>
  <si>
    <t>京能清洁能源</t>
  </si>
  <si>
    <t>www.lixinger.com/analytics/company/hk/00579/579/detail</t>
  </si>
  <si>
    <t>金辉控股</t>
  </si>
  <si>
    <t>www.lixinger.com/analytics/company/hk/09993/9993/detail</t>
  </si>
  <si>
    <t>中集安瑞科</t>
  </si>
  <si>
    <t>www.lixinger.com/analytics/company/hk/03899/3899/detail</t>
  </si>
  <si>
    <t>福寿园</t>
  </si>
  <si>
    <t>其他支援服务</t>
  </si>
  <si>
    <t>www.lixinger.com/analytics/company/hk/01448/1448/detail</t>
  </si>
  <si>
    <t>中石化炼化工程</t>
  </si>
  <si>
    <t>www.lixinger.com/analytics/company/hk/02386/2386/detail</t>
  </si>
  <si>
    <t>叮当健康</t>
  </si>
  <si>
    <t>www.lixinger.com/analytics/company/hk/09886/9886/detail</t>
  </si>
  <si>
    <t>康诺亚-B</t>
  </si>
  <si>
    <t>www.lixinger.com/analytics/company/hk/02162/2162/detail</t>
  </si>
  <si>
    <t>甘肃银行</t>
  </si>
  <si>
    <t>www.lixinger.com/analytics/company/hk/02139/2139/detail</t>
  </si>
  <si>
    <t>鸿腾精密</t>
  </si>
  <si>
    <t>www.lixinger.com/analytics/company/hk/06088/6088/detail</t>
  </si>
  <si>
    <t>理文造纸</t>
  </si>
  <si>
    <t>www.lixinger.com/analytics/company/hk/02314/2314/detail</t>
  </si>
  <si>
    <t>深圳高速公路股份</t>
  </si>
  <si>
    <t>www.lixinger.com/analytics/company/hk/00548/548/detail</t>
  </si>
  <si>
    <t>上海石油化工股份</t>
  </si>
  <si>
    <t>www.lixinger.com/analytics/company/hk/00338/338/detail</t>
  </si>
  <si>
    <t>中国有色矿业</t>
  </si>
  <si>
    <t>www.lixinger.com/analytics/company/hk/01258/1258/detail</t>
  </si>
  <si>
    <t>金阳新能源</t>
  </si>
  <si>
    <t>www.lixinger.com/analytics/company/hk/01121/1121/detail</t>
  </si>
  <si>
    <t>石四药集团</t>
  </si>
  <si>
    <t>www.lixinger.com/analytics/company/hk/02005/2005/detail</t>
  </si>
  <si>
    <t>马鞍山钢铁股份</t>
  </si>
  <si>
    <t>www.lixinger.com/analytics/company/hk/00323/323/detail</t>
  </si>
  <si>
    <t>明源云</t>
  </si>
  <si>
    <t>www.lixinger.com/analytics/company/hk/00909/909/detail</t>
  </si>
  <si>
    <t>复星旅游文化</t>
  </si>
  <si>
    <t>www.lixinger.com/analytics/company/hk/01992/1992/detail</t>
  </si>
  <si>
    <t>重庆银行</t>
  </si>
  <si>
    <t>www.lixinger.com/analytics/company/hk/01963/1963/detail</t>
  </si>
  <si>
    <t>思派健康</t>
  </si>
  <si>
    <t>www.lixinger.com/analytics/company/hk/00314/314/detail</t>
  </si>
  <si>
    <t>中远海发</t>
  </si>
  <si>
    <t>www.lixinger.com/analytics/company/hk/02866/2866/detail</t>
  </si>
  <si>
    <t>六福集团</t>
  </si>
  <si>
    <t>www.lixinger.com/analytics/company/hk/00590/590/detail</t>
  </si>
  <si>
    <t>雅生活服务</t>
  </si>
  <si>
    <t>www.lixinger.com/analytics/company/hk/03319/3319/detail</t>
  </si>
  <si>
    <t>首程控股</t>
  </si>
  <si>
    <t>www.lixinger.com/analytics/company/hk/00697/697/detail</t>
  </si>
  <si>
    <t>大酒店</t>
  </si>
  <si>
    <t>www.lixinger.com/analytics/company/hk/00045/45/detail</t>
  </si>
  <si>
    <t>太平洋航运</t>
  </si>
  <si>
    <t>www.lixinger.com/analytics/company/hk/02343/2343/detail</t>
  </si>
  <si>
    <t>新天绿色能源</t>
  </si>
  <si>
    <t>www.lixinger.com/analytics/company/hk/00956/956/detail</t>
  </si>
  <si>
    <t>海信家电</t>
  </si>
  <si>
    <t>www.lixinger.com/analytics/company/hk/00921/921/detail</t>
  </si>
  <si>
    <t>中国旭阳集团</t>
  </si>
  <si>
    <t>www.lixinger.com/analytics/company/hk/01907/1907/detail</t>
  </si>
  <si>
    <t>新濠国际发展</t>
  </si>
  <si>
    <t>www.lixinger.com/analytics/company/hk/00200/200/detail</t>
  </si>
  <si>
    <t>奈雪的茶</t>
  </si>
  <si>
    <t>www.lixinger.com/analytics/company/hk/02150/2150/detail</t>
  </si>
  <si>
    <t>周黑鸭</t>
  </si>
  <si>
    <t>www.lixinger.com/analytics/company/hk/01458/1458/detail</t>
  </si>
  <si>
    <t>微创脑科学</t>
  </si>
  <si>
    <t>www.lixinger.com/analytics/company/hk/02172/2172/detail</t>
  </si>
  <si>
    <t>融创服务</t>
  </si>
  <si>
    <t>www.lixinger.com/analytics/company/hk/01516/1516/detail</t>
  </si>
  <si>
    <t>耐世特</t>
  </si>
  <si>
    <t>www.lixinger.com/analytics/company/hk/01316/1316/detail</t>
  </si>
  <si>
    <t>绿叶制药</t>
  </si>
  <si>
    <t>www.lixinger.com/analytics/company/hk/02186/2186/detail</t>
  </si>
  <si>
    <t>中国东方教育</t>
  </si>
  <si>
    <t>www.lixinger.com/analytics/company/hk/00667/667/detail</t>
  </si>
  <si>
    <t>国银金租</t>
  </si>
  <si>
    <t>www.lixinger.com/analytics/company/hk/01606/1606/detail</t>
  </si>
  <si>
    <t>华宝国际</t>
  </si>
  <si>
    <t>www.lixinger.com/analytics/company/hk/00336/336/detail</t>
  </si>
  <si>
    <t>海昌海洋公园</t>
  </si>
  <si>
    <t>消闲及文娱设施</t>
  </si>
  <si>
    <t>www.lixinger.com/analytics/company/hk/02255/2255/detail</t>
  </si>
  <si>
    <t>鹰君</t>
  </si>
  <si>
    <t>www.lixinger.com/analytics/company/hk/00041/41/detail</t>
  </si>
  <si>
    <t>伟禄集团</t>
  </si>
  <si>
    <t>www.lixinger.com/analytics/company/hk/01196/1196/detail</t>
  </si>
  <si>
    <t>伟易达集团</t>
  </si>
  <si>
    <t>www.lixinger.com/analytics/company/hk/00303/303/detail</t>
  </si>
  <si>
    <t>创新奇智</t>
  </si>
  <si>
    <t>www.lixinger.com/analytics/company/hk/02121/2121/detail</t>
  </si>
  <si>
    <t>首钢资源</t>
  </si>
  <si>
    <t>www.lixinger.com/analytics/company/hk/00639/639/detail</t>
  </si>
  <si>
    <t>港华智慧能源</t>
  </si>
  <si>
    <t>www.lixinger.com/analytics/company/hk/01083/1083/detail</t>
  </si>
  <si>
    <t>亚信科技</t>
  </si>
  <si>
    <t>www.lixinger.com/analytics/company/hk/01675/1675/detail</t>
  </si>
  <si>
    <t>郑煤机</t>
  </si>
  <si>
    <t>www.lixinger.com/analytics/company/hk/00564/564/detail</t>
  </si>
  <si>
    <t>置富产业信托</t>
  </si>
  <si>
    <t>www.lixinger.com/analytics/company/hk/00778/778/detail</t>
  </si>
  <si>
    <t>乐普生物-B</t>
  </si>
  <si>
    <t>www.lixinger.com/analytics/company/hk/02157/2157/detail</t>
  </si>
  <si>
    <t>中国海外宏洋集团</t>
  </si>
  <si>
    <t>www.lixinger.com/analytics/company/hk/00081/81/detail</t>
  </si>
  <si>
    <t>瑞科生物-B</t>
  </si>
  <si>
    <t>www.lixinger.com/analytics/company/hk/02179/2179/detail</t>
  </si>
  <si>
    <t>绿城管理控股</t>
  </si>
  <si>
    <t>www.lixinger.com/analytics/company/hk/09979/9979/detail</t>
  </si>
  <si>
    <t>阜丰集团</t>
  </si>
  <si>
    <t>www.lixinger.com/analytics/company/hk/00546/546/detail</t>
  </si>
  <si>
    <t>深圳控股</t>
  </si>
  <si>
    <t>www.lixinger.com/analytics/company/hk/00604/604/detail</t>
  </si>
  <si>
    <t>先健科技</t>
  </si>
  <si>
    <t>www.lixinger.com/analytics/company/hk/01302/1302/detail</t>
  </si>
  <si>
    <t>上美股份</t>
  </si>
  <si>
    <t>www.lixinger.com/analytics/company/hk/02145/2145/detail</t>
  </si>
  <si>
    <t>中广核新能源</t>
  </si>
  <si>
    <t>www.lixinger.com/analytics/company/hk/01811/1811/detail</t>
  </si>
  <si>
    <t>天津银行</t>
  </si>
  <si>
    <t>www.lixinger.com/analytics/company/hk/01578/1578/detail</t>
  </si>
  <si>
    <t>固生堂</t>
  </si>
  <si>
    <t>www.lixinger.com/analytics/company/hk/02273/2273/detail</t>
  </si>
  <si>
    <t>京东方精电</t>
  </si>
  <si>
    <t>www.lixinger.com/analytics/company/hk/00710/710/detail</t>
  </si>
  <si>
    <t>国联证券</t>
  </si>
  <si>
    <t>www.lixinger.com/analytics/company/hk/01456/1456/detail</t>
  </si>
  <si>
    <t>美兰空港</t>
  </si>
  <si>
    <t>www.lixinger.com/analytics/company/hk/00357/357/detail</t>
  </si>
  <si>
    <t>永达汽车</t>
  </si>
  <si>
    <t>www.lixinger.com/analytics/company/hk/03669/3669/detail</t>
  </si>
  <si>
    <t>九台农商银行</t>
  </si>
  <si>
    <t>www.lixinger.com/analytics/company/hk/06122/6122/detail</t>
  </si>
  <si>
    <t>金隅集团</t>
  </si>
  <si>
    <t>www.lixinger.com/analytics/company/hk/02009/2009/detail</t>
  </si>
  <si>
    <t>红星美凯龙</t>
  </si>
  <si>
    <t>www.lixinger.com/analytics/company/hk/01528/1528/detail</t>
  </si>
  <si>
    <t>非凡中国</t>
  </si>
  <si>
    <t>www.lixinger.com/analytics/company/hk/08032/8032/detail</t>
  </si>
  <si>
    <t>中国水务</t>
  </si>
  <si>
    <t>www.lixinger.com/analytics/company/hk/00855/855/detail</t>
  </si>
  <si>
    <t>旭辉控股集团</t>
  </si>
  <si>
    <t>www.lixinger.com/analytics/company/hk/00884/884/detail</t>
  </si>
  <si>
    <t>爱康医疗</t>
  </si>
  <si>
    <t>www.lixinger.com/analytics/company/hk/01789/1789/detail</t>
  </si>
  <si>
    <t>康基医疗</t>
  </si>
  <si>
    <t>www.lixinger.com/analytics/company/hk/09997/9997/detail</t>
  </si>
  <si>
    <t>心动公司</t>
  </si>
  <si>
    <t>www.lixinger.com/analytics/company/hk/02400/2400/detail</t>
  </si>
  <si>
    <t>上海实业控股</t>
  </si>
  <si>
    <t>www.lixinger.com/analytics/company/hk/00363/363/detail</t>
  </si>
  <si>
    <t>中船防务</t>
  </si>
  <si>
    <t>www.lixinger.com/analytics/company/hk/00317/317/detail</t>
  </si>
  <si>
    <t>安徽皖通高速公路</t>
  </si>
  <si>
    <t>www.lixinger.com/analytics/company/hk/00995/995/detail</t>
  </si>
  <si>
    <t>荣晖国际</t>
  </si>
  <si>
    <t>www.lixinger.com/analytics/company/hk/00990/990/detail</t>
  </si>
  <si>
    <t>金地商置</t>
  </si>
  <si>
    <t>www.lixinger.com/analytics/company/hk/00535/535/detail</t>
  </si>
  <si>
    <t>H&amp;H国际控股</t>
  </si>
  <si>
    <t>www.lixinger.com/analytics/company/hk/01112/1112/detail</t>
  </si>
  <si>
    <t>猫眼娱乐</t>
  </si>
  <si>
    <t>www.lixinger.com/analytics/company/hk/01896/1896/detail</t>
  </si>
  <si>
    <t>长飞光纤光缆</t>
  </si>
  <si>
    <t>www.lixinger.com/analytics/company/hk/06869/6869/detail</t>
  </si>
  <si>
    <t>康宁杰瑞制药-B</t>
  </si>
  <si>
    <t>www.lixinger.com/analytics/company/hk/09966/9966/detail</t>
  </si>
  <si>
    <t>3DMEDICINES-B</t>
  </si>
  <si>
    <t>www.lixinger.com/analytics/company/hk/01244/1244/detail</t>
  </si>
  <si>
    <t>粤丰环保</t>
  </si>
  <si>
    <t>www.lixinger.com/analytics/company/hk/01381/1381/detail</t>
  </si>
  <si>
    <t>百奥赛图-B</t>
  </si>
  <si>
    <t>www.lixinger.com/analytics/company/hk/02315/2315/detail</t>
  </si>
  <si>
    <t>广深铁路股份</t>
  </si>
  <si>
    <t>www.lixinger.com/analytics/company/hk/00525/525/detail</t>
  </si>
  <si>
    <t>博安生物-B</t>
  </si>
  <si>
    <t>www.lixinger.com/analytics/company/hk/06955/6955/detail</t>
  </si>
  <si>
    <t>中石化油服</t>
  </si>
  <si>
    <t>www.lixinger.com/analytics/company/hk/01033/1033/detail</t>
  </si>
  <si>
    <t>中信国际电讯</t>
  </si>
  <si>
    <t>www.lixinger.com/analytics/company/hk/01883/1883/detail</t>
  </si>
  <si>
    <t>新意网集团</t>
  </si>
  <si>
    <t>www.lixinger.com/analytics/company/hk/01686/1686/detail</t>
  </si>
  <si>
    <t>云康集团</t>
  </si>
  <si>
    <t>www.lixinger.com/analytics/company/hk/02325/2325/detail</t>
  </si>
  <si>
    <t>中国光大控股</t>
  </si>
  <si>
    <t>www.lixinger.com/analytics/company/hk/00165/165/detail</t>
  </si>
  <si>
    <t>心泰医疗</t>
  </si>
  <si>
    <t>www.lixinger.com/analytics/company/hk/02291/2291/detail</t>
  </si>
  <si>
    <t>雅居乐集团</t>
  </si>
  <si>
    <t>www.lixinger.com/analytics/company/hk/03383/3383/detail</t>
  </si>
  <si>
    <t>第一太平</t>
  </si>
  <si>
    <t>www.lixinger.com/analytics/company/hk/00142/142/detail</t>
  </si>
  <si>
    <t>香港中旅</t>
  </si>
  <si>
    <t>www.lixinger.com/analytics/company/hk/00308/308/detail</t>
  </si>
  <si>
    <t>呷哺呷哺</t>
  </si>
  <si>
    <t>www.lixinger.com/analytics/company/hk/00520/520/detail</t>
  </si>
  <si>
    <t>医思健康</t>
  </si>
  <si>
    <t>www.lixinger.com/analytics/company/hk/02138/2138/detail</t>
  </si>
  <si>
    <t>同仁堂国药</t>
  </si>
  <si>
    <t>www.lixinger.com/analytics/company/hk/03613/3613/detail</t>
  </si>
  <si>
    <t>中集车辆</t>
  </si>
  <si>
    <t>www.lixinger.com/analytics/company/hk/01839/1839/detail</t>
  </si>
  <si>
    <t>天能动力</t>
  </si>
  <si>
    <t>www.lixinger.com/analytics/company/hk/00819/819/detail</t>
  </si>
  <si>
    <t>森松国际</t>
  </si>
  <si>
    <t>www.lixinger.com/analytics/company/hk/02155/2155/detail</t>
  </si>
  <si>
    <t>移卡</t>
  </si>
  <si>
    <t>www.lixinger.com/analytics/company/hk/09923/9923/detail</t>
  </si>
  <si>
    <t>郑州银行</t>
  </si>
  <si>
    <t>www.lixinger.com/analytics/company/hk/06196/6196/detail</t>
  </si>
  <si>
    <t>中国黄金国际</t>
  </si>
  <si>
    <t>www.lixinger.com/analytics/company/hk/02099/2099/detail</t>
  </si>
  <si>
    <t>联邦制药</t>
  </si>
  <si>
    <t>www.lixinger.com/analytics/company/hk/03933/3933/detail</t>
  </si>
  <si>
    <t>金科服务</t>
  </si>
  <si>
    <t>www.lixinger.com/analytics/company/hk/09666/9666/detail</t>
  </si>
  <si>
    <t>联易融科技-W</t>
  </si>
  <si>
    <t>www.lixinger.com/analytics/company/hk/09959/9959/detail</t>
  </si>
  <si>
    <t>越秀房产信托基金</t>
  </si>
  <si>
    <t>www.lixinger.com/analytics/company/hk/00405/405/detail</t>
  </si>
  <si>
    <t>科济药业-B</t>
  </si>
  <si>
    <t>www.lixinger.com/analytics/company/hk/02171/2171/detail</t>
  </si>
  <si>
    <t>德昌电机控股</t>
  </si>
  <si>
    <t>www.lixinger.com/analytics/company/hk/00179/179/detail</t>
  </si>
  <si>
    <t>高伟电子</t>
  </si>
  <si>
    <t>www.lixinger.com/analytics/company/hk/01415/1415/detail</t>
  </si>
  <si>
    <t>网龙</t>
  </si>
  <si>
    <t>www.lixinger.com/analytics/company/hk/00777/777/detail</t>
  </si>
  <si>
    <t>四环医药</t>
  </si>
  <si>
    <t>www.lixinger.com/analytics/company/hk/00460/460/detail</t>
  </si>
  <si>
    <t>环球医疗</t>
  </si>
  <si>
    <t>www.lixinger.com/analytics/company/hk/02666/2666/detail</t>
  </si>
  <si>
    <t>九龙建业</t>
  </si>
  <si>
    <t>www.lixinger.com/analytics/company/hk/00034/34/detail</t>
  </si>
  <si>
    <t>中粮家佳康</t>
  </si>
  <si>
    <t>www.lixinger.com/analytics/company/hk/01610/1610/detail</t>
  </si>
  <si>
    <t>创维集团</t>
  </si>
  <si>
    <t>www.lixinger.com/analytics/company/hk/00751/751/detail</t>
  </si>
  <si>
    <t>中海石油化学</t>
  </si>
  <si>
    <t>化肥及农用化合物</t>
  </si>
  <si>
    <t>www.lixinger.com/analytics/company/hk/03983/3983/detail</t>
  </si>
  <si>
    <t>信恳智能(二百)</t>
  </si>
  <si>
    <t>www.lixinger.com/analytics/company/hk/01967/1967/detail</t>
  </si>
  <si>
    <t>嘉华国际</t>
  </si>
  <si>
    <t>www.lixinger.com/analytics/company/hk/00173/173/detail</t>
  </si>
  <si>
    <t>大家乐集团</t>
  </si>
  <si>
    <t>www.lixinger.com/analytics/company/hk/00341/341/detail</t>
  </si>
  <si>
    <t>力劲科技</t>
  </si>
  <si>
    <t>www.lixinger.com/analytics/company/hk/00558/558/detail</t>
  </si>
  <si>
    <t>百宏实业</t>
  </si>
  <si>
    <t>纺织品及布料</t>
  </si>
  <si>
    <t>www.lixinger.com/analytics/company/hk/02299/2299/detail</t>
  </si>
  <si>
    <t>美丽华酒店</t>
  </si>
  <si>
    <t>www.lixinger.com/analytics/company/hk/00071/71/detail</t>
  </si>
  <si>
    <t>远洋集团</t>
  </si>
  <si>
    <t>www.lixinger.com/analytics/company/hk/03377/3377/detail</t>
  </si>
  <si>
    <t>泸州银行</t>
  </si>
  <si>
    <t>www.lixinger.com/analytics/company/hk/01983/1983/detail</t>
  </si>
  <si>
    <t>天工国际</t>
  </si>
  <si>
    <t>www.lixinger.com/analytics/company/hk/00826/826/detail</t>
  </si>
  <si>
    <t>优然牧业</t>
  </si>
  <si>
    <t>www.lixinger.com/analytics/company/hk/09858/9858/detail</t>
  </si>
  <si>
    <t>诺辉健康-B</t>
  </si>
  <si>
    <t>www.lixinger.com/analytics/company/hk/06606/6606/detail</t>
  </si>
  <si>
    <t>阜博集团</t>
  </si>
  <si>
    <t>www.lixinger.com/analytics/company/hk/03738/3738/detail</t>
  </si>
  <si>
    <t>恒投证券</t>
  </si>
  <si>
    <t>www.lixinger.com/analytics/company/hk/01476/1476/detail</t>
  </si>
  <si>
    <t>瑞安房地产</t>
  </si>
  <si>
    <t>www.lixinger.com/analytics/company/hk/00272/272/detail</t>
  </si>
  <si>
    <t>四海国际</t>
  </si>
  <si>
    <t>www.lixinger.com/analytics/company/hk/00120/120/detail</t>
  </si>
  <si>
    <t>大新银行集团</t>
  </si>
  <si>
    <t>www.lixinger.com/analytics/company/hk/02356/2356/detail</t>
  </si>
  <si>
    <t>佳明集团控股</t>
  </si>
  <si>
    <t>www.lixinger.com/analytics/company/hk/01271/1271/detail</t>
  </si>
  <si>
    <t>海普瑞</t>
  </si>
  <si>
    <t>www.lixinger.com/analytics/company/hk/09989/9989/detail</t>
  </si>
  <si>
    <t>涂鸦智能-W</t>
  </si>
  <si>
    <t>www.lixinger.com/analytics/company/hk/02391/2391/detail</t>
  </si>
  <si>
    <t>旭辉永升服务</t>
  </si>
  <si>
    <t>www.lixinger.com/analytics/company/hk/01995/1995/detail</t>
  </si>
  <si>
    <t>中烟香港</t>
  </si>
  <si>
    <t>烟草</t>
  </si>
  <si>
    <t>www.lixinger.com/analytics/company/hk/06055/6055/detail</t>
  </si>
  <si>
    <t>TCL电子</t>
  </si>
  <si>
    <t>www.lixinger.com/analytics/company/hk/01070/1070/detail</t>
  </si>
  <si>
    <t>现代牧业</t>
  </si>
  <si>
    <t>www.lixinger.com/analytics/company/hk/01117/1117/detail</t>
  </si>
  <si>
    <t>中国食品</t>
  </si>
  <si>
    <t>www.lixinger.com/analytics/company/hk/00506/506/detail</t>
  </si>
  <si>
    <t>新城悦服务</t>
  </si>
  <si>
    <t>www.lixinger.com/analytics/company/hk/01755/1755/detail</t>
  </si>
  <si>
    <t>普达特科技</t>
  </si>
  <si>
    <t>www.lixinger.com/analytics/company/hk/00650/650/detail</t>
  </si>
  <si>
    <t>诺亚控股</t>
  </si>
  <si>
    <t>www.lixinger.com/analytics/company/hk/06686/6686/detail</t>
  </si>
  <si>
    <t>高视医疗</t>
  </si>
  <si>
    <t>www.lixinger.com/analytics/company/hk/02407/2407/detail</t>
  </si>
  <si>
    <t>长江生命科技</t>
  </si>
  <si>
    <t>www.lixinger.com/analytics/company/hk/00775/775/detail</t>
  </si>
  <si>
    <t>重庆钢铁股份</t>
  </si>
  <si>
    <t>www.lixinger.com/analytics/company/hk/01053/1053/detail</t>
  </si>
  <si>
    <t>中渝置地</t>
  </si>
  <si>
    <t>www.lixinger.com/analytics/company/hk/01224/1224/detail</t>
  </si>
  <si>
    <t>晨鸣纸业</t>
  </si>
  <si>
    <t>www.lixinger.com/analytics/company/hk/01812/1812/detail</t>
  </si>
  <si>
    <t>澳优</t>
  </si>
  <si>
    <t>www.lixinger.com/analytics/company/hk/01717/1717/detail</t>
  </si>
  <si>
    <t>利福国际</t>
  </si>
  <si>
    <t>www.lixinger.com/analytics/company/hk/01212/1212/detail</t>
  </si>
  <si>
    <t>金鹰商贸集团</t>
  </si>
  <si>
    <t>www.lixinger.com/analytics/company/hk/03308/3308/detail</t>
  </si>
  <si>
    <t>华润医疗</t>
  </si>
  <si>
    <t>www.lixinger.com/analytics/company/hk/01515/1515/detail</t>
  </si>
  <si>
    <t>同仁堂科技</t>
  </si>
  <si>
    <t>www.lixinger.com/analytics/company/hk/01666/1666/detail</t>
  </si>
  <si>
    <t>智云健康</t>
  </si>
  <si>
    <t>www.lixinger.com/analytics/company/hk/09955/9955/detail</t>
  </si>
  <si>
    <t>百富环球</t>
  </si>
  <si>
    <t>www.lixinger.com/analytics/company/hk/00327/327/detail</t>
  </si>
  <si>
    <t>越秀交通基建</t>
  </si>
  <si>
    <t>www.lixinger.com/analytics/company/hk/01052/1052/detail</t>
  </si>
  <si>
    <t>飞天云动</t>
  </si>
  <si>
    <t>www.lixinger.com/analytics/company/hk/06610/6610/detail</t>
  </si>
  <si>
    <t>SOHO中国</t>
  </si>
  <si>
    <t>www.lixinger.com/analytics/company/hk/00410/410/detail</t>
  </si>
  <si>
    <t>中国船舶租赁</t>
  </si>
  <si>
    <t>www.lixinger.com/analytics/company/hk/03877/3877/detail</t>
  </si>
  <si>
    <t>金川国际</t>
  </si>
  <si>
    <t>www.lixinger.com/analytics/company/hk/02362/2362/detail</t>
  </si>
  <si>
    <t>富力地产</t>
  </si>
  <si>
    <t>www.lixinger.com/analytics/company/hk/02777/2777/detail</t>
  </si>
  <si>
    <t>中石化冠德</t>
  </si>
  <si>
    <t>www.lixinger.com/analytics/company/hk/00934/934/detail</t>
  </si>
  <si>
    <t>周生生</t>
  </si>
  <si>
    <t>www.lixinger.com/analytics/company/hk/00116/116/detail</t>
  </si>
  <si>
    <t>业聚医疗</t>
  </si>
  <si>
    <t>www.lixinger.com/analytics/company/hk/06929/6929/detail</t>
  </si>
  <si>
    <t>晶苑国际</t>
  </si>
  <si>
    <t>www.lixinger.com/analytics/company/hk/02232/2232/detail</t>
  </si>
  <si>
    <t>世茂服务</t>
  </si>
  <si>
    <t>www.lixinger.com/analytics/company/hk/00873/873/detail</t>
  </si>
  <si>
    <t>柠萌影视</t>
  </si>
  <si>
    <t>www.lixinger.com/analytics/company/hk/09857/9857/detail</t>
  </si>
  <si>
    <t>复宏汉霖</t>
  </si>
  <si>
    <t>www.lixinger.com/analytics/company/hk/02696/2696/detail</t>
  </si>
  <si>
    <t>亚盛医药-B</t>
  </si>
  <si>
    <t>www.lixinger.com/analytics/company/hk/06855/6855/detail</t>
  </si>
  <si>
    <t>国泰君安国际</t>
  </si>
  <si>
    <t>www.lixinger.com/analytics/company/hk/01788/1788/detail</t>
  </si>
  <si>
    <t>赢家时尚</t>
  </si>
  <si>
    <t>www.lixinger.com/analytics/company/hk/03709/3709/detail</t>
  </si>
  <si>
    <t>日清食品</t>
  </si>
  <si>
    <t>www.lixinger.com/analytics/company/hk/01475/1475/detail</t>
  </si>
  <si>
    <t>山水水泥</t>
  </si>
  <si>
    <t>www.lixinger.com/analytics/company/hk/00691/691/detail</t>
  </si>
  <si>
    <t>山高新能源</t>
  </si>
  <si>
    <t>www.lixinger.com/analytics/company/hk/01250/1250/detail</t>
  </si>
  <si>
    <t>顺丰同城</t>
  </si>
  <si>
    <t>www.lixinger.com/analytics/company/hk/09699/9699/detail</t>
  </si>
  <si>
    <t>361度</t>
  </si>
  <si>
    <t>www.lixinger.com/analytics/company/hk/01361/1361/detail</t>
  </si>
  <si>
    <t>龙光集团</t>
  </si>
  <si>
    <t>www.lixinger.com/analytics/company/hk/03380/3380/detail</t>
  </si>
  <si>
    <t>保利置业集团</t>
  </si>
  <si>
    <t>www.lixinger.com/analytics/company/hk/00119/119/detail</t>
  </si>
  <si>
    <t>法拉帝</t>
  </si>
  <si>
    <t>www.lixinger.com/analytics/company/hk/09638/9638/detail</t>
  </si>
  <si>
    <t>富智康集团</t>
  </si>
  <si>
    <t>www.lixinger.com/analytics/company/hk/02038/2038/detail</t>
  </si>
  <si>
    <t>知乎-W</t>
  </si>
  <si>
    <t>www.lixinger.com/analytics/company/hk/02390/2390/detail</t>
  </si>
  <si>
    <t>第七大道</t>
  </si>
  <si>
    <t>www.lixinger.com/analytics/company/hk/00797/797/detail</t>
  </si>
  <si>
    <t>中化化肥</t>
  </si>
  <si>
    <t>www.lixinger.com/analytics/company/hk/00297/297/detail</t>
  </si>
  <si>
    <t>宝龙地产</t>
  </si>
  <si>
    <t>www.lixinger.com/analytics/company/hk/01238/1238/detail</t>
  </si>
  <si>
    <t>伟仕佳杰</t>
  </si>
  <si>
    <t>www.lixinger.com/analytics/company/hk/00856/856/detail</t>
  </si>
  <si>
    <t>沛嘉医疗-B</t>
  </si>
  <si>
    <t>www.lixinger.com/analytics/company/hk/09996/9996/detail</t>
  </si>
  <si>
    <t>欧康维视生物-B</t>
  </si>
  <si>
    <t>www.lixinger.com/analytics/company/hk/01477/1477/detail</t>
  </si>
  <si>
    <t>ITPHOLDINGS</t>
  </si>
  <si>
    <t>www.lixinger.com/analytics/company/hk/08446/8446/detail</t>
  </si>
  <si>
    <t>心通医疗-B</t>
  </si>
  <si>
    <t>www.lixinger.com/analytics/company/hk/02160/2160/detail</t>
  </si>
  <si>
    <t>易鑫集团</t>
  </si>
  <si>
    <t>www.lixinger.com/analytics/company/hk/02858/2858/detail</t>
  </si>
  <si>
    <t>香港宽频</t>
  </si>
  <si>
    <t>www.lixinger.com/analytics/company/hk/01310/1310/detail</t>
  </si>
  <si>
    <t>新华文轩</t>
  </si>
  <si>
    <t>www.lixinger.com/analytics/company/hk/00811/811/detail</t>
  </si>
  <si>
    <t>汇量科技</t>
  </si>
  <si>
    <t>www.lixinger.com/analytics/company/hk/01860/1860/detail</t>
  </si>
  <si>
    <t>华南城</t>
  </si>
  <si>
    <t>www.lixinger.com/analytics/company/hk/01668/1668/detail</t>
  </si>
  <si>
    <t>美图公司</t>
  </si>
  <si>
    <t>www.lixinger.com/analytics/company/hk/01357/1357/detail</t>
  </si>
  <si>
    <t>联合集团</t>
  </si>
  <si>
    <t>www.lixinger.com/analytics/company/hk/00373/373/detail</t>
  </si>
  <si>
    <t>神威药业</t>
  </si>
  <si>
    <t>www.lixinger.com/analytics/company/hk/02877/2877/detail</t>
  </si>
  <si>
    <t>神州控股</t>
  </si>
  <si>
    <t>www.lixinger.com/analytics/company/hk/00861/861/detail</t>
  </si>
  <si>
    <t>绿景中国地产</t>
  </si>
  <si>
    <t>www.lixinger.com/analytics/company/hk/00095/95/detail</t>
  </si>
  <si>
    <t>汇贤产业信托</t>
  </si>
  <si>
    <t>www.lixinger.com/analytics/company/hk/87001/87001/detail</t>
  </si>
  <si>
    <t>医渡科技</t>
  </si>
  <si>
    <t>www.lixinger.com/analytics/company/hk/02158/2158/detail</t>
  </si>
  <si>
    <t>协合新能源</t>
  </si>
  <si>
    <t>www.lixinger.com/analytics/company/hk/00182/182/detail</t>
  </si>
  <si>
    <t>海通恒信</t>
  </si>
  <si>
    <t>www.lixinger.com/analytics/company/hk/01905/1905/detail</t>
  </si>
  <si>
    <t>启明医疗-B</t>
  </si>
  <si>
    <t>www.lixinger.com/analytics/company/hk/02500/2500/detail</t>
  </si>
  <si>
    <t>昊海生物科技</t>
  </si>
  <si>
    <t>www.lixinger.com/analytics/company/hk/06826/6826/detail</t>
  </si>
  <si>
    <t>合景泰富集团</t>
  </si>
  <si>
    <t>www.lixinger.com/analytics/company/hk/01813/1813/detail</t>
  </si>
  <si>
    <t>中国科培</t>
  </si>
  <si>
    <t>www.lixinger.com/analytics/company/hk/01890/1890/detail</t>
  </si>
  <si>
    <t>湾区发展</t>
  </si>
  <si>
    <t>www.lixinger.com/analytics/company/hk/00737/737/detail</t>
  </si>
  <si>
    <t>盛业</t>
  </si>
  <si>
    <t>www.lixinger.com/analytics/company/hk/06069/6069/detail</t>
  </si>
  <si>
    <t>希玛眼科</t>
  </si>
  <si>
    <t>www.lixinger.com/analytics/company/hk/03309/3309/detail</t>
  </si>
  <si>
    <t>秦港股份</t>
  </si>
  <si>
    <t>www.lixinger.com/analytics/company/hk/03369/3369/detail</t>
  </si>
  <si>
    <t>中广核矿业</t>
  </si>
  <si>
    <t>www.lixinger.com/analytics/company/hk/01164/1164/detail</t>
  </si>
  <si>
    <t>雍禾医疗</t>
  </si>
  <si>
    <t>www.lixinger.com/analytics/company/hk/02279/2279/detail</t>
  </si>
  <si>
    <t>哈尔滨电气</t>
  </si>
  <si>
    <t>www.lixinger.com/analytics/company/hk/01133/1133/detail</t>
  </si>
  <si>
    <t>晋商银行</t>
  </si>
  <si>
    <t>www.lixinger.com/analytics/company/hk/02558/2558/detail</t>
  </si>
  <si>
    <t>医脉通</t>
  </si>
  <si>
    <t>www.lixinger.com/analytics/company/hk/02192/2192/detail</t>
  </si>
  <si>
    <t>大新金融</t>
  </si>
  <si>
    <t>www.lixinger.com/analytics/company/hk/00440/440/detail</t>
  </si>
  <si>
    <t>天虹纺织</t>
  </si>
  <si>
    <t>www.lixinger.com/analytics/company/hk/02678/2678/detail</t>
  </si>
  <si>
    <t>海螺环保</t>
  </si>
  <si>
    <t>www.lixinger.com/analytics/company/hk/00587/587/detail</t>
  </si>
  <si>
    <t>特海国际</t>
  </si>
  <si>
    <t>www.lixinger.com/analytics/company/hk/09658/9658/detail</t>
  </si>
  <si>
    <t>方达控股</t>
  </si>
  <si>
    <t>www.lixinger.com/analytics/company/hk/01521/1521/detail</t>
  </si>
  <si>
    <t>春立医疗</t>
  </si>
  <si>
    <t>www.lixinger.com/analytics/company/hk/01858/1858/detail</t>
  </si>
  <si>
    <t>中国龙工</t>
  </si>
  <si>
    <t>www.lixinger.com/analytics/company/hk/03339/3339/detail</t>
  </si>
  <si>
    <t>京基金融国际</t>
  </si>
  <si>
    <t>www.lixinger.com/analytics/company/hk/01468/1468/detail</t>
  </si>
  <si>
    <t>亚洲水泥(中国)</t>
  </si>
  <si>
    <t>www.lixinger.com/analytics/company/hk/00743/743/detail</t>
  </si>
  <si>
    <t>赛生药业</t>
  </si>
  <si>
    <t>www.lixinger.com/analytics/company/hk/06600/6600/detail</t>
  </si>
  <si>
    <t>和记电讯香港</t>
  </si>
  <si>
    <t>www.lixinger.com/analytics/company/hk/00215/215/detail</t>
  </si>
  <si>
    <t>新高教集团</t>
  </si>
  <si>
    <t>www.lixinger.com/analytics/company/hk/02001/2001/detail</t>
  </si>
  <si>
    <t>海通国际</t>
  </si>
  <si>
    <t>www.lixinger.com/analytics/company/hk/00665/665/detail</t>
  </si>
  <si>
    <t>亚美能源</t>
  </si>
  <si>
    <t>www.lixinger.com/analytics/company/hk/02686/2686/detail</t>
  </si>
  <si>
    <t>珠光控股</t>
  </si>
  <si>
    <t>www.lixinger.com/analytics/company/hk/01176/1176/detail</t>
  </si>
  <si>
    <t>新鸿基公司</t>
  </si>
  <si>
    <t>www.lixinger.com/analytics/company/hk/00086/86/detail</t>
  </si>
  <si>
    <t>东阳光药</t>
  </si>
  <si>
    <t>www.lixinger.com/analytics/company/hk/01558/1558/detail</t>
  </si>
  <si>
    <t>中国高速传动</t>
  </si>
  <si>
    <t>www.lixinger.com/analytics/company/hk/00658/658/detail</t>
  </si>
  <si>
    <t>九兴控股</t>
  </si>
  <si>
    <t>www.lixinger.com/analytics/company/hk/01836/1836/detail</t>
  </si>
  <si>
    <t>江西银行</t>
  </si>
  <si>
    <t>www.lixinger.com/analytics/company/hk/01916/1916/detail</t>
  </si>
  <si>
    <t>天安</t>
  </si>
  <si>
    <t>www.lixinger.com/analytics/company/hk/00028/28/detail</t>
  </si>
  <si>
    <t>建发物业</t>
  </si>
  <si>
    <t>www.lixinger.com/analytics/company/hk/02156/2156/detail</t>
  </si>
  <si>
    <t>莎莎国际</t>
  </si>
  <si>
    <t>www.lixinger.com/analytics/company/hk/00178/178/detail</t>
  </si>
  <si>
    <t>基石药业-B</t>
  </si>
  <si>
    <t>www.lixinger.com/analytics/company/hk/02616/2616/detail</t>
  </si>
  <si>
    <t>云顶新耀-B</t>
  </si>
  <si>
    <t>www.lixinger.com/analytics/company/hk/01952/1952/detail</t>
  </si>
  <si>
    <t>越秀服务</t>
  </si>
  <si>
    <t>www.lixinger.com/analytics/company/hk/06626/6626/detail</t>
  </si>
  <si>
    <t>希望教育</t>
  </si>
  <si>
    <t>www.lixinger.com/analytics/company/hk/01765/1765/detail</t>
  </si>
  <si>
    <t>VESYNC</t>
  </si>
  <si>
    <t>www.lixinger.com/analytics/company/hk/02148/2148/detail</t>
  </si>
  <si>
    <t>阳光房地产基金</t>
  </si>
  <si>
    <t>www.lixinger.com/analytics/company/hk/00435/435/detail</t>
  </si>
  <si>
    <t>天立国际控股</t>
  </si>
  <si>
    <t>www.lixinger.com/analytics/company/hk/01773/1773/detail</t>
  </si>
  <si>
    <t>四川成渝高速公路</t>
  </si>
  <si>
    <t>www.lixinger.com/analytics/company/hk/00107/107/detail</t>
  </si>
  <si>
    <t>山东新华制药股份</t>
  </si>
  <si>
    <t>www.lixinger.com/analytics/company/hk/00719/719/detail</t>
  </si>
  <si>
    <t>天福</t>
  </si>
  <si>
    <t>www.lixinger.com/analytics/company/hk/06868/6868/detail</t>
  </si>
  <si>
    <t>惠理集团</t>
  </si>
  <si>
    <t>www.lixinger.com/analytics/company/hk/00806/806/detail</t>
  </si>
  <si>
    <t>理文化工</t>
  </si>
  <si>
    <t>www.lixinger.com/analytics/company/hk/00746/746/detail</t>
  </si>
  <si>
    <t>瑞尔集团</t>
  </si>
  <si>
    <t>www.lixinger.com/analytics/company/hk/06639/6639/detail</t>
  </si>
  <si>
    <t>滨江服务</t>
  </si>
  <si>
    <t>www.lixinger.com/analytics/company/hk/03316/3316/detail</t>
  </si>
  <si>
    <t>湾区发展-R</t>
  </si>
  <si>
    <t>www.lixinger.com/analytics/company/hk/80737/80737/detail</t>
  </si>
  <si>
    <t>腾盛博药-B</t>
  </si>
  <si>
    <t>www.lixinger.com/analytics/company/hk/02137/2137/detail</t>
  </si>
  <si>
    <t>安能物流</t>
  </si>
  <si>
    <t>www.lixinger.com/analytics/company/hk/09956/9956/detail</t>
  </si>
  <si>
    <t>创梦天地</t>
  </si>
  <si>
    <t>www.lixinger.com/analytics/company/hk/01119/1119/detail</t>
  </si>
  <si>
    <t>洛阳玻璃股份</t>
  </si>
  <si>
    <t>www.lixinger.com/analytics/company/hk/01108/1108/detail</t>
  </si>
  <si>
    <t>中国东方集团</t>
  </si>
  <si>
    <t>www.lixinger.com/analytics/company/hk/00581/581/detail</t>
  </si>
  <si>
    <t>先瑞达医疗-B</t>
  </si>
  <si>
    <t>www.lixinger.com/analytics/company/hk/06669/6669/detail</t>
  </si>
  <si>
    <t>MOGHOLDINGS</t>
  </si>
  <si>
    <t>www.lixinger.com/analytics/company/hk/01942/1942/detail</t>
  </si>
  <si>
    <t>百融云-W</t>
  </si>
  <si>
    <t>www.lixinger.com/analytics/company/hk/06608/6608/detail</t>
  </si>
  <si>
    <t>雅士利国际</t>
  </si>
  <si>
    <t>www.lixinger.com/analytics/company/hk/01230/1230/detail</t>
  </si>
  <si>
    <t>中州证券</t>
  </si>
  <si>
    <t>www.lixinger.com/analytics/company/hk/01375/1375/detail</t>
  </si>
  <si>
    <t>数码通电讯</t>
  </si>
  <si>
    <t>www.lixinger.com/analytics/company/hk/00315/315/detail</t>
  </si>
  <si>
    <t>载通</t>
  </si>
  <si>
    <t>www.lixinger.com/analytics/company/hk/00062/62/detail</t>
  </si>
  <si>
    <t>中铝国际</t>
  </si>
  <si>
    <t>www.lixinger.com/analytics/company/hk/02068/2068/detail</t>
  </si>
  <si>
    <t>力高集团</t>
  </si>
  <si>
    <t>www.lixinger.com/analytics/company/hk/01622/1622/detail</t>
  </si>
  <si>
    <t>海港企业</t>
  </si>
  <si>
    <t>www.lixinger.com/analytics/company/hk/00051/51/detail</t>
  </si>
  <si>
    <t>齐鲁高速</t>
  </si>
  <si>
    <t>www.lixinger.com/analytics/company/hk/01576/1576/detail</t>
  </si>
  <si>
    <t>完美医疗</t>
  </si>
  <si>
    <t>www.lixinger.com/analytics/company/hk/01830/1830/detail</t>
  </si>
  <si>
    <t>信德集团</t>
  </si>
  <si>
    <t>www.lixinger.com/analytics/company/hk/00242/242/detail</t>
  </si>
  <si>
    <t>冠城钟表珠宝</t>
  </si>
  <si>
    <t>珠宝钟表</t>
  </si>
  <si>
    <t>www.lixinger.com/analytics/company/hk/00256/256/detail</t>
  </si>
  <si>
    <t>丘钛科技</t>
  </si>
  <si>
    <t>www.lixinger.com/analytics/company/hk/01478/1478/detail</t>
  </si>
  <si>
    <t>澳能建设</t>
  </si>
  <si>
    <t>www.lixinger.com/analytics/company/hk/01183/1183/detail</t>
  </si>
  <si>
    <t>歌礼制药-B</t>
  </si>
  <si>
    <t>www.lixinger.com/analytics/company/hk/01672/1672/detail</t>
  </si>
  <si>
    <t>皇朝家居</t>
  </si>
  <si>
    <t>www.lixinger.com/analytics/company/hk/01198/1198/detail</t>
  </si>
  <si>
    <t>北京能源国际</t>
  </si>
  <si>
    <t>www.lixinger.com/analytics/company/hk/00686/686/detail</t>
  </si>
  <si>
    <t>天津创业环保股份</t>
  </si>
  <si>
    <t>www.lixinger.com/analytics/company/hk/01065/1065/detail</t>
  </si>
  <si>
    <t>圣诺医药-B</t>
  </si>
  <si>
    <t>www.lixinger.com/analytics/company/hk/02257/2257/detail</t>
  </si>
  <si>
    <t>远东发展</t>
  </si>
  <si>
    <t>www.lixinger.com/analytics/company/hk/00035/35/detail</t>
  </si>
  <si>
    <t>香港科技探索</t>
  </si>
  <si>
    <t>www.lixinger.com/analytics/company/hk/01137/1137/detail</t>
  </si>
  <si>
    <t>卓尔智联</t>
  </si>
  <si>
    <t>www.lixinger.com/analytics/company/hk/02098/2098/detail</t>
  </si>
  <si>
    <t>中手游</t>
  </si>
  <si>
    <t>www.lixinger.com/analytics/company/hk/00302/302/detail</t>
  </si>
  <si>
    <t>力量发展</t>
  </si>
  <si>
    <t>www.lixinger.com/analytics/company/hk/01277/1277/detail</t>
  </si>
  <si>
    <t>西部水泥</t>
  </si>
  <si>
    <t>www.lixinger.com/analytics/company/hk/02233/2233/detail</t>
  </si>
  <si>
    <t>中国心连心化肥</t>
  </si>
  <si>
    <t>www.lixinger.com/analytics/company/hk/01866/1866/detail</t>
  </si>
  <si>
    <t>中国投资基金公司</t>
  </si>
  <si>
    <t>www.lixinger.com/analytics/company/hk/00612/612/detail</t>
  </si>
  <si>
    <t>华人置业</t>
  </si>
  <si>
    <t>www.lixinger.com/analytics/company/hk/00127/127/detail</t>
  </si>
  <si>
    <t>江南布衣</t>
  </si>
  <si>
    <t>www.lixinger.com/analytics/company/hk/03306/3306/detail</t>
  </si>
  <si>
    <t>同道猎聘</t>
  </si>
  <si>
    <t>www.lixinger.com/analytics/company/hk/06100/6100/detail</t>
  </si>
  <si>
    <t>中粮包装</t>
  </si>
  <si>
    <t>印刷及包装</t>
  </si>
  <si>
    <t>www.lixinger.com/analytics/company/hk/00906/906/detail</t>
  </si>
  <si>
    <t>环球新材国际</t>
  </si>
  <si>
    <t>www.lixinger.com/analytics/company/hk/06616/6616/detail</t>
  </si>
  <si>
    <t>康德莱医械</t>
  </si>
  <si>
    <t>www.lixinger.com/analytics/company/hk/01501/1501/detail</t>
  </si>
  <si>
    <t>永泰地产</t>
  </si>
  <si>
    <t>www.lixinger.com/analytics/company/hk/00369/369/detail</t>
  </si>
  <si>
    <t>大悦城地产</t>
  </si>
  <si>
    <t>www.lixinger.com/analytics/company/hk/00207/207/detail</t>
  </si>
  <si>
    <t>中国同辐</t>
  </si>
  <si>
    <t>www.lixinger.com/analytics/company/hk/01763/1763/detail</t>
  </si>
  <si>
    <t>华兴资本控股</t>
  </si>
  <si>
    <t>www.lixinger.com/analytics/company/hk/01911/1911/detail</t>
  </si>
  <si>
    <t>翼辰实业</t>
  </si>
  <si>
    <t>www.lixinger.com/analytics/company/hk/01596/1596/detail</t>
  </si>
  <si>
    <t>卓越商企服务</t>
  </si>
  <si>
    <t>www.lixinger.com/analytics/company/hk/06989/6989/detail</t>
  </si>
  <si>
    <t>浪潮国际</t>
  </si>
  <si>
    <t>www.lixinger.com/analytics/company/hk/00596/596/detail</t>
  </si>
  <si>
    <t>开拓药业-B</t>
  </si>
  <si>
    <t>www.lixinger.com/analytics/company/hk/09939/9939/detail</t>
  </si>
  <si>
    <t>中国利郎</t>
  </si>
  <si>
    <t>www.lixinger.com/analytics/company/hk/01234/1234/detail</t>
  </si>
  <si>
    <t>富豪产业信托</t>
  </si>
  <si>
    <t>www.lixinger.com/analytics/company/hk/01881/1881/detail</t>
  </si>
  <si>
    <t>英恒科技</t>
  </si>
  <si>
    <t>www.lixinger.com/analytics/company/hk/01760/1760/detail</t>
  </si>
  <si>
    <t>复锐医疗科技</t>
  </si>
  <si>
    <t>www.lixinger.com/analytics/company/hk/01696/1696/detail</t>
  </si>
  <si>
    <t>中骏集团控股</t>
  </si>
  <si>
    <t>www.lixinger.com/analytics/company/hk/01966/1966/detail</t>
  </si>
  <si>
    <t>维珍妮</t>
  </si>
  <si>
    <t>www.lixinger.com/analytics/company/hk/02199/2199/detail</t>
  </si>
  <si>
    <t>第一拖拉机股份</t>
  </si>
  <si>
    <t>www.lixinger.com/analytics/company/hk/00038/38/detail</t>
  </si>
  <si>
    <t>归创通桥-B</t>
  </si>
  <si>
    <t>www.lixinger.com/analytics/company/hk/02190/2190/detail</t>
  </si>
  <si>
    <t>华众车载</t>
  </si>
  <si>
    <t>www.lixinger.com/analytics/company/hk/06830/6830/detail</t>
  </si>
  <si>
    <t>德林控股</t>
  </si>
  <si>
    <t>www.lixinger.com/analytics/company/hk/01709/1709/detail</t>
  </si>
  <si>
    <t>宝龙商业</t>
  </si>
  <si>
    <t>www.lixinger.com/analytics/company/hk/09909/9909/detail</t>
  </si>
  <si>
    <t>易大宗</t>
  </si>
  <si>
    <t>www.lixinger.com/analytics/company/hk/01733/1733/detail</t>
  </si>
  <si>
    <t>鹰普精密</t>
  </si>
  <si>
    <t>www.lixinger.com/analytics/company/hk/01286/1286/detail</t>
  </si>
  <si>
    <t>云锋金融</t>
  </si>
  <si>
    <t>www.lixinger.com/analytics/company/hk/00376/376/detail</t>
  </si>
  <si>
    <t>中国光大绿色环保</t>
  </si>
  <si>
    <t>www.lixinger.com/analytics/company/hk/01257/1257/detail</t>
  </si>
  <si>
    <t>中国春来</t>
  </si>
  <si>
    <t>www.lixinger.com/analytics/company/hk/01969/1969/detail</t>
  </si>
  <si>
    <t>DYNAMJAPAN</t>
  </si>
  <si>
    <t>www.lixinger.com/analytics/company/hk/06889/6889/detail</t>
  </si>
  <si>
    <t>欢喜传媒</t>
  </si>
  <si>
    <t>www.lixinger.com/analytics/company/hk/01003/1003/detail</t>
  </si>
  <si>
    <t>微泰医疗-B</t>
  </si>
  <si>
    <t>www.lixinger.com/analytics/company/hk/02235/2235/detail</t>
  </si>
  <si>
    <t>澳亚集团</t>
  </si>
  <si>
    <t>www.lixinger.com/analytics/company/hk/02425/2425/detail</t>
  </si>
  <si>
    <t>永安国际</t>
  </si>
  <si>
    <t>www.lixinger.com/analytics/company/hk/00289/289/detail</t>
  </si>
  <si>
    <t>港通控股</t>
  </si>
  <si>
    <t>www.lixinger.com/analytics/company/hk/00032/32/detail</t>
  </si>
  <si>
    <t>建业新生活</t>
  </si>
  <si>
    <t>www.lixinger.com/analytics/company/hk/09983/9983/detail</t>
  </si>
  <si>
    <t>凌雄科技</t>
  </si>
  <si>
    <t>www.lixinger.com/analytics/company/hk/02436/2436/detail</t>
  </si>
  <si>
    <t>宝胜国际</t>
  </si>
  <si>
    <t>www.lixinger.com/analytics/company/hk/03813/3813/detail</t>
  </si>
  <si>
    <t>信义储电</t>
  </si>
  <si>
    <t>www.lixinger.com/analytics/company/hk/08328/8328/detail</t>
  </si>
  <si>
    <t>国美零售</t>
  </si>
  <si>
    <t>家居装修零售商</t>
  </si>
  <si>
    <t>www.lixinger.com/analytics/company/hk/00493/493/detail</t>
  </si>
  <si>
    <t>加科思-B</t>
  </si>
  <si>
    <t>www.lixinger.com/analytics/company/hk/01167/1167/detail</t>
  </si>
  <si>
    <t>中国光大水务</t>
  </si>
  <si>
    <t>www.lixinger.com/analytics/company/hk/01857/1857/detail</t>
  </si>
  <si>
    <t>沧港铁路</t>
  </si>
  <si>
    <t>www.lixinger.com/analytics/company/hk/02169/2169/detail</t>
  </si>
  <si>
    <t>康沣生物-B</t>
  </si>
  <si>
    <t>www.lixinger.com/analytics/company/hk/06922/6922/detail</t>
  </si>
  <si>
    <t>中汇集团</t>
  </si>
  <si>
    <t>www.lixinger.com/analytics/company/hk/00382/382/detail</t>
  </si>
  <si>
    <t>信利国际</t>
  </si>
  <si>
    <t>www.lixinger.com/analytics/company/hk/00732/732/detail</t>
  </si>
  <si>
    <t>天伦燃气</t>
  </si>
  <si>
    <t>www.lixinger.com/analytics/company/hk/01600/1600/detail</t>
  </si>
  <si>
    <t>中国建筑兴业</t>
  </si>
  <si>
    <t>www.lixinger.com/analytics/company/hk/00830/830/detail</t>
  </si>
  <si>
    <t>中国有赞</t>
  </si>
  <si>
    <t>www.lixinger.com/analytics/company/hk/08083/8083/detail</t>
  </si>
  <si>
    <t>华领医药-B</t>
  </si>
  <si>
    <t>www.lixinger.com/analytics/company/hk/02552/2552/detail</t>
  </si>
  <si>
    <t>中骏商管</t>
  </si>
  <si>
    <t>www.lixinger.com/analytics/company/hk/00606/606/detail</t>
  </si>
  <si>
    <t>金利丰金融</t>
  </si>
  <si>
    <t>www.lixinger.com/analytics/company/hk/01031/1031/detail</t>
  </si>
  <si>
    <t>浦林成山</t>
  </si>
  <si>
    <t>www.lixinger.com/analytics/company/hk/01809/1809/detail</t>
  </si>
  <si>
    <t>京信通信</t>
  </si>
  <si>
    <t>www.lixinger.com/analytics/company/hk/02342/2342/detail</t>
  </si>
  <si>
    <t>远大住工</t>
  </si>
  <si>
    <t>www.lixinger.com/analytics/company/hk/02163/2163/detail</t>
  </si>
  <si>
    <t>乐享集团</t>
  </si>
  <si>
    <t>www.lixinger.com/analytics/company/hk/06988/6988/detail</t>
  </si>
  <si>
    <t>慕尚集团控股</t>
  </si>
  <si>
    <t>www.lixinger.com/analytics/company/hk/01817/1817/detail</t>
  </si>
  <si>
    <t>互太纺织</t>
  </si>
  <si>
    <t>www.lixinger.com/analytics/company/hk/01382/1382/detail</t>
  </si>
  <si>
    <t>三宝科技</t>
  </si>
  <si>
    <t>www.lixinger.com/analytics/company/hk/01708/1708/detail</t>
  </si>
  <si>
    <t>华科资本</t>
  </si>
  <si>
    <t>www.lixinger.com/analytics/company/hk/01140/1140/detail</t>
  </si>
  <si>
    <t>金茂服务</t>
  </si>
  <si>
    <t>www.lixinger.com/analytics/company/hk/00816/816/detail</t>
  </si>
  <si>
    <t>中远海运国际</t>
  </si>
  <si>
    <t>www.lixinger.com/analytics/company/hk/00517/517/detail</t>
  </si>
  <si>
    <t>朗廷-SS</t>
  </si>
  <si>
    <t>www.lixinger.com/analytics/company/hk/01270/1270/detail</t>
  </si>
  <si>
    <t>兴发铝业</t>
  </si>
  <si>
    <t>www.lixinger.com/analytics/company/hk/00098/98/detail</t>
  </si>
  <si>
    <t>香港兴业国际</t>
  </si>
  <si>
    <t>www.lixinger.com/analytics/company/hk/00480/480/detail</t>
  </si>
  <si>
    <t>陈唱国际</t>
  </si>
  <si>
    <t>www.lixinger.com/analytics/company/hk/00693/693/detail</t>
  </si>
  <si>
    <t>春泉产业信托</t>
  </si>
  <si>
    <t>www.lixinger.com/analytics/company/hk/01426/1426/detail</t>
  </si>
  <si>
    <t>青瓷游戏</t>
  </si>
  <si>
    <t>www.lixinger.com/analytics/company/hk/06633/6633/detail</t>
  </si>
  <si>
    <t>哈尔滨银行</t>
  </si>
  <si>
    <t>www.lixinger.com/analytics/company/hk/06138/6138/detail</t>
  </si>
  <si>
    <t>合景悠活</t>
  </si>
  <si>
    <t>www.lixinger.com/analytics/company/hk/03913/3913/detail</t>
  </si>
  <si>
    <t>绿色动力环保</t>
  </si>
  <si>
    <t>www.lixinger.com/analytics/company/hk/01330/1330/detail</t>
  </si>
  <si>
    <t>谭仔国际</t>
  </si>
  <si>
    <t>www.lixinger.com/analytics/company/hk/02217/2217/detail</t>
  </si>
  <si>
    <t>达力普控股</t>
  </si>
  <si>
    <t>www.lixinger.com/analytics/company/hk/01921/1921/detail</t>
  </si>
  <si>
    <t>天津港发展</t>
  </si>
  <si>
    <t>www.lixinger.com/analytics/company/hk/03382/3382/detail</t>
  </si>
  <si>
    <t>洪桥集团</t>
  </si>
  <si>
    <t>www.lixinger.com/analytics/company/hk/08137/8137/detail</t>
  </si>
  <si>
    <t>德琪医药-B</t>
  </si>
  <si>
    <t>www.lixinger.com/analytics/company/hk/06996/6996/detail</t>
  </si>
  <si>
    <t>IGG</t>
  </si>
  <si>
    <t>www.lixinger.com/analytics/company/hk/00799/799/detail</t>
  </si>
  <si>
    <t>大众公用</t>
  </si>
  <si>
    <t>www.lixinger.com/analytics/company/hk/01635/1635/detail</t>
  </si>
  <si>
    <t>维亚生物</t>
  </si>
  <si>
    <t>www.lixinger.com/analytics/company/hk/01873/1873/detail</t>
  </si>
  <si>
    <t>C-LINKSQ</t>
  </si>
  <si>
    <t>www.lixinger.com/analytics/company/hk/01463/1463/detail</t>
  </si>
  <si>
    <t>耀才证券金融</t>
  </si>
  <si>
    <t>www.lixinger.com/analytics/company/hk/01428/1428/detail</t>
  </si>
  <si>
    <t>三叶草生物-B</t>
  </si>
  <si>
    <t>www.lixinger.com/analytics/company/hk/02197/2197/detail</t>
  </si>
  <si>
    <t>亚洲金融</t>
  </si>
  <si>
    <t>www.lixinger.com/analytics/company/hk/00662/662/detail</t>
  </si>
  <si>
    <t>康臣药业</t>
  </si>
  <si>
    <t>www.lixinger.com/analytics/company/hk/01681/1681/detail</t>
  </si>
  <si>
    <t>南京熊猫电子股份</t>
  </si>
  <si>
    <t>www.lixinger.com/analytics/company/hk/00553/553/detail</t>
  </si>
  <si>
    <t>中信资源</t>
  </si>
  <si>
    <t>www.lixinger.com/analytics/company/hk/01205/1205/detail</t>
  </si>
  <si>
    <t>凯联国际酒店</t>
  </si>
  <si>
    <t>www.lixinger.com/analytics/company/hk/00105/105/detail</t>
  </si>
  <si>
    <t>中华汽车</t>
  </si>
  <si>
    <t>www.lixinger.com/analytics/company/hk/00026/26/detail</t>
  </si>
  <si>
    <t>祖龙娱乐</t>
  </si>
  <si>
    <t>www.lixinger.com/analytics/company/hk/09990/9990/detail</t>
  </si>
  <si>
    <t>成都高速</t>
  </si>
  <si>
    <t>www.lixinger.com/analytics/company/hk/01785/1785/detail</t>
  </si>
  <si>
    <t>香港潮商集团</t>
  </si>
  <si>
    <t>www.lixinger.com/analytics/company/hk/02322/2322/detail</t>
  </si>
  <si>
    <t>中国飞机租赁</t>
  </si>
  <si>
    <t>www.lixinger.com/analytics/company/hk/01848/1848/detail</t>
  </si>
  <si>
    <t>汤臣集团</t>
  </si>
  <si>
    <t>www.lixinger.com/analytics/company/hk/00258/258/detail</t>
  </si>
  <si>
    <t>中庆股份</t>
  </si>
  <si>
    <t>www.lixinger.com/analytics/company/hk/01855/1855/detail</t>
  </si>
  <si>
    <t>朝聚眼科</t>
  </si>
  <si>
    <t>www.lixinger.com/analytics/company/hk/02219/2219/detail</t>
  </si>
  <si>
    <t>中国互联网投资</t>
  </si>
  <si>
    <t>www.lixinger.com/analytics/company/hk/00810/810/detail</t>
  </si>
  <si>
    <t>上实城市开发</t>
  </si>
  <si>
    <t>www.lixinger.com/analytics/company/hk/00563/563/detail</t>
  </si>
  <si>
    <t>国锐地产</t>
  </si>
  <si>
    <t>www.lixinger.com/analytics/company/hk/00108/108/detail</t>
  </si>
  <si>
    <t>时代中国控股</t>
  </si>
  <si>
    <t>www.lixinger.com/analytics/company/hk/01233/1233/detail</t>
  </si>
  <si>
    <t>华音国际控股</t>
  </si>
  <si>
    <t>www.lixinger.com/analytics/company/hk/00989/989/detail</t>
  </si>
  <si>
    <t>众诚能源</t>
  </si>
  <si>
    <t>www.lixinger.com/analytics/company/hk/02337/2337/detail</t>
  </si>
  <si>
    <t>泓富产业信托</t>
  </si>
  <si>
    <t>www.lixinger.com/analytics/company/hk/00808/808/detail</t>
  </si>
  <si>
    <t>北京北辰实业股份</t>
  </si>
  <si>
    <t>www.lixinger.com/analytics/company/hk/00588/588/detail</t>
  </si>
  <si>
    <t>中国波顿</t>
  </si>
  <si>
    <t>www.lixinger.com/analytics/company/hk/03318/3318/detail</t>
  </si>
  <si>
    <t>禹洲集团</t>
  </si>
  <si>
    <t>www.lixinger.com/analytics/company/hk/01628/1628/detail</t>
  </si>
  <si>
    <t>绿新亲水胶体</t>
  </si>
  <si>
    <t>www.lixinger.com/analytics/company/hk/01084/1084/detail</t>
  </si>
  <si>
    <t>中电光谷</t>
  </si>
  <si>
    <t>www.lixinger.com/analytics/company/hk/00798/798/detail</t>
  </si>
  <si>
    <t>嘉利国际</t>
  </si>
  <si>
    <t>www.lixinger.com/analytics/company/hk/01050/1050/detail</t>
  </si>
  <si>
    <t>恒宇集团</t>
  </si>
  <si>
    <t>www.lixinger.com/analytics/company/hk/02448/2448/detail</t>
  </si>
  <si>
    <t>路劲</t>
  </si>
  <si>
    <t>www.lixinger.com/analytics/company/hk/01098/1098/detail</t>
  </si>
  <si>
    <t>美因基因</t>
  </si>
  <si>
    <t>www.lixinger.com/analytics/company/hk/06667/6667/detail</t>
  </si>
  <si>
    <t>亿都(国际控股)</t>
  </si>
  <si>
    <t>www.lixinger.com/analytics/company/hk/00259/259/detail</t>
  </si>
  <si>
    <t>富汇国际集团控股</t>
  </si>
  <si>
    <t>www.lixinger.com/analytics/company/hk/01034/1034/detail</t>
  </si>
  <si>
    <t>大唐环境</t>
  </si>
  <si>
    <t>www.lixinger.com/analytics/company/hk/01272/1272/detail</t>
  </si>
  <si>
    <t>丰盛控股</t>
  </si>
  <si>
    <t>www.lixinger.com/analytics/company/hk/00607/607/detail</t>
  </si>
  <si>
    <t>德信服务集团</t>
  </si>
  <si>
    <t>www.lixinger.com/analytics/company/hk/02215/2215/detail</t>
  </si>
  <si>
    <t>五菱汽车</t>
  </si>
  <si>
    <t>www.lixinger.com/analytics/company/hk/00305/305/detail</t>
  </si>
  <si>
    <t>香港小轮(集团)</t>
  </si>
  <si>
    <t>www.lixinger.com/analytics/company/hk/00050/50/detail</t>
  </si>
  <si>
    <t>上海先锋控股</t>
  </si>
  <si>
    <t>www.lixinger.com/analytics/company/hk/01345/1345/detail</t>
  </si>
  <si>
    <t>子不语</t>
  </si>
  <si>
    <t>www.lixinger.com/analytics/company/hk/02420/2420/detail</t>
  </si>
  <si>
    <t>亚博科技控股</t>
  </si>
  <si>
    <t>www.lixinger.com/analytics/company/hk/08279/8279/detail</t>
  </si>
  <si>
    <t>富豪酒店</t>
  </si>
  <si>
    <t>www.lixinger.com/analytics/company/hk/00078/78/detail</t>
  </si>
  <si>
    <t>赛晶科技</t>
  </si>
  <si>
    <t>www.lixinger.com/analytics/company/hk/00580/580/detail</t>
  </si>
  <si>
    <t>远洋服务</t>
  </si>
  <si>
    <t>www.lixinger.com/analytics/company/hk/06677/6677/detail</t>
  </si>
  <si>
    <t>新疆新鑫矿业</t>
  </si>
  <si>
    <t>www.lixinger.com/analytics/company/hk/03833/3833/detail</t>
  </si>
  <si>
    <t>中梁控股</t>
  </si>
  <si>
    <t>www.lixinger.com/analytics/company/hk/02772/2772/detail</t>
  </si>
  <si>
    <t>今海国际</t>
  </si>
  <si>
    <t>www.lixinger.com/analytics/company/hk/02225/2225/detail</t>
  </si>
  <si>
    <t>廖创兴企业</t>
  </si>
  <si>
    <t>www.lixinger.com/analytics/company/hk/00194/194/detail</t>
  </si>
  <si>
    <t>读书郎</t>
  </si>
  <si>
    <t>www.lixinger.com/analytics/company/hk/02385/2385/detail</t>
  </si>
  <si>
    <t>津上机床中国</t>
  </si>
  <si>
    <t>www.lixinger.com/analytics/company/hk/01651/1651/detail</t>
  </si>
  <si>
    <t>上海实业环境</t>
  </si>
  <si>
    <t>www.lixinger.com/analytics/company/hk/00807/807/detail</t>
  </si>
  <si>
    <t>万邦投资</t>
  </si>
  <si>
    <t>www.lixinger.com/analytics/company/hk/00158/158/detail</t>
  </si>
  <si>
    <t>汇聚科技</t>
  </si>
  <si>
    <t>www.lixinger.com/analytics/company/hk/01729/1729/detail</t>
  </si>
  <si>
    <t>佐丹奴国际</t>
  </si>
  <si>
    <t>www.lixinger.com/analytics/company/hk/00709/709/detail</t>
  </si>
  <si>
    <t>世纪睿科</t>
  </si>
  <si>
    <t>www.lixinger.com/analytics/company/hk/01450/1450/detail</t>
  </si>
  <si>
    <t>招商局置地</t>
  </si>
  <si>
    <t>www.lixinger.com/analytics/company/hk/00978/978/detail</t>
  </si>
  <si>
    <t>IMAX中国</t>
  </si>
  <si>
    <t>www.lixinger.com/analytics/company/hk/01970/1970/detail</t>
  </si>
  <si>
    <t>中国圣牧</t>
  </si>
  <si>
    <t>www.lixinger.com/analytics/company/hk/01432/1432/detail</t>
  </si>
  <si>
    <t>康圣环球</t>
  </si>
  <si>
    <t>www.lixinger.com/analytics/company/hk/09960/9960/detail</t>
  </si>
  <si>
    <t>中电华大科技</t>
  </si>
  <si>
    <t>www.lixinger.com/analytics/company/hk/00085/85/detail</t>
  </si>
  <si>
    <t>正商实业</t>
  </si>
  <si>
    <t>www.lixinger.com/analytics/company/hk/00185/185/detail</t>
  </si>
  <si>
    <t>城建设计</t>
  </si>
  <si>
    <t>www.lixinger.com/analytics/company/hk/01599/1599/detail</t>
  </si>
  <si>
    <t>兴达国际</t>
  </si>
  <si>
    <t>www.lixinger.com/analytics/company/hk/01899/1899/detail</t>
  </si>
  <si>
    <t>威胜控股</t>
  </si>
  <si>
    <t>www.lixinger.com/analytics/company/hk/03393/3393/detail</t>
  </si>
  <si>
    <t>大昌集团</t>
  </si>
  <si>
    <t>www.lixinger.com/analytics/company/hk/00088/88/detail</t>
  </si>
  <si>
    <t>新沣集团</t>
  </si>
  <si>
    <t>www.lixinger.com/analytics/company/hk/01223/1223/detail</t>
  </si>
  <si>
    <t>澳门励骏</t>
  </si>
  <si>
    <t>www.lixinger.com/analytics/company/hk/01680/1680/detail</t>
  </si>
  <si>
    <t>大众金融控股</t>
  </si>
  <si>
    <t>www.lixinger.com/analytics/company/hk/00626/626/detail</t>
  </si>
  <si>
    <t>兆邦基地产</t>
  </si>
  <si>
    <t>www.lixinger.com/analytics/company/hk/01660/1660/detail</t>
  </si>
  <si>
    <t>华检医疗</t>
  </si>
  <si>
    <t>www.lixinger.com/analytics/company/hk/01931/1931/detail</t>
  </si>
  <si>
    <t>新矿资源</t>
  </si>
  <si>
    <t>www.lixinger.com/analytics/company/hk/01231/1231/detail</t>
  </si>
  <si>
    <t>庆铃汽车股份</t>
  </si>
  <si>
    <t>www.lixinger.com/analytics/company/hk/01122/1122/detail</t>
  </si>
  <si>
    <t>花房集团</t>
  </si>
  <si>
    <t>www.lixinger.com/analytics/company/hk/03611/3611/detail</t>
  </si>
  <si>
    <t>南顺(香港)</t>
  </si>
  <si>
    <t>www.lixinger.com/analytics/company/hk/00411/411/detail</t>
  </si>
  <si>
    <t>TOM集团</t>
  </si>
  <si>
    <t>www.lixinger.com/analytics/company/hk/02383/2383/detail</t>
  </si>
  <si>
    <t>康健国际医疗</t>
  </si>
  <si>
    <t>www.lixinger.com/analytics/company/hk/03886/3886/detail</t>
  </si>
  <si>
    <t>硬蛋创新</t>
  </si>
  <si>
    <t>www.lixinger.com/analytics/company/hk/00400/400/detail</t>
  </si>
  <si>
    <t>英皇国际</t>
  </si>
  <si>
    <t>www.lixinger.com/analytics/company/hk/00163/163/detail</t>
  </si>
  <si>
    <t>宝尊电商-W</t>
  </si>
  <si>
    <t>www.lixinger.com/analytics/company/hk/09991/9991/detail</t>
  </si>
  <si>
    <t>丰盛生活服务</t>
  </si>
  <si>
    <t>www.lixinger.com/analytics/company/hk/00331/331/detail</t>
  </si>
  <si>
    <t>明发集团</t>
  </si>
  <si>
    <t>www.lixinger.com/analytics/company/hk/00846/846/detail</t>
  </si>
  <si>
    <t>INFINITYL&amp;T</t>
  </si>
  <si>
    <t>www.lixinger.com/analytics/company/hk/01442/1442/detail</t>
  </si>
  <si>
    <t>重庆机电</t>
  </si>
  <si>
    <t>www.lixinger.com/analytics/company/hk/02722/2722/detail</t>
  </si>
  <si>
    <t>中盈盛达融资担保</t>
  </si>
  <si>
    <t>www.lixinger.com/analytics/company/hk/01543/1543/detail</t>
  </si>
  <si>
    <t>永泰生物-B</t>
  </si>
  <si>
    <t>www.lixinger.com/analytics/company/hk/06978/6978/detail</t>
  </si>
  <si>
    <t>思捷环球</t>
  </si>
  <si>
    <t>www.lixinger.com/analytics/company/hk/00330/330/detail</t>
  </si>
  <si>
    <t>时捷集团</t>
  </si>
  <si>
    <t>www.lixinger.com/analytics/company/hk/01184/1184/detail</t>
  </si>
  <si>
    <t>朝云集团</t>
  </si>
  <si>
    <t>www.lixinger.com/analytics/company/hk/06601/6601/detail</t>
  </si>
  <si>
    <t>顺丰房托</t>
  </si>
  <si>
    <t>www.lixinger.com/analytics/company/hk/02191/2191/detail</t>
  </si>
  <si>
    <t>高阳科技</t>
  </si>
  <si>
    <t>www.lixinger.com/analytics/company/hk/00818/818/detail</t>
  </si>
  <si>
    <t>中康控股</t>
  </si>
  <si>
    <t>www.lixinger.com/analytics/company/hk/02361/2361/detail</t>
  </si>
  <si>
    <t>嘉泓物流</t>
  </si>
  <si>
    <t>www.lixinger.com/analytics/company/hk/02130/2130/detail</t>
  </si>
  <si>
    <t>和铂医药-B</t>
  </si>
  <si>
    <t>www.lixinger.com/analytics/company/hk/02142/2142/detail</t>
  </si>
  <si>
    <t>亿胜生物科技</t>
  </si>
  <si>
    <t>www.lixinger.com/analytics/company/hk/01061/1061/detail</t>
  </si>
  <si>
    <t>东软教育</t>
  </si>
  <si>
    <t>www.lixinger.com/analytics/company/hk/09616/9616/detail</t>
  </si>
  <si>
    <t>水发兴业能源</t>
  </si>
  <si>
    <t>www.lixinger.com/analytics/company/hk/00750/750/detail</t>
  </si>
  <si>
    <t>德信中国</t>
  </si>
  <si>
    <t>www.lixinger.com/analytics/company/hk/02019/2019/detail</t>
  </si>
  <si>
    <t>蒙古焦煤</t>
  </si>
  <si>
    <t>www.lixinger.com/analytics/company/hk/00975/975/detail</t>
  </si>
  <si>
    <t>北控城市资源</t>
  </si>
  <si>
    <t>www.lixinger.com/analytics/company/hk/03718/3718/detail</t>
  </si>
  <si>
    <t>APOLLO出行</t>
  </si>
  <si>
    <t>www.lixinger.com/analytics/company/hk/00860/860/detail</t>
  </si>
  <si>
    <t>首创环境</t>
  </si>
  <si>
    <t>www.lixinger.com/analytics/company/hk/03989/3989/detail</t>
  </si>
  <si>
    <t>现代牙科</t>
  </si>
  <si>
    <t>www.lixinger.com/analytics/company/hk/03600/3600/detail</t>
  </si>
  <si>
    <t>珩湾科技</t>
  </si>
  <si>
    <t>www.lixinger.com/analytics/company/hk/01523/1523/detail</t>
  </si>
  <si>
    <t>招商局商业房托</t>
  </si>
  <si>
    <t>www.lixinger.com/analytics/company/hk/01503/1503/detail</t>
  </si>
  <si>
    <t>赤子城科技</t>
  </si>
  <si>
    <t>www.lixinger.com/analytics/company/hk/09911/9911/detail</t>
  </si>
  <si>
    <t>美力时集团</t>
  </si>
  <si>
    <t>www.lixinger.com/analytics/company/hk/01005/1005/detail</t>
  </si>
  <si>
    <t>中智全球</t>
  </si>
  <si>
    <t>www.lixinger.com/analytics/company/hk/06819/6819/detail</t>
  </si>
  <si>
    <t>达力集团</t>
  </si>
  <si>
    <t>www.lixinger.com/analytics/company/hk/00029/29/detail</t>
  </si>
  <si>
    <t>信邦控股</t>
  </si>
  <si>
    <t>www.lixinger.com/analytics/company/hk/01571/1571/detail</t>
  </si>
  <si>
    <t>大明国际</t>
  </si>
  <si>
    <t>www.lixinger.com/analytics/company/hk/01090/1090/detail</t>
  </si>
  <si>
    <t>万马控股</t>
  </si>
  <si>
    <t>www.lixinger.com/analytics/company/hk/06928/6928/detail</t>
  </si>
  <si>
    <t>德银天下</t>
  </si>
  <si>
    <t>www.lixinger.com/analytics/company/hk/02418/2418/detail</t>
  </si>
  <si>
    <t>安德利果汁</t>
  </si>
  <si>
    <t>www.lixinger.com/analytics/company/hk/02218/2218/detail</t>
  </si>
  <si>
    <t>山东墨龙</t>
  </si>
  <si>
    <t>www.lixinger.com/analytics/company/hk/00568/568/detail</t>
  </si>
  <si>
    <t>映宇宙</t>
  </si>
  <si>
    <t>广播</t>
  </si>
  <si>
    <t>www.lixinger.com/analytics/company/hk/03700/3700/detail</t>
  </si>
  <si>
    <t>天润云</t>
  </si>
  <si>
    <t>www.lixinger.com/analytics/company/hk/02167/2167/detail</t>
  </si>
  <si>
    <t>中原建业</t>
  </si>
  <si>
    <t>www.lixinger.com/analytics/company/hk/09982/9982/detail</t>
  </si>
  <si>
    <t>辰林教育</t>
  </si>
  <si>
    <t>www.lixinger.com/analytics/company/hk/01593/1593/detail</t>
  </si>
  <si>
    <t>裕承科金</t>
  </si>
  <si>
    <t>www.lixinger.com/analytics/company/hk/00279/279/detail</t>
  </si>
  <si>
    <t>东江环保</t>
  </si>
  <si>
    <t>www.lixinger.com/analytics/company/hk/00895/895/detail</t>
  </si>
  <si>
    <t>华夏视听教育</t>
  </si>
  <si>
    <t>www.lixinger.com/analytics/company/hk/01981/1981/detail</t>
  </si>
  <si>
    <t>阳光纸业</t>
  </si>
  <si>
    <t>www.lixinger.com/analytics/company/hk/02002/2002/detail</t>
  </si>
  <si>
    <t>鹰美</t>
  </si>
  <si>
    <t>www.lixinger.com/analytics/company/hk/02368/2368/detail</t>
  </si>
  <si>
    <t>南方锰业</t>
  </si>
  <si>
    <t>www.lixinger.com/analytics/company/hk/01091/1091/detail</t>
  </si>
  <si>
    <t>快狗打车</t>
  </si>
  <si>
    <t>www.lixinger.com/analytics/company/hk/02246/2246/detail</t>
  </si>
  <si>
    <t>华南职业教育</t>
  </si>
  <si>
    <t>www.lixinger.com/analytics/company/hk/06913/6913/detail</t>
  </si>
  <si>
    <t>其士国际</t>
  </si>
  <si>
    <t>www.lixinger.com/analytics/company/hk/00025/25/detail</t>
  </si>
  <si>
    <t>星盛商业</t>
  </si>
  <si>
    <t>www.lixinger.com/analytics/company/hk/06668/6668/detail</t>
  </si>
  <si>
    <t>国际家居零售</t>
  </si>
  <si>
    <t>www.lixinger.com/analytics/company/hk/01373/1373/detail</t>
  </si>
  <si>
    <t>融信服务</t>
  </si>
  <si>
    <t>www.lixinger.com/analytics/company/hk/02207/2207/detail</t>
  </si>
  <si>
    <t>和誉-B</t>
  </si>
  <si>
    <t>www.lixinger.com/analytics/company/hk/02256/2256/detail</t>
  </si>
  <si>
    <t>中国新城市</t>
  </si>
  <si>
    <t>www.lixinger.com/analytics/company/hk/01321/1321/detail</t>
  </si>
  <si>
    <t>百得利控股</t>
  </si>
  <si>
    <t>www.lixinger.com/analytics/company/hk/06909/6909/detail</t>
  </si>
  <si>
    <t>滨海投资</t>
  </si>
  <si>
    <t>www.lixinger.com/analytics/company/hk/02886/2886/detail</t>
  </si>
  <si>
    <t>友谊时光</t>
  </si>
  <si>
    <t>www.lixinger.com/analytics/company/hk/06820/6820/detail</t>
  </si>
  <si>
    <t>优品360</t>
  </si>
  <si>
    <t>www.lixinger.com/analytics/company/hk/02360/2360/detail</t>
  </si>
  <si>
    <t>民生教育</t>
  </si>
  <si>
    <t>www.lixinger.com/analytics/company/hk/01569/1569/detail</t>
  </si>
  <si>
    <t>宝业集团</t>
  </si>
  <si>
    <t>www.lixinger.com/analytics/company/hk/02355/2355/detail</t>
  </si>
  <si>
    <t>智勤控股</t>
  </si>
  <si>
    <t>www.lixinger.com/analytics/company/hk/09913/9913/detail</t>
  </si>
  <si>
    <t>凤祥股份</t>
  </si>
  <si>
    <t>www.lixinger.com/analytics/company/hk/09977/9977/detail</t>
  </si>
  <si>
    <t>优矩控股</t>
  </si>
  <si>
    <t>www.lixinger.com/analytics/company/hk/01948/1948/detail</t>
  </si>
  <si>
    <t>绿地香港</t>
  </si>
  <si>
    <t>www.lixinger.com/analytics/company/hk/00337/337/detail</t>
  </si>
  <si>
    <t>福禄控股</t>
  </si>
  <si>
    <t>www.lixinger.com/analytics/company/hk/02101/2101/detail</t>
  </si>
  <si>
    <t>信和酒店</t>
  </si>
  <si>
    <t>www.lixinger.com/analytics/company/hk/01221/1221/detail</t>
  </si>
  <si>
    <t>东方表行集团</t>
  </si>
  <si>
    <t>www.lixinger.com/analytics/company/hk/00398/398/detail</t>
  </si>
  <si>
    <t>昊天国际建投</t>
  </si>
  <si>
    <t>www.lixinger.com/analytics/company/hk/01341/1341/detail</t>
  </si>
  <si>
    <t>Aeon信贷</t>
  </si>
  <si>
    <t>www.lixinger.com/analytics/company/hk/00900/900/detail</t>
  </si>
  <si>
    <t>百利保控股</t>
  </si>
  <si>
    <t>www.lixinger.com/analytics/company/hk/00617/617/detail</t>
  </si>
  <si>
    <t>爪哇控股</t>
  </si>
  <si>
    <t>www.lixinger.com/analytics/company/hk/00251/251/detail</t>
  </si>
  <si>
    <t>景业名邦集团</t>
  </si>
  <si>
    <t>www.lixinger.com/analytics/company/hk/02231/2231/detail</t>
  </si>
  <si>
    <t>帝国科技集团</t>
  </si>
  <si>
    <t>www.lixinger.com/analytics/company/hk/00776/776/detail</t>
  </si>
  <si>
    <t>纷美包装</t>
  </si>
  <si>
    <t>www.lixinger.com/analytics/company/hk/00468/468/detail</t>
  </si>
  <si>
    <t>康耐特光学</t>
  </si>
  <si>
    <t>www.lixinger.com/analytics/company/hk/02276/2276/detail</t>
  </si>
  <si>
    <t>和泓服务</t>
  </si>
  <si>
    <t>www.lixinger.com/analytics/company/hk/06093/6093/detail</t>
  </si>
  <si>
    <t>润歌互动</t>
  </si>
  <si>
    <t>www.lixinger.com/analytics/company/hk/02422/2422/detail</t>
  </si>
  <si>
    <t>金朝阳集团</t>
  </si>
  <si>
    <t>www.lixinger.com/analytics/company/hk/00878/878/detail</t>
  </si>
  <si>
    <t>中国天然气</t>
  </si>
  <si>
    <t>www.lixinger.com/analytics/company/hk/00931/931/detail</t>
  </si>
  <si>
    <t>中国动向</t>
  </si>
  <si>
    <t>www.lixinger.com/analytics/company/hk/03818/3818/detail</t>
  </si>
  <si>
    <t>华谊腾讯娱乐</t>
  </si>
  <si>
    <t>www.lixinger.com/analytics/company/hk/00419/419/detail</t>
  </si>
  <si>
    <t>亚太卫星</t>
  </si>
  <si>
    <t>www.lixinger.com/analytics/company/hk/01045/1045/detail</t>
  </si>
  <si>
    <t>本间高尔夫</t>
  </si>
  <si>
    <t>www.lixinger.com/analytics/company/hk/06858/6858/detail</t>
  </si>
  <si>
    <t>香港航天科技</t>
  </si>
  <si>
    <t>www.lixinger.com/analytics/company/hk/01725/1725/detail</t>
  </si>
  <si>
    <t>魏桥纺织</t>
  </si>
  <si>
    <t>www.lixinger.com/analytics/company/hk/02698/2698/detail</t>
  </si>
  <si>
    <t>玄武云</t>
  </si>
  <si>
    <t>www.lixinger.com/analytics/company/hk/02392/2392/detail</t>
  </si>
  <si>
    <t>理士国际</t>
  </si>
  <si>
    <t>www.lixinger.com/analytics/company/hk/00842/842/detail</t>
  </si>
  <si>
    <t>满贯集团</t>
  </si>
  <si>
    <t>www.lixinger.com/analytics/company/hk/03390/3390/detail</t>
  </si>
  <si>
    <t>亨鑫科技</t>
  </si>
  <si>
    <t>www.lixinger.com/analytics/company/hk/01085/1085/detail</t>
  </si>
  <si>
    <t>智欣集团控股</t>
  </si>
  <si>
    <t>www.lixinger.com/analytics/company/hk/02187/2187/detail</t>
  </si>
  <si>
    <t>正荣地产</t>
  </si>
  <si>
    <t>www.lixinger.com/analytics/company/hk/06158/6158/detail</t>
  </si>
  <si>
    <t>叶氏化工集团</t>
  </si>
  <si>
    <t>www.lixinger.com/analytics/company/hk/00408/408/detail</t>
  </si>
  <si>
    <t>东建国际</t>
  </si>
  <si>
    <t>www.lixinger.com/analytics/company/hk/00329/329/detail</t>
  </si>
  <si>
    <t>东瑞制药</t>
  </si>
  <si>
    <t>www.lixinger.com/analytics/company/hk/02348/2348/detail</t>
  </si>
  <si>
    <t>超威动力</t>
  </si>
  <si>
    <t>www.lixinger.com/analytics/company/hk/00951/951/detail</t>
  </si>
  <si>
    <t>槟杰科达</t>
  </si>
  <si>
    <t>www.lixinger.com/analytics/company/hk/01665/1665/detail</t>
  </si>
  <si>
    <t>正通汽车</t>
  </si>
  <si>
    <t>www.lixinger.com/analytics/company/hk/01728/1728/detail</t>
  </si>
  <si>
    <t>融信中国</t>
  </si>
  <si>
    <t>www.lixinger.com/analytics/company/hk/03301/3301/detail</t>
  </si>
  <si>
    <t>栢能集团</t>
  </si>
  <si>
    <t>www.lixinger.com/analytics/company/hk/01263/1263/detail</t>
  </si>
  <si>
    <t>天德化工</t>
  </si>
  <si>
    <t>www.lixinger.com/analytics/company/hk/00609/609/detail</t>
  </si>
  <si>
    <t>民银资本</t>
  </si>
  <si>
    <t>www.lixinger.com/analytics/company/hk/01141/1141/detail</t>
  </si>
  <si>
    <t>中国抗体-B</t>
  </si>
  <si>
    <t>www.lixinger.com/analytics/company/hk/03681/3681/detail</t>
  </si>
  <si>
    <t>济丰包装</t>
  </si>
  <si>
    <t>www.lixinger.com/analytics/company/hk/01820/1820/detail</t>
  </si>
  <si>
    <t>和谐汽车</t>
  </si>
  <si>
    <t>www.lixinger.com/analytics/company/hk/03836/3836/detail</t>
  </si>
  <si>
    <t>药明巨诺-B</t>
  </si>
  <si>
    <t>www.lixinger.com/analytics/company/hk/02126/2126/detail</t>
  </si>
  <si>
    <t>雅各臣科研制药</t>
  </si>
  <si>
    <t>www.lixinger.com/analytics/company/hk/02633/2633/detail</t>
  </si>
  <si>
    <t>德视佳</t>
  </si>
  <si>
    <t>www.lixinger.com/analytics/company/hk/01846/1846/detail</t>
  </si>
  <si>
    <t>爱帝宫</t>
  </si>
  <si>
    <t>www.lixinger.com/analytics/company/hk/00286/286/detail</t>
  </si>
  <si>
    <t>山东国信</t>
  </si>
  <si>
    <t>www.lixinger.com/analytics/company/hk/01697/1697/detail</t>
  </si>
  <si>
    <t>润迈德-B</t>
  </si>
  <si>
    <t>www.lixinger.com/analytics/company/hk/02297/2297/detail</t>
  </si>
  <si>
    <t>东吴水泥</t>
  </si>
  <si>
    <t>www.lixinger.com/analytics/company/hk/00695/695/detail</t>
  </si>
  <si>
    <t>德林国际</t>
  </si>
  <si>
    <t>www.lixinger.com/analytics/company/hk/01126/1126/detail</t>
  </si>
  <si>
    <t>德永佳集团</t>
  </si>
  <si>
    <t>www.lixinger.com/analytics/company/hk/00321/321/detail</t>
  </si>
  <si>
    <t>迈博药业-B</t>
  </si>
  <si>
    <t>www.lixinger.com/analytics/company/hk/02181/2181/detail</t>
  </si>
  <si>
    <t>大快活集团</t>
  </si>
  <si>
    <t>www.lixinger.com/analytics/company/hk/00052/52/detail</t>
  </si>
  <si>
    <t>亿达中国</t>
  </si>
  <si>
    <t>www.lixinger.com/analytics/company/hk/03639/3639/detail</t>
  </si>
  <si>
    <t>德盈控股</t>
  </si>
  <si>
    <t>www.lixinger.com/analytics/company/hk/02250/2250/detail</t>
  </si>
  <si>
    <t>佳源国际控股</t>
  </si>
  <si>
    <t>www.lixinger.com/analytics/company/hk/02768/2768/detail</t>
  </si>
  <si>
    <t>嘉宏教育</t>
  </si>
  <si>
    <t>www.lixinger.com/analytics/company/hk/01935/1935/detail</t>
  </si>
  <si>
    <t>中达集团控股</t>
  </si>
  <si>
    <t>www.lixinger.com/analytics/company/hk/00139/139/detail</t>
  </si>
  <si>
    <t>家乡互动</t>
  </si>
  <si>
    <t>www.lixinger.com/analytics/company/hk/03798/3798/detail</t>
  </si>
  <si>
    <t>中国新华教育</t>
  </si>
  <si>
    <t>www.lixinger.com/analytics/company/hk/02779/2779/detail</t>
  </si>
  <si>
    <t>结好金融</t>
  </si>
  <si>
    <t>www.lixinger.com/analytics/company/hk/01469/1469/detail</t>
  </si>
  <si>
    <t>闽信集团</t>
  </si>
  <si>
    <t>www.lixinger.com/analytics/company/hk/00222/222/detail</t>
  </si>
  <si>
    <t>凤凰卫视</t>
  </si>
  <si>
    <t>www.lixinger.com/analytics/company/hk/02008/2008/detail</t>
  </si>
  <si>
    <t>彩虹新能源</t>
  </si>
  <si>
    <t>www.lixinger.com/analytics/company/hk/00438/438/detail</t>
  </si>
  <si>
    <t>禅游科技</t>
  </si>
  <si>
    <t>www.lixinger.com/analytics/company/hk/02660/2660/detail</t>
  </si>
  <si>
    <t>金融壹账通</t>
  </si>
  <si>
    <t>www.lixinger.com/analytics/company/hk/06638/6638/detail</t>
  </si>
  <si>
    <t>胜狮货柜</t>
  </si>
  <si>
    <t>www.lixinger.com/analytics/company/hk/00716/716/detail</t>
  </si>
  <si>
    <t>京城机电股份</t>
  </si>
  <si>
    <t>www.lixinger.com/analytics/company/hk/00187/187/detail</t>
  </si>
  <si>
    <t>五矿地产</t>
  </si>
  <si>
    <t>www.lixinger.com/analytics/company/hk/00230/230/detail</t>
  </si>
  <si>
    <t>亿和控股</t>
  </si>
  <si>
    <t>www.lixinger.com/analytics/company/hk/00838/838/detail</t>
  </si>
  <si>
    <t>龙记集团</t>
  </si>
  <si>
    <t>www.lixinger.com/analytics/company/hk/00255/255/detail</t>
  </si>
  <si>
    <t>弘阳地产</t>
  </si>
  <si>
    <t>www.lixinger.com/analytics/company/hk/01996/1996/detail</t>
  </si>
  <si>
    <t>惠记集团</t>
  </si>
  <si>
    <t>www.lixinger.com/analytics/company/hk/00610/610/detail</t>
  </si>
  <si>
    <t>宏光半导体</t>
  </si>
  <si>
    <t>www.lixinger.com/analytics/company/hk/06908/6908/detail</t>
  </si>
  <si>
    <t>富元国际集团</t>
  </si>
  <si>
    <t>www.lixinger.com/analytics/company/hk/00542/542/detail</t>
  </si>
  <si>
    <t>威华达控股</t>
  </si>
  <si>
    <t>www.lixinger.com/analytics/company/hk/00622/622/detail</t>
  </si>
  <si>
    <t>中国通商集团</t>
  </si>
  <si>
    <t>www.lixinger.com/analytics/company/hk/01719/1719/detail</t>
  </si>
  <si>
    <t>天德地产</t>
  </si>
  <si>
    <t>www.lixinger.com/analytics/company/hk/00266/266/detail</t>
  </si>
  <si>
    <t>中国三江化工</t>
  </si>
  <si>
    <t>www.lixinger.com/analytics/company/hk/02198/2198/detail</t>
  </si>
  <si>
    <t>瀚华金控</t>
  </si>
  <si>
    <t>www.lixinger.com/analytics/company/hk/03903/3903/detail</t>
  </si>
  <si>
    <t>东曜药业-B</t>
  </si>
  <si>
    <t>www.lixinger.com/analytics/company/hk/01875/1875/detail</t>
  </si>
  <si>
    <t>电视广播</t>
  </si>
  <si>
    <t>www.lixinger.com/analytics/company/hk/00511/511/detail</t>
  </si>
  <si>
    <t>四川能投发展</t>
  </si>
  <si>
    <t>www.lixinger.com/analytics/company/hk/01713/1713/detail</t>
  </si>
  <si>
    <t>畅捷通</t>
  </si>
  <si>
    <t>www.lixinger.com/analytics/company/hk/01588/1588/detail</t>
  </si>
  <si>
    <t>亚东集团</t>
  </si>
  <si>
    <t>www.lixinger.com/analytics/company/hk/01795/1795/detail</t>
  </si>
  <si>
    <t>兆科眼科-B</t>
  </si>
  <si>
    <t>www.lixinger.com/analytics/company/hk/06622/6622/detail</t>
  </si>
  <si>
    <t>天津发展</t>
  </si>
  <si>
    <t>www.lixinger.com/analytics/company/hk/00882/882/detail</t>
  </si>
  <si>
    <t>中国金控</t>
  </si>
  <si>
    <t>www.lixinger.com/analytics/company/hk/00875/875/detail</t>
  </si>
  <si>
    <t>东光化工</t>
  </si>
  <si>
    <t>www.lixinger.com/analytics/company/hk/01702/1702/detail</t>
  </si>
  <si>
    <t>安乐工程</t>
  </si>
  <si>
    <t>www.lixinger.com/analytics/company/hk/01977/1977/detail</t>
  </si>
  <si>
    <t>万国国际矿业</t>
  </si>
  <si>
    <t>www.lixinger.com/analytics/company/hk/03939/3939/detail</t>
  </si>
  <si>
    <t>建桥教育</t>
  </si>
  <si>
    <t>www.lixinger.com/analytics/company/hk/01525/1525/detail</t>
  </si>
  <si>
    <t>华发物业服务</t>
  </si>
  <si>
    <t>www.lixinger.com/analytics/company/hk/00982/982/detail</t>
  </si>
  <si>
    <t>美建集团</t>
  </si>
  <si>
    <t>www.lixinger.com/analytics/company/hk/00335/335/detail</t>
  </si>
  <si>
    <t>中油燃气</t>
  </si>
  <si>
    <t>www.lixinger.com/analytics/company/hk/00603/603/detail</t>
  </si>
  <si>
    <t>迪生创建</t>
  </si>
  <si>
    <t>www.lixinger.com/analytics/company/hk/00113/113/detail</t>
  </si>
  <si>
    <t>巨腾国际</t>
  </si>
  <si>
    <t>www.lixinger.com/analytics/company/hk/03336/3336/detail</t>
  </si>
  <si>
    <t>金马能源</t>
  </si>
  <si>
    <t>www.lixinger.com/analytics/company/hk/06885/6885/detail</t>
  </si>
  <si>
    <t>笔克远东</t>
  </si>
  <si>
    <t>www.lixinger.com/analytics/company/hk/00752/752/detail</t>
  </si>
  <si>
    <t>丽新发展</t>
  </si>
  <si>
    <t>www.lixinger.com/analytics/company/hk/00488/488/detail</t>
  </si>
  <si>
    <t>协鑫新能源</t>
  </si>
  <si>
    <t>www.lixinger.com/analytics/company/hk/00451/451/detail</t>
  </si>
  <si>
    <t>胜捷企业</t>
  </si>
  <si>
    <t>www.lixinger.com/analytics/company/hk/06090/6090/detail</t>
  </si>
  <si>
    <t>晶门半导体</t>
  </si>
  <si>
    <t>www.lixinger.com/analytics/company/hk/02878/2878/detail</t>
  </si>
  <si>
    <t>鼎丰集团汽车</t>
  </si>
  <si>
    <t>www.lixinger.com/analytics/company/hk/06878/6878/detail</t>
  </si>
  <si>
    <t>河北建设</t>
  </si>
  <si>
    <t>www.lixinger.com/analytics/company/hk/01727/1727/detail</t>
  </si>
  <si>
    <t>中国罕王</t>
  </si>
  <si>
    <t>www.lixinger.com/analytics/company/hk/03788/3788/detail</t>
  </si>
  <si>
    <t>中国玻璃</t>
  </si>
  <si>
    <t>www.lixinger.com/analytics/company/hk/03300/3300/detail</t>
  </si>
  <si>
    <t>亚太资源</t>
  </si>
  <si>
    <t>www.lixinger.com/analytics/company/hk/01104/1104/detail</t>
  </si>
  <si>
    <t>中国石墨</t>
  </si>
  <si>
    <t>www.lixinger.com/analytics/company/hk/02237/2237/detail</t>
  </si>
  <si>
    <t>交银国际</t>
  </si>
  <si>
    <t>www.lixinger.com/analytics/company/hk/03329/3329/detail</t>
  </si>
  <si>
    <t>万达酒店发展</t>
  </si>
  <si>
    <t>www.lixinger.com/analytics/company/hk/00169/169/detail</t>
  </si>
  <si>
    <t>心玮医疗-B</t>
  </si>
  <si>
    <t>www.lixinger.com/analytics/company/hk/06609/6609/detail</t>
  </si>
  <si>
    <t>结好控股</t>
  </si>
  <si>
    <t>www.lixinger.com/analytics/company/hk/00064/64/detail</t>
  </si>
  <si>
    <t>中国星集团</t>
  </si>
  <si>
    <t>www.lixinger.com/analytics/company/hk/00326/326/detail</t>
  </si>
  <si>
    <t>布莱克万矿业</t>
  </si>
  <si>
    <t>www.lixinger.com/analytics/company/hk/00159/159/detail</t>
  </si>
  <si>
    <t>鹰瞳科技-B</t>
  </si>
  <si>
    <t>www.lixinger.com/analytics/company/hk/02251/2251/detail</t>
  </si>
  <si>
    <t>稀美资源</t>
  </si>
  <si>
    <t>www.lixinger.com/analytics/company/hk/09936/9936/detail</t>
  </si>
  <si>
    <t>宏力医疗管理</t>
  </si>
  <si>
    <t>www.lixinger.com/analytics/company/hk/09906/9906/detail</t>
  </si>
  <si>
    <t>国际商业结算</t>
  </si>
  <si>
    <t>www.lixinger.com/analytics/company/hk/00147/147/detail</t>
  </si>
  <si>
    <t>数字王国</t>
  </si>
  <si>
    <t>www.lixinger.com/analytics/company/hk/00547/547/detail</t>
  </si>
  <si>
    <t>达丰设备</t>
  </si>
  <si>
    <t>www.lixinger.com/analytics/company/hk/02153/2153/detail</t>
  </si>
  <si>
    <t>滇池水务</t>
  </si>
  <si>
    <t>www.lixinger.com/analytics/company/hk/03768/3768/detail</t>
  </si>
  <si>
    <t>百心安-B</t>
  </si>
  <si>
    <t>www.lixinger.com/analytics/company/hk/02185/2185/detail</t>
  </si>
  <si>
    <t>新世界百货中国</t>
  </si>
  <si>
    <t>www.lixinger.com/analytics/company/hk/00825/825/detail</t>
  </si>
  <si>
    <t>新纽科技</t>
  </si>
  <si>
    <t>www.lixinger.com/analytics/company/hk/09600/9600/detail</t>
  </si>
  <si>
    <t>大山教育</t>
  </si>
  <si>
    <t>www.lixinger.com/analytics/company/hk/09986/9986/detail</t>
  </si>
  <si>
    <t>天宝集团</t>
  </si>
  <si>
    <t>www.lixinger.com/analytics/company/hk/01979/1979/detail</t>
  </si>
  <si>
    <t>金嗓子</t>
  </si>
  <si>
    <t>www.lixinger.com/analytics/company/hk/06896/6896/detail</t>
  </si>
  <si>
    <t>万宝盛华</t>
  </si>
  <si>
    <t>www.lixinger.com/analytics/company/hk/02180/2180/detail</t>
  </si>
  <si>
    <t>比优集团</t>
  </si>
  <si>
    <t>www.lixinger.com/analytics/company/hk/08053/8053/detail</t>
  </si>
  <si>
    <t>汉国置业</t>
  </si>
  <si>
    <t>www.lixinger.com/analytics/company/hk/00160/160/detail</t>
  </si>
  <si>
    <t>众安集团</t>
  </si>
  <si>
    <t>www.lixinger.com/analytics/company/hk/00672/672/detail</t>
  </si>
  <si>
    <t>弘业期货</t>
  </si>
  <si>
    <t>www.lixinger.com/analytics/company/hk/03678/3678/detail</t>
  </si>
  <si>
    <t>大成生化科技</t>
  </si>
  <si>
    <t>www.lixinger.com/analytics/company/hk/00809/809/detail</t>
  </si>
  <si>
    <t>亿仕登控股</t>
  </si>
  <si>
    <t>www.lixinger.com/analytics/company/hk/01656/1656/detail</t>
  </si>
  <si>
    <t>卓能(集团)</t>
  </si>
  <si>
    <t>www.lixinger.com/analytics/company/hk/00131/131/detail</t>
  </si>
  <si>
    <t>嘉和生物-B</t>
  </si>
  <si>
    <t>www.lixinger.com/analytics/company/hk/06998/6998/detail</t>
  </si>
  <si>
    <t>润中国际控股</t>
  </si>
  <si>
    <t>www.lixinger.com/analytics/company/hk/00202/202/detail</t>
  </si>
  <si>
    <t>金利来集团</t>
  </si>
  <si>
    <t>www.lixinger.com/analytics/company/hk/00533/533/detail</t>
  </si>
  <si>
    <t>东方企控集团</t>
  </si>
  <si>
    <t>www.lixinger.com/analytics/company/hk/00018/18/detail</t>
  </si>
  <si>
    <t>GUANZEMEDICAL</t>
  </si>
  <si>
    <t>www.lixinger.com/analytics/company/hk/02427/2427/detail</t>
  </si>
  <si>
    <t>创胜集团-B</t>
  </si>
  <si>
    <t>www.lixinger.com/analytics/company/hk/06628/6628/detail</t>
  </si>
  <si>
    <t>力宝</t>
  </si>
  <si>
    <t>www.lixinger.com/analytics/company/hk/00226/226/detail</t>
  </si>
  <si>
    <t>中国淀粉</t>
  </si>
  <si>
    <t>www.lixinger.com/analytics/company/hk/03838/3838/detail</t>
  </si>
  <si>
    <t>BC科技集团</t>
  </si>
  <si>
    <t>www.lixinger.com/analytics/company/hk/00863/863/detail</t>
  </si>
  <si>
    <t>天彩控股</t>
  </si>
  <si>
    <t>www.lixinger.com/analytics/company/hk/03882/3882/detail</t>
  </si>
  <si>
    <t>添利工业</t>
  </si>
  <si>
    <t>www.lixinger.com/analytics/company/hk/00093/93/detail</t>
  </si>
  <si>
    <t>茂宸集团</t>
  </si>
  <si>
    <t>www.lixinger.com/analytics/company/hk/00273/273/detail</t>
  </si>
  <si>
    <t>维信金科</t>
  </si>
  <si>
    <t>www.lixinger.com/analytics/company/hk/02003/2003/detail</t>
  </si>
  <si>
    <t>北京燃气蓝天</t>
  </si>
  <si>
    <t>www.lixinger.com/analytics/company/hk/06828/6828/detail</t>
  </si>
  <si>
    <t>利福中国</t>
  </si>
  <si>
    <t>www.lixinger.com/analytics/company/hk/02136/2136/detail</t>
  </si>
  <si>
    <t>粤海置地</t>
  </si>
  <si>
    <t>www.lixinger.com/analytics/company/hk/00124/124/detail</t>
  </si>
  <si>
    <t>东江集团控股</t>
  </si>
  <si>
    <t>www.lixinger.com/analytics/company/hk/02283/2283/detail</t>
  </si>
  <si>
    <t>彩客新能源</t>
  </si>
  <si>
    <t>www.lixinger.com/analytics/company/hk/01986/1986/detail</t>
  </si>
  <si>
    <t>奥威控股</t>
  </si>
  <si>
    <t>www.lixinger.com/analytics/company/hk/01370/1370/detail</t>
  </si>
  <si>
    <t>中国大冶有色金属</t>
  </si>
  <si>
    <t>www.lixinger.com/analytics/company/hk/00661/661/detail</t>
  </si>
  <si>
    <t>兴胜创建</t>
  </si>
  <si>
    <t>www.lixinger.com/analytics/company/hk/00896/896/detail</t>
  </si>
  <si>
    <t>堡狮龙国际</t>
  </si>
  <si>
    <t>www.lixinger.com/analytics/company/hk/00592/592/detail</t>
  </si>
  <si>
    <t>齐家控股</t>
  </si>
  <si>
    <t>www.lixinger.com/analytics/company/hk/08395/8395/detail</t>
  </si>
  <si>
    <t>宏华集团</t>
  </si>
  <si>
    <t>www.lixinger.com/analytics/company/hk/00196/196/detail</t>
  </si>
  <si>
    <t>浙江世宝</t>
  </si>
  <si>
    <t>www.lixinger.com/analytics/company/hk/01057/1057/detail</t>
  </si>
  <si>
    <t>金邦达宝嘉</t>
  </si>
  <si>
    <t>www.lixinger.com/analytics/company/hk/03315/3315/detail</t>
  </si>
  <si>
    <t>江南集团</t>
  </si>
  <si>
    <t>www.lixinger.com/analytics/company/hk/01366/1366/detail</t>
  </si>
  <si>
    <t>建业地产</t>
  </si>
  <si>
    <t>www.lixinger.com/analytics/company/hk/00832/832/detail</t>
  </si>
  <si>
    <t>航天控股</t>
  </si>
  <si>
    <t>www.lixinger.com/analytics/company/hk/00031/31/detail</t>
  </si>
  <si>
    <t>广汇宝信</t>
  </si>
  <si>
    <t>www.lixinger.com/analytics/company/hk/01293/1293/detail</t>
  </si>
  <si>
    <t>铁货</t>
  </si>
  <si>
    <t>www.lixinger.com/analytics/company/hk/01029/1029/detail</t>
  </si>
  <si>
    <t>新焦点</t>
  </si>
  <si>
    <t>www.lixinger.com/analytics/company/hk/00360/360/detail</t>
  </si>
  <si>
    <t>泰和小贷</t>
  </si>
  <si>
    <t>www.lixinger.com/analytics/company/hk/01915/1915/detail</t>
  </si>
  <si>
    <t>招商局中国基金</t>
  </si>
  <si>
    <t>www.lixinger.com/analytics/company/hk/00133/133/detail</t>
  </si>
  <si>
    <t>湖州燃气</t>
  </si>
  <si>
    <t>www.lixinger.com/analytics/company/hk/06661/6661/detail</t>
  </si>
  <si>
    <t>联洋智能控股</t>
  </si>
  <si>
    <t>www.lixinger.com/analytics/company/hk/01561/1561/detail</t>
  </si>
  <si>
    <t>潼关黄金</t>
  </si>
  <si>
    <t>www.lixinger.com/analytics/company/hk/00340/340/detail</t>
  </si>
  <si>
    <t>亨得利</t>
  </si>
  <si>
    <t>www.lixinger.com/analytics/company/hk/03389/3389/detail</t>
  </si>
  <si>
    <t>祥生控股集团</t>
  </si>
  <si>
    <t>www.lixinger.com/analytics/company/hk/02599/2599/detail</t>
  </si>
  <si>
    <t>驴迹科技</t>
  </si>
  <si>
    <t>www.lixinger.com/analytics/company/hk/01745/1745/detail</t>
  </si>
  <si>
    <t>太兴集团</t>
  </si>
  <si>
    <t>www.lixinger.com/analytics/company/hk/06811/6811/detail</t>
  </si>
  <si>
    <t>亲亲食品</t>
  </si>
  <si>
    <t>www.lixinger.com/analytics/company/hk/01583/1583/detail</t>
  </si>
  <si>
    <t>资本策略地产</t>
  </si>
  <si>
    <t>www.lixinger.com/analytics/company/hk/00497/497/detail</t>
  </si>
  <si>
    <t>港龙中国地产</t>
  </si>
  <si>
    <t>www.lixinger.com/analytics/company/hk/06968/6968/detail</t>
  </si>
  <si>
    <t>伟能集团</t>
  </si>
  <si>
    <t>www.lixinger.com/analytics/company/hk/01608/1608/detail</t>
  </si>
  <si>
    <t>百奥家庭互动</t>
  </si>
  <si>
    <t>www.lixinger.com/analytics/company/hk/02100/2100/detail</t>
  </si>
  <si>
    <t>英皇钟表珠宝</t>
  </si>
  <si>
    <t>www.lixinger.com/analytics/company/hk/00887/887/detail</t>
  </si>
  <si>
    <t>堃博医疗-B</t>
  </si>
  <si>
    <t>www.lixinger.com/analytics/company/hk/02216/2216/detail</t>
  </si>
  <si>
    <t>珠江船务</t>
  </si>
  <si>
    <t>www.lixinger.com/analytics/company/hk/00560/560/detail</t>
  </si>
  <si>
    <t>筑友智造科技</t>
  </si>
  <si>
    <t>www.lixinger.com/analytics/company/hk/00726/726/detail</t>
  </si>
  <si>
    <t>美瑞健康国际</t>
  </si>
  <si>
    <t>www.lixinger.com/analytics/company/hk/02327/2327/detail</t>
  </si>
  <si>
    <t>透云生物</t>
  </si>
  <si>
    <t>www.lixinger.com/analytics/company/hk/01332/1332/detail</t>
  </si>
  <si>
    <t>超盈国际控股</t>
  </si>
  <si>
    <t>www.lixinger.com/analytics/company/hk/02111/2111/detail</t>
  </si>
  <si>
    <t>通达集团</t>
  </si>
  <si>
    <t>www.lixinger.com/analytics/company/hk/00698/698/detail</t>
  </si>
  <si>
    <t>惠生工程</t>
  </si>
  <si>
    <t>www.lixinger.com/analytics/company/hk/02236/2236/detail</t>
  </si>
  <si>
    <t>嘉兴燃气</t>
  </si>
  <si>
    <t>www.lixinger.com/analytics/company/hk/09908/9908/detail</t>
  </si>
  <si>
    <t>康达环保</t>
  </si>
  <si>
    <t>www.lixinger.com/analytics/company/hk/06136/6136/detail</t>
  </si>
  <si>
    <t>中国安储能源</t>
  </si>
  <si>
    <t>www.lixinger.com/analytics/company/hk/02399/2399/detail</t>
  </si>
  <si>
    <t>芯智控股</t>
  </si>
  <si>
    <t>www.lixinger.com/analytics/company/hk/02166/2166/detail</t>
  </si>
  <si>
    <t>合富辉煌</t>
  </si>
  <si>
    <t>www.lixinger.com/analytics/company/hk/00733/733/detail</t>
  </si>
  <si>
    <t>元征科技</t>
  </si>
  <si>
    <t>www.lixinger.com/analytics/company/hk/02488/2488/detail</t>
  </si>
  <si>
    <t>神话世界</t>
  </si>
  <si>
    <t>www.lixinger.com/analytics/company/hk/00582/582/detail</t>
  </si>
  <si>
    <t>信源企业集团</t>
  </si>
  <si>
    <t>www.lixinger.com/analytics/company/hk/01748/1748/detail</t>
  </si>
  <si>
    <t>百仕达控股</t>
  </si>
  <si>
    <t>www.lixinger.com/analytics/company/hk/01168/1168/detail</t>
  </si>
  <si>
    <t>基石科技控股</t>
  </si>
  <si>
    <t>www.lixinger.com/analytics/company/hk/08391/8391/detail</t>
  </si>
  <si>
    <t>飞尚无烟煤</t>
  </si>
  <si>
    <t>www.lixinger.com/analytics/company/hk/01738/1738/detail</t>
  </si>
  <si>
    <t>庄士机构国际</t>
  </si>
  <si>
    <t>www.lixinger.com/analytics/company/hk/00367/367/detail</t>
  </si>
  <si>
    <t>民生国际</t>
  </si>
  <si>
    <t>www.lixinger.com/analytics/company/hk/00938/938/detail</t>
  </si>
  <si>
    <t>西藏水资源</t>
  </si>
  <si>
    <t>www.lixinger.com/analytics/company/hk/01115/1115/detail</t>
  </si>
  <si>
    <t>彩星集团</t>
  </si>
  <si>
    <t>www.lixinger.com/analytics/company/hk/00635/635/detail</t>
  </si>
  <si>
    <t>震雄集团</t>
  </si>
  <si>
    <t>www.lixinger.com/analytics/company/hk/00057/57/detail</t>
  </si>
  <si>
    <t>中国通海金融</t>
  </si>
  <si>
    <t>www.lixinger.com/analytics/company/hk/00952/952/detail</t>
  </si>
  <si>
    <t>冠忠巴士集团</t>
  </si>
  <si>
    <t>www.lixinger.com/analytics/company/hk/00306/306/detail</t>
  </si>
  <si>
    <t>欧科云链</t>
  </si>
  <si>
    <t>www.lixinger.com/analytics/company/hk/01499/1499/detail</t>
  </si>
  <si>
    <t>茂业国际</t>
  </si>
  <si>
    <t>www.lixinger.com/analytics/company/hk/00848/848/detail</t>
  </si>
  <si>
    <t>大生地产</t>
  </si>
  <si>
    <t>www.lixinger.com/analytics/company/hk/00089/89/detail</t>
  </si>
  <si>
    <t>中国稀土</t>
  </si>
  <si>
    <t>www.lixinger.com/analytics/company/hk/00769/769/detail</t>
  </si>
  <si>
    <t>旭日企业</t>
  </si>
  <si>
    <t>www.lixinger.com/analytics/company/hk/00393/393/detail</t>
  </si>
  <si>
    <t>飞思达科技</t>
  </si>
  <si>
    <t>www.lixinger.com/analytics/company/hk/01782/1782/detail</t>
  </si>
  <si>
    <t>安东油田服务</t>
  </si>
  <si>
    <t>www.lixinger.com/analytics/company/hk/03337/3337/detail</t>
  </si>
  <si>
    <t>复旦张江</t>
  </si>
  <si>
    <t>www.lixinger.com/analytics/company/hk/01349/1349/detail</t>
  </si>
  <si>
    <t>中能控股</t>
  </si>
  <si>
    <t>www.lixinger.com/analytics/company/hk/00228/228/detail</t>
  </si>
  <si>
    <t>南旋控股</t>
  </si>
  <si>
    <t>www.lixinger.com/analytics/company/hk/01982/1982/detail</t>
  </si>
  <si>
    <t>百福控股</t>
  </si>
  <si>
    <t>www.lixinger.com/analytics/company/hk/01488/1488/detail</t>
  </si>
  <si>
    <t>日赢控股</t>
  </si>
  <si>
    <t>www.lixinger.com/analytics/company/hk/01741/1741/detail</t>
  </si>
  <si>
    <t>AQUILAACQ-Z</t>
  </si>
  <si>
    <t>www.lixinger.com/analytics/company/hk/07836/7836/detail</t>
  </si>
  <si>
    <t>久泰邦达能源</t>
  </si>
  <si>
    <t>www.lixinger.com/analytics/company/hk/02798/2798/detail</t>
  </si>
  <si>
    <t>莱蒙国际</t>
  </si>
  <si>
    <t>www.lixinger.com/analytics/company/hk/03688/3688/detail</t>
  </si>
  <si>
    <t>福田实业</t>
  </si>
  <si>
    <t>www.lixinger.com/analytics/company/hk/00420/420/detail</t>
  </si>
  <si>
    <t>华大酒店</t>
  </si>
  <si>
    <t>www.lixinger.com/analytics/company/hk/00201/201/detail</t>
  </si>
  <si>
    <t>自然美</t>
  </si>
  <si>
    <t>www.lixinger.com/analytics/company/hk/00157/157/detail</t>
  </si>
  <si>
    <t>新希望服务</t>
  </si>
  <si>
    <t>www.lixinger.com/analytics/company/hk/03658/3658/detail</t>
  </si>
  <si>
    <t>中国生物科技服务</t>
  </si>
  <si>
    <t>www.lixinger.com/analytics/company/hk/08037/8037/detail</t>
  </si>
  <si>
    <t>索信达控股</t>
  </si>
  <si>
    <t>www.lixinger.com/analytics/company/hk/03680/3680/detail</t>
  </si>
  <si>
    <t>华津国际控股</t>
  </si>
  <si>
    <t>www.lixinger.com/analytics/company/hk/02738/2738/detail</t>
  </si>
  <si>
    <t>朗诗绿色生活</t>
  </si>
  <si>
    <t>www.lixinger.com/analytics/company/hk/01965/1965/detail</t>
  </si>
  <si>
    <t>中核国际</t>
  </si>
  <si>
    <t>www.lixinger.com/analytics/company/hk/02302/2302/detail</t>
  </si>
  <si>
    <t>巨涛海洋石油服务</t>
  </si>
  <si>
    <t>www.lixinger.com/analytics/company/hk/03303/3303/detail</t>
  </si>
  <si>
    <t>疯狂体育</t>
  </si>
  <si>
    <t>www.lixinger.com/analytics/company/hk/00082/82/detail</t>
  </si>
  <si>
    <t>国瑞健康</t>
  </si>
  <si>
    <t>www.lixinger.com/analytics/company/hk/02329/2329/detail</t>
  </si>
  <si>
    <t>延长石油国际</t>
  </si>
  <si>
    <t>www.lixinger.com/analytics/company/hk/00346/346/detail</t>
  </si>
  <si>
    <t>香港教育国际</t>
  </si>
  <si>
    <t>www.lixinger.com/analytics/company/hk/01082/1082/detail</t>
  </si>
  <si>
    <t>华禧控股</t>
  </si>
  <si>
    <t>www.lixinger.com/analytics/company/hk/01689/1689/detail</t>
  </si>
  <si>
    <t>中国汇融</t>
  </si>
  <si>
    <t>www.lixinger.com/analytics/company/hk/01290/1290/detail</t>
  </si>
  <si>
    <t>利基控股</t>
  </si>
  <si>
    <t>www.lixinger.com/analytics/company/hk/00240/240/detail</t>
  </si>
  <si>
    <t>原生态牧业</t>
  </si>
  <si>
    <t>www.lixinger.com/analytics/company/hk/01431/1431/detail</t>
  </si>
  <si>
    <t>五谷磨房</t>
  </si>
  <si>
    <t>www.lixinger.com/analytics/company/hk/01837/1837/detail</t>
  </si>
  <si>
    <t>恩典生命科技</t>
  </si>
  <si>
    <t>www.lixinger.com/analytics/company/hk/02112/2112/detail</t>
  </si>
  <si>
    <t>易居企业控股</t>
  </si>
  <si>
    <t>www.lixinger.com/analytics/company/hk/02048/2048/detail</t>
  </si>
  <si>
    <t>金茂源环保</t>
  </si>
  <si>
    <t>www.lixinger.com/analytics/company/hk/06805/6805/detail</t>
  </si>
  <si>
    <t>华融金控</t>
  </si>
  <si>
    <t>www.lixinger.com/analytics/company/hk/00993/993/detail</t>
  </si>
  <si>
    <t>金融街物业</t>
  </si>
  <si>
    <t>www.lixinger.com/analytics/company/hk/01502/1502/detail</t>
  </si>
  <si>
    <t>北海康成-B</t>
  </si>
  <si>
    <t>www.lixinger.com/analytics/company/hk/01228/1228/detail</t>
  </si>
  <si>
    <t>蓝河控股</t>
  </si>
  <si>
    <t>www.lixinger.com/analytics/company/hk/00498/498/detail</t>
  </si>
  <si>
    <t>四洲集团</t>
  </si>
  <si>
    <t>www.lixinger.com/analytics/company/hk/00374/374/detail</t>
  </si>
  <si>
    <t>好孩子国际</t>
  </si>
  <si>
    <t>www.lixinger.com/analytics/company/hk/01086/1086/detail</t>
  </si>
  <si>
    <t>铁建装备</t>
  </si>
  <si>
    <t>www.lixinger.com/analytics/company/hk/01786/1786/detail</t>
  </si>
  <si>
    <t>中播数据</t>
  </si>
  <si>
    <t>www.lixinger.com/analytics/company/hk/00471/471/detail</t>
  </si>
  <si>
    <t>丽丰控股</t>
  </si>
  <si>
    <t>www.lixinger.com/analytics/company/hk/01125/1125/detail</t>
  </si>
  <si>
    <t>贝康医疗-B</t>
  </si>
  <si>
    <t>www.lixinger.com/analytics/company/hk/02170/2170/detail</t>
  </si>
  <si>
    <t>华显光电</t>
  </si>
  <si>
    <t>www.lixinger.com/analytics/company/hk/00334/334/detail</t>
  </si>
  <si>
    <t>玖源集团</t>
  </si>
  <si>
    <t>www.lixinger.com/analytics/company/hk/00827/827/detail</t>
  </si>
  <si>
    <t>博富临置业</t>
  </si>
  <si>
    <t>www.lixinger.com/analytics/company/hk/00225/225/detail</t>
  </si>
  <si>
    <t>中国三迪</t>
  </si>
  <si>
    <t>www.lixinger.com/analytics/company/hk/00910/910/detail</t>
  </si>
  <si>
    <t>伯明翰体育</t>
  </si>
  <si>
    <t>www.lixinger.com/analytics/company/hk/02309/2309/detail</t>
  </si>
  <si>
    <t>中国职业教育</t>
  </si>
  <si>
    <t>www.lixinger.com/analytics/company/hk/01756/1756/detail</t>
  </si>
  <si>
    <t>福森药业</t>
  </si>
  <si>
    <t>www.lixinger.com/analytics/company/hk/01652/1652/detail</t>
  </si>
  <si>
    <t>齐合环保</t>
  </si>
  <si>
    <t>www.lixinger.com/analytics/company/hk/00976/976/detail</t>
  </si>
  <si>
    <t>力宝华润</t>
  </si>
  <si>
    <t>www.lixinger.com/analytics/company/hk/00156/156/detail</t>
  </si>
  <si>
    <t>金达控股</t>
  </si>
  <si>
    <t>www.lixinger.com/analytics/company/hk/00528/528/detail</t>
  </si>
  <si>
    <t>时代邻里</t>
  </si>
  <si>
    <t>www.lixinger.com/analytics/company/hk/09928/9928/detail</t>
  </si>
  <si>
    <t>奥星生命科技</t>
  </si>
  <si>
    <t>www.lixinger.com/analytics/company/hk/06118/6118/detail</t>
  </si>
  <si>
    <t>酷派集团</t>
  </si>
  <si>
    <t>www.lixinger.com/analytics/company/hk/02369/2369/detail</t>
  </si>
  <si>
    <t>数据来源于：理杏仁网站(lixinger.com)</t>
  </si>
  <si>
    <t>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</si>
</sst>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_);_(* \(#,##0.0\)_)\ ;_(* 0_)"/>
    <numFmt numFmtId="165" formatCode="_(* #,##0.0#_);_(* \(#,##0.0#\)_)\ ;_(* 0_)"/>
    <numFmt numFmtId="166" formatCode="_(* #,##0.0##_);_(* \(#,##0.0##\)_)\ ;_(* 0_)"/>
    <numFmt numFmtId="167" formatCode="_(\ #,##0.0#_);_(\(\ #,##0.0#\)_);_(\ &quot; - &quot;_)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color indexed="8"/>
      <name val="Verdana"/>
    </font>
    <font>
      <b/>
      <sz val="12"/>
      <color indexed="8"/>
      <name val="Verdana"/>
    </font>
    <font>
      <b/>
      <sz val="10"/>
      <color indexed="9"/>
      <name val="Arial"/>
    </font>
    <font>
      <b/>
      <u val="singleAccounting"/>
      <sz val="8"/>
      <color indexed="8"/>
      <name val="Verdana"/>
    </font>
    <font>
      <b/>
      <sz val="8"/>
      <color indexed="9"/>
      <name val="Verdana"/>
    </font>
    <font>
      <b/>
      <u val="singleAccounting"/>
      <sz val="8"/>
      <color indexed="8"/>
      <name val="Arial"/>
    </font>
    <font>
      <sz val="8"/>
      <color indexed="8"/>
      <name val="Arial"/>
    </font>
    <font>
      <vertAlign val="superscript"/>
      <sz val="8"/>
      <color indexed="8"/>
      <name val="Arial"/>
    </font>
    <font>
      <vertAlign val="subscript"/>
      <sz val="8"/>
      <color indexed="8"/>
      <name val="Arial"/>
    </font>
    <font>
      <b/>
      <sz val="8"/>
      <color indexed="8"/>
      <name val="Arial"/>
    </font>
    <font>
      <i/>
      <sz val="8"/>
      <color indexed="8"/>
      <name val="Arial"/>
    </font>
    <font>
      <sz val="1"/>
      <color indexed="9"/>
      <name val="Symbol"/>
    </font>
    <font>
      <sz val="10"/>
      <color indexed="8"/>
      <name val="Arial"/>
    </font>
    <font>
      <b/>
      <sz val="8"/>
      <color indexed="8"/>
      <name val="Verdana"/>
    </font>
    <font>
      <b/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3" fillId="0" borderId="0" applyAlignment="0"/>
    <xf numFmtId="0" fontId="4" fillId="0" borderId="0" applyAlignment="0"/>
    <xf numFmtId="0" fontId="5" fillId="2" borderId="0" applyAlignment="0"/>
    <xf numFmtId="0" fontId="6" fillId="3" borderId="0" applyAlignment="0"/>
    <xf numFmtId="0" fontId="7" fillId="4" borderId="0" applyAlignment="0"/>
    <xf numFmtId="0" fontId="8" fillId="5" borderId="0" applyAlignment="0"/>
    <xf numFmtId="0" fontId="9" fillId="0" borderId="0" applyAlignment="0"/>
    <xf numFmtId="0" fontId="10" fillId="0" borderId="0" applyAlignment="0"/>
    <xf numFmtId="0" fontId="11" fillId="0" borderId="0" applyAlignment="0"/>
    <xf numFmtId="0" fontId="12" fillId="0" borderId="0" applyAlignment="0"/>
    <xf numFmtId="0" fontId="13" fillId="0" borderId="0" applyAlignment="0"/>
    <xf numFmtId="0" fontId="12" fillId="0" borderId="0" applyAlignment="0">
      <alignment wrapText="1"/>
    </xf>
    <xf numFmtId="0" fontId="14" fillId="0" borderId="0" applyAlignment="0"/>
    <xf numFmtId="0" fontId="15" fillId="0" borderId="0" applyAlignment="0"/>
    <xf numFmtId="0" fontId="16" fillId="0" borderId="0" applyAlignment="0"/>
    <xf numFmtId="0" fontId="1" fillId="0" borderId="0"/>
  </cellStyleXfs>
  <cellXfs count="24">
    <xf numFmtId="0" fontId="2" fillId="0" borderId="0" xfId="0" applyFont="1"/>
    <xf numFmtId="0" fontId="3" fillId="0" borderId="0" xfId="0" applyFont="1"/>
    <xf numFmtId="0" fontId="9" fillId="0" borderId="0" xfId="7" applyAlignment="1">
      <alignment horizontal="left" vertical="top" wrapText="1"/>
    </xf>
    <xf numFmtId="0" fontId="8" fillId="5" borderId="0" xfId="6" applyAlignment="1">
      <alignment horizontal="left" wrapText="1"/>
    </xf>
    <xf numFmtId="49" fontId="17" fillId="0" borderId="0" xfId="0" applyNumberFormat="1" applyFont="1" applyAlignment="1">
      <alignment horizontal="left" vertical="top" wrapText="1"/>
    </xf>
    <xf numFmtId="49" fontId="2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165" fontId="2" fillId="0" borderId="0" xfId="0" applyNumberFormat="1" applyFont="1" applyAlignment="1">
      <alignment horizontal="right" vertical="top" wrapText="1"/>
    </xf>
    <xf numFmtId="164" fontId="2" fillId="0" borderId="0" xfId="0" applyNumberFormat="1" applyFont="1" applyAlignment="1">
      <alignment horizontal="right" vertical="top" wrapText="1"/>
    </xf>
    <xf numFmtId="0" fontId="8" fillId="5" borderId="0" xfId="6" applyAlignment="1">
      <alignment horizontal="right" wrapText="1"/>
    </xf>
    <xf numFmtId="166" fontId="2" fillId="0" borderId="0" xfId="0" applyNumberFormat="1" applyFont="1" applyAlignment="1">
      <alignment horizontal="right" vertical="top" wrapText="1"/>
    </xf>
    <xf numFmtId="0" fontId="2" fillId="0" borderId="0" xfId="0" applyFont="1" applyAlignment="1">
      <alignment horizontal="left" vertical="top" wrapText="1"/>
    </xf>
    <xf numFmtId="1" fontId="2" fillId="0" borderId="0" xfId="0" applyNumberFormat="1" applyFont="1" applyAlignment="1">
      <alignment horizontal="left" vertical="top" wrapText="1"/>
    </xf>
    <xf numFmtId="49" fontId="7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left"/>
    </xf>
    <xf numFmtId="0" fontId="8" fillId="5" borderId="0" xfId="0" applyFont="1" applyFill="1" applyAlignment="1">
      <alignment horizontal="center" wrapText="1"/>
    </xf>
    <xf numFmtId="0" fontId="12" fillId="0" borderId="0" xfId="0" applyFont="1"/>
    <xf numFmtId="167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8" fillId="5" borderId="0" xfId="0" applyFont="1" applyFill="1"/>
    <xf numFmtId="49" fontId="9" fillId="0" borderId="0" xfId="0" applyNumberFormat="1" applyFont="1" applyAlignment="1">
      <alignment vertical="top"/>
    </xf>
    <xf numFmtId="0" fontId="14" fillId="0" borderId="0" xfId="13" applyAlignment="1"/>
    <xf numFmtId="0" fontId="1" fillId="0" borderId="0" xfId="16"/>
    <xf numFmtId="0" fontId="1" fillId="0" borderId="0" xfId="16" quotePrefix="1"/>
  </cellXfs>
  <cellStyles count="17">
    <cellStyle name="ChartingText" xfId="14" xr:uid="{00000000-0005-0000-0000-000000000000}"/>
    <cellStyle name="CHPTop" xfId="15" xr:uid="{00000000-0005-0000-0000-000001000000}"/>
    <cellStyle name="ColumnHeaderNormal" xfId="6" xr:uid="{00000000-0005-0000-0000-000002000000}"/>
    <cellStyle name="Invisible" xfId="13" xr:uid="{00000000-0005-0000-0000-000003000000}"/>
    <cellStyle name="NewColumnHeaderNormal" xfId="4" xr:uid="{00000000-0005-0000-0000-000004000000}"/>
    <cellStyle name="NewSectionHeaderNormal" xfId="3" xr:uid="{00000000-0005-0000-0000-000005000000}"/>
    <cellStyle name="NewTitleNormal" xfId="2" xr:uid="{00000000-0005-0000-0000-000006000000}"/>
    <cellStyle name="Normal" xfId="0" builtinId="0"/>
    <cellStyle name="Normal 2" xfId="16" xr:uid="{2404A238-A35F-4939-A0EC-86125A71E93B}"/>
    <cellStyle name="SectionHeaderNormal" xfId="5" xr:uid="{00000000-0005-0000-0000-000008000000}"/>
    <cellStyle name="SubScript" xfId="9" xr:uid="{00000000-0005-0000-0000-000009000000}"/>
    <cellStyle name="SuperScript" xfId="8" xr:uid="{00000000-0005-0000-0000-00000A000000}"/>
    <cellStyle name="TextBold" xfId="10" xr:uid="{00000000-0005-0000-0000-00000B000000}"/>
    <cellStyle name="TextItalic" xfId="11" xr:uid="{00000000-0005-0000-0000-00000C000000}"/>
    <cellStyle name="TextNormal" xfId="7" xr:uid="{00000000-0005-0000-0000-00000D000000}"/>
    <cellStyle name="TitleNormal" xfId="1" xr:uid="{00000000-0005-0000-0000-00000E000000}"/>
    <cellStyle name="Total" xfId="12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A4040"/>
      <rgbColor rgb="00FFFFEB"/>
      <rgbColor rgb="00EEEEEE"/>
      <rgbColor rgb="00F0F0DC"/>
      <rgbColor rgb="00993366"/>
      <rgbColor rgb="00F5F5E1"/>
      <rgbColor rgb="000040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635000</xdr:colOff>
      <xdr:row>2</xdr:row>
      <xdr:rowOff>57150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7BA1F153-776B-8C45-3D92-4555415EA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95372F-E83C-F8B9-7B1F-F7BCD5515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5122" name="Picture 2">
          <a:extLst>
            <a:ext uri="{FF2B5EF4-FFF2-40B4-BE49-F238E27FC236}">
              <a16:creationId xmlns:a16="http://schemas.microsoft.com/office/drawing/2014/main" id="{59620209-6085-3CDD-E072-BFC1B7B54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E873-314F-462B-B91B-6B606B5135B9}">
  <dimension ref="A1:H1152"/>
  <sheetViews>
    <sheetView tabSelected="1" topLeftCell="A1139" workbookViewId="0">
      <selection activeCell="E1149" sqref="E1149"/>
    </sheetView>
  </sheetViews>
  <sheetFormatPr defaultRowHeight="14.5" x14ac:dyDescent="0.35"/>
  <cols>
    <col min="1" max="3" width="8.7265625" style="22"/>
    <col min="4" max="4" width="16.90625" style="22" customWidth="1"/>
    <col min="5" max="5" width="18.26953125" style="22" customWidth="1"/>
    <col min="6" max="6" width="17.453125" style="22" customWidth="1"/>
    <col min="7" max="16384" width="8.7265625" style="22"/>
  </cols>
  <sheetData>
    <row r="1" spans="1:8" x14ac:dyDescent="0.35">
      <c r="A1" s="22" t="s">
        <v>844</v>
      </c>
      <c r="B1" s="22" t="s">
        <v>845</v>
      </c>
      <c r="D1" s="22" t="s">
        <v>846</v>
      </c>
      <c r="E1" s="22" t="s">
        <v>847</v>
      </c>
      <c r="F1" s="22" t="s">
        <v>848</v>
      </c>
      <c r="G1" s="22" t="s">
        <v>849</v>
      </c>
      <c r="H1" s="22" t="s">
        <v>850</v>
      </c>
    </row>
    <row r="2" spans="1:8" x14ac:dyDescent="0.35">
      <c r="A2" s="22" t="s">
        <v>851</v>
      </c>
      <c r="B2" s="22" t="str">
        <f>"00700"</f>
        <v>00700</v>
      </c>
      <c r="C2" s="22" t="str">
        <f>CONCATENATE("'",RIGHT(B2,4),".HK'")</f>
        <v>'0700.HK'</v>
      </c>
      <c r="D2" s="22" t="s">
        <v>852</v>
      </c>
      <c r="E2" s="22" t="s">
        <v>853</v>
      </c>
      <c r="F2" s="22">
        <v>3305216715766</v>
      </c>
      <c r="G2" s="22">
        <v>6913</v>
      </c>
      <c r="H2" s="22" t="s">
        <v>854</v>
      </c>
    </row>
    <row r="3" spans="1:8" x14ac:dyDescent="0.35">
      <c r="A3" s="22" t="s">
        <v>851</v>
      </c>
      <c r="B3" s="22" t="str">
        <f>"09988"</f>
        <v>09988</v>
      </c>
      <c r="C3" s="22" t="str">
        <f t="shared" ref="C3:C66" si="0">CONCATENATE("'",RIGHT(B3,4),".HK'")</f>
        <v>'9988.HK'</v>
      </c>
      <c r="D3" s="22" t="s">
        <v>855</v>
      </c>
      <c r="E3" s="22" t="s">
        <v>853</v>
      </c>
      <c r="F3" s="22">
        <v>1922580031500</v>
      </c>
      <c r="G3" s="22">
        <v>1271</v>
      </c>
      <c r="H3" s="22" t="s">
        <v>856</v>
      </c>
    </row>
    <row r="4" spans="1:8" x14ac:dyDescent="0.35">
      <c r="A4" s="22" t="s">
        <v>851</v>
      </c>
      <c r="B4" s="22" t="str">
        <f>"01398"</f>
        <v>01398</v>
      </c>
      <c r="C4" s="22" t="str">
        <f t="shared" si="0"/>
        <v>'1398.HK'</v>
      </c>
      <c r="D4" s="22" t="s">
        <v>857</v>
      </c>
      <c r="E4" s="22" t="s">
        <v>858</v>
      </c>
      <c r="F4" s="22">
        <v>1447009403781.3301</v>
      </c>
      <c r="G4" s="22">
        <v>620</v>
      </c>
      <c r="H4" s="22" t="s">
        <v>859</v>
      </c>
    </row>
    <row r="5" spans="1:8" x14ac:dyDescent="0.35">
      <c r="A5" s="22" t="s">
        <v>851</v>
      </c>
      <c r="B5" s="22" t="str">
        <f>"00939"</f>
        <v>00939</v>
      </c>
      <c r="C5" s="22" t="str">
        <f t="shared" si="0"/>
        <v>'0939.HK'</v>
      </c>
      <c r="D5" s="22" t="s">
        <v>860</v>
      </c>
      <c r="E5" s="22" t="s">
        <v>858</v>
      </c>
      <c r="F5" s="22">
        <v>1232554119005.98</v>
      </c>
      <c r="G5" s="22">
        <v>752</v>
      </c>
      <c r="H5" s="22" t="s">
        <v>861</v>
      </c>
    </row>
    <row r="6" spans="1:8" x14ac:dyDescent="0.35">
      <c r="A6" s="22" t="s">
        <v>851</v>
      </c>
      <c r="B6" s="22" t="str">
        <f>"03968"</f>
        <v>03968</v>
      </c>
      <c r="C6" s="22" t="str">
        <f t="shared" si="0"/>
        <v>'3968.HK'</v>
      </c>
      <c r="D6" s="22" t="s">
        <v>862</v>
      </c>
      <c r="E6" s="22" t="s">
        <v>858</v>
      </c>
      <c r="F6" s="22">
        <v>1122283129244.5</v>
      </c>
      <c r="G6" s="22">
        <v>877</v>
      </c>
      <c r="H6" s="22" t="s">
        <v>863</v>
      </c>
    </row>
    <row r="7" spans="1:8" x14ac:dyDescent="0.35">
      <c r="A7" s="22" t="s">
        <v>851</v>
      </c>
      <c r="B7" s="22" t="str">
        <f>"00941"</f>
        <v>00941</v>
      </c>
      <c r="C7" s="22" t="str">
        <f t="shared" si="0"/>
        <v>'0941.HK'</v>
      </c>
      <c r="D7" s="22" t="s">
        <v>864</v>
      </c>
      <c r="E7" s="22" t="s">
        <v>865</v>
      </c>
      <c r="F7" s="22">
        <v>1121548405110</v>
      </c>
      <c r="G7" s="22">
        <v>574</v>
      </c>
      <c r="H7" s="22" t="s">
        <v>866</v>
      </c>
    </row>
    <row r="8" spans="1:8" x14ac:dyDescent="0.35">
      <c r="A8" s="22" t="s">
        <v>851</v>
      </c>
      <c r="B8" s="22" t="str">
        <f>"03690"</f>
        <v>03690</v>
      </c>
      <c r="C8" s="22" t="str">
        <f t="shared" si="0"/>
        <v>'3690.HK'</v>
      </c>
      <c r="D8" s="22" t="s">
        <v>867</v>
      </c>
      <c r="E8" s="22" t="s">
        <v>853</v>
      </c>
      <c r="F8" s="22">
        <v>1094245300023.2</v>
      </c>
      <c r="G8" s="22">
        <v>1416</v>
      </c>
      <c r="H8" s="22" t="s">
        <v>868</v>
      </c>
    </row>
    <row r="9" spans="1:8" x14ac:dyDescent="0.35">
      <c r="A9" s="22" t="s">
        <v>851</v>
      </c>
      <c r="B9" s="22" t="str">
        <f>"01299"</f>
        <v>01299</v>
      </c>
      <c r="C9" s="22" t="str">
        <f t="shared" si="0"/>
        <v>'1299.HK'</v>
      </c>
      <c r="D9" s="22" t="s">
        <v>869</v>
      </c>
      <c r="E9" s="22" t="s">
        <v>870</v>
      </c>
      <c r="F9" s="22">
        <v>1040213402638.8</v>
      </c>
      <c r="G9" s="22">
        <v>314</v>
      </c>
      <c r="H9" s="22" t="s">
        <v>871</v>
      </c>
    </row>
    <row r="10" spans="1:8" x14ac:dyDescent="0.35">
      <c r="A10" s="22" t="s">
        <v>851</v>
      </c>
      <c r="B10" s="22" t="str">
        <f>"00005"</f>
        <v>00005</v>
      </c>
      <c r="C10" s="22" t="str">
        <f t="shared" si="0"/>
        <v>'0005.HK'</v>
      </c>
      <c r="D10" s="22" t="s">
        <v>872</v>
      </c>
      <c r="E10" s="22" t="s">
        <v>858</v>
      </c>
      <c r="F10" s="22">
        <v>988298587947.40002</v>
      </c>
      <c r="G10" s="22">
        <v>360</v>
      </c>
      <c r="H10" s="22" t="s">
        <v>873</v>
      </c>
    </row>
    <row r="11" spans="1:8" x14ac:dyDescent="0.35">
      <c r="A11" s="22" t="s">
        <v>851</v>
      </c>
      <c r="B11" s="22" t="str">
        <f>"02318"</f>
        <v>02318</v>
      </c>
      <c r="C11" s="22" t="str">
        <f t="shared" si="0"/>
        <v>'2318.HK'</v>
      </c>
      <c r="D11" s="22" t="s">
        <v>874</v>
      </c>
      <c r="E11" s="22" t="s">
        <v>870</v>
      </c>
      <c r="F11" s="22">
        <v>966110758518.5</v>
      </c>
      <c r="G11" s="22">
        <v>1229</v>
      </c>
      <c r="H11" s="22" t="s">
        <v>875</v>
      </c>
    </row>
    <row r="12" spans="1:8" x14ac:dyDescent="0.35">
      <c r="A12" s="22" t="s">
        <v>851</v>
      </c>
      <c r="B12" s="22" t="str">
        <f>"01288"</f>
        <v>01288</v>
      </c>
      <c r="C12" s="22" t="str">
        <f t="shared" si="0"/>
        <v>'1288.HK'</v>
      </c>
      <c r="D12" s="22" t="s">
        <v>876</v>
      </c>
      <c r="E12" s="22" t="s">
        <v>858</v>
      </c>
      <c r="F12" s="22">
        <v>937954530779.64001</v>
      </c>
      <c r="G12" s="22">
        <v>590</v>
      </c>
      <c r="H12" s="22" t="s">
        <v>877</v>
      </c>
    </row>
    <row r="13" spans="1:8" x14ac:dyDescent="0.35">
      <c r="A13" s="22" t="s">
        <v>851</v>
      </c>
      <c r="B13" s="22" t="str">
        <f>"03988"</f>
        <v>03988</v>
      </c>
      <c r="C13" s="22" t="str">
        <f t="shared" si="0"/>
        <v>'3988.HK'</v>
      </c>
      <c r="D13" s="22" t="s">
        <v>878</v>
      </c>
      <c r="E13" s="22" t="s">
        <v>858</v>
      </c>
      <c r="F13" s="22">
        <v>841949082949.26001</v>
      </c>
      <c r="G13" s="22">
        <v>576</v>
      </c>
      <c r="H13" s="22" t="s">
        <v>879</v>
      </c>
    </row>
    <row r="14" spans="1:8" x14ac:dyDescent="0.35">
      <c r="A14" s="22" t="s">
        <v>851</v>
      </c>
      <c r="B14" s="22" t="str">
        <f>"09618"</f>
        <v>09618</v>
      </c>
      <c r="C14" s="22" t="str">
        <f t="shared" si="0"/>
        <v>'9618.HK'</v>
      </c>
      <c r="D14" s="22" t="s">
        <v>880</v>
      </c>
      <c r="E14" s="22" t="s">
        <v>853</v>
      </c>
      <c r="F14" s="22">
        <v>700919656000</v>
      </c>
      <c r="G14" s="22">
        <v>451</v>
      </c>
      <c r="H14" s="22" t="s">
        <v>881</v>
      </c>
    </row>
    <row r="15" spans="1:8" x14ac:dyDescent="0.35">
      <c r="A15" s="22" t="s">
        <v>851</v>
      </c>
      <c r="B15" s="22" t="str">
        <f>"00857"</f>
        <v>00857</v>
      </c>
      <c r="C15" s="22" t="str">
        <f t="shared" si="0"/>
        <v>'0857.HK'</v>
      </c>
      <c r="D15" s="22" t="s">
        <v>882</v>
      </c>
      <c r="E15" s="22" t="s">
        <v>883</v>
      </c>
      <c r="F15" s="22">
        <v>658875520144.80005</v>
      </c>
      <c r="G15" s="22">
        <v>390</v>
      </c>
      <c r="H15" s="22" t="s">
        <v>884</v>
      </c>
    </row>
    <row r="16" spans="1:8" x14ac:dyDescent="0.35">
      <c r="A16" s="22" t="s">
        <v>851</v>
      </c>
      <c r="B16" s="22" t="str">
        <f>"01211"</f>
        <v>01211</v>
      </c>
      <c r="C16" s="22" t="str">
        <f t="shared" si="0"/>
        <v>'1211.HK'</v>
      </c>
      <c r="D16" s="22" t="s">
        <v>885</v>
      </c>
      <c r="E16" s="22" t="s">
        <v>886</v>
      </c>
      <c r="F16" s="22">
        <v>586886399568</v>
      </c>
      <c r="G16" s="22">
        <v>421</v>
      </c>
      <c r="H16" s="22" t="s">
        <v>887</v>
      </c>
    </row>
    <row r="17" spans="1:8" x14ac:dyDescent="0.35">
      <c r="A17" s="22" t="s">
        <v>851</v>
      </c>
      <c r="B17" s="22" t="str">
        <f>"06288"</f>
        <v>06288</v>
      </c>
      <c r="C17" s="22" t="str">
        <f t="shared" si="0"/>
        <v>'6288.HK'</v>
      </c>
      <c r="D17" s="22" t="s">
        <v>888</v>
      </c>
      <c r="E17" s="22" t="s">
        <v>889</v>
      </c>
      <c r="F17" s="22">
        <v>495894547500</v>
      </c>
      <c r="G17" s="22">
        <v>48</v>
      </c>
      <c r="H17" s="22" t="s">
        <v>890</v>
      </c>
    </row>
    <row r="18" spans="1:8" x14ac:dyDescent="0.35">
      <c r="A18" s="22" t="s">
        <v>851</v>
      </c>
      <c r="B18" s="22" t="str">
        <f>"09633"</f>
        <v>09633</v>
      </c>
      <c r="C18" s="22" t="str">
        <f t="shared" si="0"/>
        <v>'9633.HK'</v>
      </c>
      <c r="D18" s="22" t="s">
        <v>891</v>
      </c>
      <c r="E18" s="22" t="s">
        <v>892</v>
      </c>
      <c r="F18" s="22">
        <v>490908258360</v>
      </c>
      <c r="G18" s="22">
        <v>503</v>
      </c>
      <c r="H18" s="22" t="s">
        <v>893</v>
      </c>
    </row>
    <row r="19" spans="1:8" x14ac:dyDescent="0.35">
      <c r="A19" s="22" t="s">
        <v>851</v>
      </c>
      <c r="B19" s="22" t="str">
        <f>"00883"</f>
        <v>00883</v>
      </c>
      <c r="C19" s="22" t="str">
        <f t="shared" si="0"/>
        <v>'0883.HK'</v>
      </c>
      <c r="D19" s="22" t="s">
        <v>894</v>
      </c>
      <c r="E19" s="22" t="s">
        <v>883</v>
      </c>
      <c r="F19" s="22">
        <v>480424316238.40002</v>
      </c>
      <c r="G19" s="22">
        <v>540</v>
      </c>
      <c r="H19" s="22" t="s">
        <v>895</v>
      </c>
    </row>
    <row r="20" spans="1:8" x14ac:dyDescent="0.35">
      <c r="A20" s="22" t="s">
        <v>851</v>
      </c>
      <c r="B20" s="22" t="str">
        <f>"01880"</f>
        <v>01880</v>
      </c>
      <c r="C20" s="22" t="str">
        <f t="shared" si="0"/>
        <v>'1880.HK'</v>
      </c>
      <c r="D20" s="22" t="s">
        <v>896</v>
      </c>
      <c r="E20" s="22" t="s">
        <v>897</v>
      </c>
      <c r="F20" s="22">
        <v>463424425856</v>
      </c>
      <c r="G20" s="22">
        <v>25</v>
      </c>
      <c r="H20" s="22" t="s">
        <v>898</v>
      </c>
    </row>
    <row r="21" spans="1:8" x14ac:dyDescent="0.35">
      <c r="A21" s="22" t="s">
        <v>851</v>
      </c>
      <c r="B21" s="22" t="str">
        <f>"00386"</f>
        <v>00386</v>
      </c>
      <c r="C21" s="22" t="str">
        <f t="shared" si="0"/>
        <v>'0386.HK'</v>
      </c>
      <c r="D21" s="22" t="s">
        <v>899</v>
      </c>
      <c r="E21" s="22" t="s">
        <v>883</v>
      </c>
      <c r="F21" s="22">
        <v>462284159367.71997</v>
      </c>
      <c r="G21" s="22">
        <v>370</v>
      </c>
      <c r="H21" s="22" t="s">
        <v>900</v>
      </c>
    </row>
    <row r="22" spans="1:8" x14ac:dyDescent="0.35">
      <c r="A22" s="22" t="s">
        <v>851</v>
      </c>
      <c r="B22" s="22" t="str">
        <f>"01658"</f>
        <v>01658</v>
      </c>
      <c r="C22" s="22" t="str">
        <f t="shared" si="0"/>
        <v>'1658.HK'</v>
      </c>
      <c r="D22" s="22" t="s">
        <v>901</v>
      </c>
      <c r="E22" s="22" t="s">
        <v>858</v>
      </c>
      <c r="F22" s="22">
        <v>458224479320.79999</v>
      </c>
      <c r="G22" s="22">
        <v>247</v>
      </c>
      <c r="H22" s="22" t="s">
        <v>902</v>
      </c>
    </row>
    <row r="23" spans="1:8" x14ac:dyDescent="0.35">
      <c r="A23" s="22" t="s">
        <v>851</v>
      </c>
      <c r="B23" s="22" t="str">
        <f>"01088"</f>
        <v>01088</v>
      </c>
      <c r="C23" s="22" t="str">
        <f t="shared" si="0"/>
        <v>'1088.HK'</v>
      </c>
      <c r="D23" s="22" t="s">
        <v>903</v>
      </c>
      <c r="E23" s="22" t="s">
        <v>904</v>
      </c>
      <c r="F23" s="22">
        <v>457969384962.75</v>
      </c>
      <c r="G23" s="22">
        <v>715</v>
      </c>
      <c r="H23" s="22" t="s">
        <v>905</v>
      </c>
    </row>
    <row r="24" spans="1:8" x14ac:dyDescent="0.35">
      <c r="A24" s="22" t="s">
        <v>851</v>
      </c>
      <c r="B24" s="22" t="str">
        <f>"00388"</f>
        <v>00388</v>
      </c>
      <c r="C24" s="22" t="str">
        <f t="shared" si="0"/>
        <v>'0388.HK'</v>
      </c>
      <c r="D24" s="22" t="s">
        <v>906</v>
      </c>
      <c r="E24" s="22" t="s">
        <v>907</v>
      </c>
      <c r="F24" s="22">
        <v>434868054985</v>
      </c>
      <c r="G24" s="22">
        <v>782</v>
      </c>
      <c r="H24" s="22" t="s">
        <v>908</v>
      </c>
    </row>
    <row r="25" spans="1:8" x14ac:dyDescent="0.35">
      <c r="A25" s="22" t="s">
        <v>851</v>
      </c>
      <c r="B25" s="22" t="str">
        <f>"09999"</f>
        <v>09999</v>
      </c>
      <c r="C25" s="22" t="str">
        <f t="shared" si="0"/>
        <v>'9999.HK'</v>
      </c>
      <c r="D25" s="22" t="s">
        <v>909</v>
      </c>
      <c r="E25" s="22" t="s">
        <v>910</v>
      </c>
      <c r="F25" s="22">
        <v>409777232000</v>
      </c>
      <c r="G25" s="22">
        <v>212</v>
      </c>
      <c r="H25" s="22" t="s">
        <v>911</v>
      </c>
    </row>
    <row r="26" spans="1:8" x14ac:dyDescent="0.35">
      <c r="A26" s="22" t="s">
        <v>851</v>
      </c>
      <c r="B26" s="22" t="str">
        <f>"02628"</f>
        <v>02628</v>
      </c>
      <c r="C26" s="22" t="str">
        <f t="shared" si="0"/>
        <v>'2628.HK'</v>
      </c>
      <c r="D26" s="22" t="s">
        <v>912</v>
      </c>
      <c r="E26" s="22" t="s">
        <v>870</v>
      </c>
      <c r="F26" s="22">
        <v>386095870300</v>
      </c>
      <c r="G26" s="22">
        <v>348</v>
      </c>
      <c r="H26" s="22" t="s">
        <v>913</v>
      </c>
    </row>
    <row r="27" spans="1:8" x14ac:dyDescent="0.35">
      <c r="A27" s="22" t="s">
        <v>851</v>
      </c>
      <c r="B27" s="22" t="str">
        <f>"03328"</f>
        <v>03328</v>
      </c>
      <c r="C27" s="22" t="str">
        <f t="shared" si="0"/>
        <v>'3328.HK'</v>
      </c>
      <c r="D27" s="22" t="s">
        <v>914</v>
      </c>
      <c r="E27" s="22" t="s">
        <v>858</v>
      </c>
      <c r="F27" s="22">
        <v>340123288034.09998</v>
      </c>
      <c r="G27" s="22">
        <v>452</v>
      </c>
      <c r="H27" s="22" t="s">
        <v>915</v>
      </c>
    </row>
    <row r="28" spans="1:8" x14ac:dyDescent="0.35">
      <c r="A28" s="22" t="s">
        <v>851</v>
      </c>
      <c r="B28" s="22" t="str">
        <f>"01876"</f>
        <v>01876</v>
      </c>
      <c r="C28" s="22" t="str">
        <f t="shared" si="0"/>
        <v>'1876.HK'</v>
      </c>
      <c r="D28" s="22" t="s">
        <v>916</v>
      </c>
      <c r="E28" s="22" t="s">
        <v>917</v>
      </c>
      <c r="F28" s="22">
        <v>330422755150</v>
      </c>
      <c r="G28" s="22">
        <v>84</v>
      </c>
      <c r="H28" s="22" t="s">
        <v>918</v>
      </c>
    </row>
    <row r="29" spans="1:8" x14ac:dyDescent="0.35">
      <c r="A29" s="22" t="s">
        <v>851</v>
      </c>
      <c r="B29" s="22" t="str">
        <f>"09888"</f>
        <v>09888</v>
      </c>
      <c r="C29" s="22" t="str">
        <f t="shared" si="0"/>
        <v>'9888.HK'</v>
      </c>
      <c r="D29" s="22" t="s">
        <v>919</v>
      </c>
      <c r="E29" s="22" t="s">
        <v>853</v>
      </c>
      <c r="F29" s="22">
        <v>324750832000</v>
      </c>
      <c r="G29" s="22">
        <v>124</v>
      </c>
      <c r="H29" s="22" t="s">
        <v>920</v>
      </c>
    </row>
    <row r="30" spans="1:8" x14ac:dyDescent="0.35">
      <c r="A30" s="22" t="s">
        <v>851</v>
      </c>
      <c r="B30" s="22" t="str">
        <f>"01024"</f>
        <v>01024</v>
      </c>
      <c r="C30" s="22" t="str">
        <f t="shared" si="0"/>
        <v>'1024.HK'</v>
      </c>
      <c r="D30" s="22" t="s">
        <v>921</v>
      </c>
      <c r="E30" s="22" t="s">
        <v>910</v>
      </c>
      <c r="F30" s="22">
        <v>316817952137.59998</v>
      </c>
      <c r="G30" s="22">
        <v>267</v>
      </c>
      <c r="H30" s="22" t="s">
        <v>922</v>
      </c>
    </row>
    <row r="31" spans="1:8" x14ac:dyDescent="0.35">
      <c r="A31" s="22" t="s">
        <v>851</v>
      </c>
      <c r="B31" s="22" t="str">
        <f>"00016"</f>
        <v>00016</v>
      </c>
      <c r="C31" s="22" t="str">
        <f t="shared" si="0"/>
        <v>'0016.HK'</v>
      </c>
      <c r="D31" s="22" t="s">
        <v>923</v>
      </c>
      <c r="E31" s="22" t="s">
        <v>924</v>
      </c>
      <c r="F31" s="22">
        <v>316437605920.79999</v>
      </c>
      <c r="G31" s="22">
        <v>98</v>
      </c>
      <c r="H31" s="22" t="s">
        <v>925</v>
      </c>
    </row>
    <row r="32" spans="1:8" x14ac:dyDescent="0.35">
      <c r="A32" s="22" t="s">
        <v>851</v>
      </c>
      <c r="B32" s="22" t="str">
        <f>"02378"</f>
        <v>02378</v>
      </c>
      <c r="C32" s="22" t="str">
        <f t="shared" si="0"/>
        <v>'2378.HK'</v>
      </c>
      <c r="D32" s="22" t="s">
        <v>926</v>
      </c>
      <c r="E32" s="22" t="s">
        <v>870</v>
      </c>
      <c r="F32" s="22">
        <v>296926004448</v>
      </c>
      <c r="G32" s="22">
        <v>25</v>
      </c>
      <c r="H32" s="22" t="s">
        <v>927</v>
      </c>
    </row>
    <row r="33" spans="1:8" x14ac:dyDescent="0.35">
      <c r="A33" s="22" t="s">
        <v>851</v>
      </c>
      <c r="B33" s="22" t="str">
        <f>"02899"</f>
        <v>02899</v>
      </c>
      <c r="C33" s="22" t="str">
        <f t="shared" si="0"/>
        <v>'2899.HK'</v>
      </c>
      <c r="D33" s="22" t="s">
        <v>928</v>
      </c>
      <c r="E33" s="22" t="s">
        <v>929</v>
      </c>
      <c r="F33" s="22">
        <v>295941469577.59998</v>
      </c>
      <c r="G33" s="22">
        <v>197</v>
      </c>
      <c r="H33" s="22" t="s">
        <v>930</v>
      </c>
    </row>
    <row r="34" spans="1:8" x14ac:dyDescent="0.35">
      <c r="A34" s="22" t="s">
        <v>851</v>
      </c>
      <c r="B34" s="22" t="str">
        <f>"00728"</f>
        <v>00728</v>
      </c>
      <c r="C34" s="22" t="str">
        <f t="shared" si="0"/>
        <v>'0728.HK'</v>
      </c>
      <c r="D34" s="22" t="s">
        <v>931</v>
      </c>
      <c r="E34" s="22" t="s">
        <v>865</v>
      </c>
      <c r="F34" s="22">
        <v>291907772449.81</v>
      </c>
      <c r="G34" s="22">
        <v>311</v>
      </c>
      <c r="H34" s="22" t="s">
        <v>932</v>
      </c>
    </row>
    <row r="35" spans="1:8" x14ac:dyDescent="0.35">
      <c r="A35" s="22" t="s">
        <v>851</v>
      </c>
      <c r="B35" s="22" t="str">
        <f>"02388"</f>
        <v>02388</v>
      </c>
      <c r="C35" s="22" t="str">
        <f t="shared" si="0"/>
        <v>'2388.HK'</v>
      </c>
      <c r="D35" s="22" t="s">
        <v>933</v>
      </c>
      <c r="E35" s="22" t="s">
        <v>858</v>
      </c>
      <c r="F35" s="22">
        <v>283350511128.79999</v>
      </c>
      <c r="G35" s="22">
        <v>106</v>
      </c>
      <c r="H35" s="22" t="s">
        <v>934</v>
      </c>
    </row>
    <row r="36" spans="1:8" x14ac:dyDescent="0.35">
      <c r="A36" s="22" t="s">
        <v>851</v>
      </c>
      <c r="B36" s="22" t="str">
        <f>"02020"</f>
        <v>02020</v>
      </c>
      <c r="C36" s="22" t="str">
        <f t="shared" si="0"/>
        <v>'2020.HK'</v>
      </c>
      <c r="D36" s="22" t="s">
        <v>935</v>
      </c>
      <c r="E36" s="22" t="s">
        <v>889</v>
      </c>
      <c r="F36" s="22">
        <v>282759568700</v>
      </c>
      <c r="G36" s="22">
        <v>567</v>
      </c>
      <c r="H36" s="22" t="s">
        <v>936</v>
      </c>
    </row>
    <row r="37" spans="1:8" x14ac:dyDescent="0.35">
      <c r="A37" s="22" t="s">
        <v>851</v>
      </c>
      <c r="B37" s="22" t="str">
        <f>"01810"</f>
        <v>01810</v>
      </c>
      <c r="C37" s="22" t="str">
        <f t="shared" si="0"/>
        <v>'1810.HK'</v>
      </c>
      <c r="D37" s="22" t="s">
        <v>937</v>
      </c>
      <c r="E37" s="22" t="s">
        <v>938</v>
      </c>
      <c r="F37" s="22">
        <v>279918681903.96002</v>
      </c>
      <c r="G37" s="22">
        <v>2040</v>
      </c>
      <c r="H37" s="22" t="s">
        <v>939</v>
      </c>
    </row>
    <row r="38" spans="1:8" x14ac:dyDescent="0.35">
      <c r="A38" s="22" t="s">
        <v>851</v>
      </c>
      <c r="B38" s="22" t="str">
        <f>"02269"</f>
        <v>02269</v>
      </c>
      <c r="C38" s="22" t="str">
        <f t="shared" si="0"/>
        <v>'2269.HK'</v>
      </c>
      <c r="D38" s="22" t="s">
        <v>940</v>
      </c>
      <c r="E38" s="22" t="s">
        <v>941</v>
      </c>
      <c r="F38" s="22">
        <v>264081520026.45001</v>
      </c>
      <c r="G38" s="22">
        <v>584</v>
      </c>
      <c r="H38" s="22" t="s">
        <v>942</v>
      </c>
    </row>
    <row r="39" spans="1:8" x14ac:dyDescent="0.35">
      <c r="A39" s="22" t="s">
        <v>851</v>
      </c>
      <c r="B39" s="22" t="str">
        <f>"00945"</f>
        <v>00945</v>
      </c>
      <c r="C39" s="22" t="str">
        <f t="shared" si="0"/>
        <v>'0945.HK'</v>
      </c>
      <c r="D39" s="22" t="s">
        <v>943</v>
      </c>
      <c r="E39" s="22" t="s">
        <v>870</v>
      </c>
      <c r="F39" s="22">
        <v>261072033591.60001</v>
      </c>
      <c r="G39" s="22">
        <v>22</v>
      </c>
      <c r="H39" s="22" t="s">
        <v>944</v>
      </c>
    </row>
    <row r="40" spans="1:8" x14ac:dyDescent="0.35">
      <c r="A40" s="22" t="s">
        <v>851</v>
      </c>
      <c r="B40" s="22" t="str">
        <f>"01109"</f>
        <v>01109</v>
      </c>
      <c r="C40" s="22" t="str">
        <f t="shared" si="0"/>
        <v>'1109.HK'</v>
      </c>
      <c r="D40" s="22" t="s">
        <v>945</v>
      </c>
      <c r="E40" s="22" t="s">
        <v>924</v>
      </c>
      <c r="F40" s="22">
        <v>260992388591.39999</v>
      </c>
      <c r="G40" s="22">
        <v>298</v>
      </c>
      <c r="H40" s="22" t="s">
        <v>946</v>
      </c>
    </row>
    <row r="41" spans="1:8" x14ac:dyDescent="0.35">
      <c r="A41" s="22" t="s">
        <v>851</v>
      </c>
      <c r="B41" s="22" t="str">
        <f>"00066"</f>
        <v>00066</v>
      </c>
      <c r="C41" s="22" t="str">
        <f t="shared" si="0"/>
        <v>'0066.HK'</v>
      </c>
      <c r="D41" s="22" t="s">
        <v>947</v>
      </c>
      <c r="E41" s="22" t="s">
        <v>948</v>
      </c>
      <c r="F41" s="22">
        <v>259246140771.20001</v>
      </c>
      <c r="G41" s="22">
        <v>124</v>
      </c>
      <c r="H41" s="22" t="s">
        <v>949</v>
      </c>
    </row>
    <row r="42" spans="1:8" x14ac:dyDescent="0.35">
      <c r="A42" s="22" t="s">
        <v>851</v>
      </c>
      <c r="B42" s="22" t="str">
        <f>"02359"</f>
        <v>02359</v>
      </c>
      <c r="C42" s="22" t="str">
        <f t="shared" si="0"/>
        <v>'2359.HK'</v>
      </c>
      <c r="D42" s="22" t="s">
        <v>950</v>
      </c>
      <c r="E42" s="22" t="s">
        <v>941</v>
      </c>
      <c r="F42" s="22">
        <v>252677052069.75</v>
      </c>
      <c r="G42" s="22">
        <v>235</v>
      </c>
      <c r="H42" s="22" t="s">
        <v>951</v>
      </c>
    </row>
    <row r="43" spans="1:8" x14ac:dyDescent="0.35">
      <c r="A43" s="22" t="s">
        <v>851</v>
      </c>
      <c r="B43" s="22" t="str">
        <f>"06690"</f>
        <v>06690</v>
      </c>
      <c r="C43" s="22" t="str">
        <f t="shared" si="0"/>
        <v>'6690.HK'</v>
      </c>
      <c r="D43" s="22" t="s">
        <v>952</v>
      </c>
      <c r="E43" s="22" t="s">
        <v>953</v>
      </c>
      <c r="F43" s="22">
        <v>251361809673.79999</v>
      </c>
      <c r="G43" s="22">
        <v>57</v>
      </c>
      <c r="H43" s="22" t="s">
        <v>954</v>
      </c>
    </row>
    <row r="44" spans="1:8" x14ac:dyDescent="0.35">
      <c r="A44" s="22" t="s">
        <v>851</v>
      </c>
      <c r="B44" s="22" t="str">
        <f>"00011"</f>
        <v>00011</v>
      </c>
      <c r="C44" s="22" t="str">
        <f t="shared" si="0"/>
        <v>'0011.HK'</v>
      </c>
      <c r="D44" s="22" t="s">
        <v>955</v>
      </c>
      <c r="E44" s="22" t="s">
        <v>858</v>
      </c>
      <c r="F44" s="22">
        <v>248348371406.39999</v>
      </c>
      <c r="G44" s="22">
        <v>134</v>
      </c>
      <c r="H44" s="22" t="s">
        <v>956</v>
      </c>
    </row>
    <row r="45" spans="1:8" x14ac:dyDescent="0.35">
      <c r="A45" s="22" t="s">
        <v>851</v>
      </c>
      <c r="B45" s="22" t="str">
        <f>"00267"</f>
        <v>00267</v>
      </c>
      <c r="C45" s="22" t="str">
        <f t="shared" si="0"/>
        <v>'0267.HK'</v>
      </c>
      <c r="D45" s="22" t="s">
        <v>957</v>
      </c>
      <c r="E45" s="22" t="s">
        <v>958</v>
      </c>
      <c r="F45" s="22">
        <v>239412861444.89999</v>
      </c>
      <c r="G45" s="22">
        <v>205</v>
      </c>
      <c r="H45" s="22" t="s">
        <v>959</v>
      </c>
    </row>
    <row r="46" spans="1:8" x14ac:dyDescent="0.35">
      <c r="A46" s="22" t="s">
        <v>851</v>
      </c>
      <c r="B46" s="22" t="str">
        <f>"00027"</f>
        <v>00027</v>
      </c>
      <c r="C46" s="22" t="str">
        <f t="shared" si="0"/>
        <v>'0027.HK'</v>
      </c>
      <c r="D46" s="22" t="s">
        <v>960</v>
      </c>
      <c r="E46" s="22" t="s">
        <v>961</v>
      </c>
      <c r="F46" s="22">
        <v>234173680198.39999</v>
      </c>
      <c r="G46" s="22">
        <v>203</v>
      </c>
      <c r="H46" s="22" t="s">
        <v>962</v>
      </c>
    </row>
    <row r="47" spans="1:8" x14ac:dyDescent="0.35">
      <c r="A47" s="22" t="s">
        <v>851</v>
      </c>
      <c r="B47" s="22" t="str">
        <f>"06030"</f>
        <v>06030</v>
      </c>
      <c r="C47" s="22" t="str">
        <f t="shared" si="0"/>
        <v>'6030.HK'</v>
      </c>
      <c r="D47" s="22" t="s">
        <v>963</v>
      </c>
      <c r="E47" s="22" t="s">
        <v>964</v>
      </c>
      <c r="F47" s="22">
        <v>233868228961.62</v>
      </c>
      <c r="G47" s="22">
        <v>401</v>
      </c>
      <c r="H47" s="22" t="s">
        <v>965</v>
      </c>
    </row>
    <row r="48" spans="1:8" x14ac:dyDescent="0.35">
      <c r="A48" s="22" t="s">
        <v>851</v>
      </c>
      <c r="B48" s="22" t="str">
        <f>"00688"</f>
        <v>00688</v>
      </c>
      <c r="C48" s="22" t="str">
        <f t="shared" si="0"/>
        <v>'0688.HK'</v>
      </c>
      <c r="D48" s="22" t="s">
        <v>966</v>
      </c>
      <c r="E48" s="22" t="s">
        <v>924</v>
      </c>
      <c r="F48" s="22">
        <v>229842554235</v>
      </c>
      <c r="G48" s="22">
        <v>351</v>
      </c>
      <c r="H48" s="22" t="s">
        <v>967</v>
      </c>
    </row>
    <row r="49" spans="1:8" x14ac:dyDescent="0.35">
      <c r="A49" s="22" t="s">
        <v>851</v>
      </c>
      <c r="B49" s="22" t="str">
        <f>"06618"</f>
        <v>06618</v>
      </c>
      <c r="C49" s="22" t="str">
        <f t="shared" si="0"/>
        <v>'6618.HK'</v>
      </c>
      <c r="D49" s="22" t="s">
        <v>968</v>
      </c>
      <c r="E49" s="22" t="s">
        <v>969</v>
      </c>
      <c r="F49" s="22">
        <v>218937155392.35001</v>
      </c>
      <c r="G49" s="22">
        <v>218</v>
      </c>
      <c r="H49" s="22" t="s">
        <v>970</v>
      </c>
    </row>
    <row r="50" spans="1:8" x14ac:dyDescent="0.35">
      <c r="A50" s="22" t="s">
        <v>851</v>
      </c>
      <c r="B50" s="22" t="str">
        <f>"01928"</f>
        <v>01928</v>
      </c>
      <c r="C50" s="22" t="str">
        <f t="shared" si="0"/>
        <v>'1928.HK'</v>
      </c>
      <c r="D50" s="22" t="s">
        <v>971</v>
      </c>
      <c r="E50" s="22" t="s">
        <v>961</v>
      </c>
      <c r="F50" s="22">
        <v>217706780495.39999</v>
      </c>
      <c r="G50" s="22">
        <v>240</v>
      </c>
      <c r="H50" s="22" t="s">
        <v>972</v>
      </c>
    </row>
    <row r="51" spans="1:8" x14ac:dyDescent="0.35">
      <c r="A51" s="22" t="s">
        <v>851</v>
      </c>
      <c r="B51" s="22" t="str">
        <f>"02057"</f>
        <v>02057</v>
      </c>
      <c r="C51" s="22" t="str">
        <f t="shared" si="0"/>
        <v>'2057.HK'</v>
      </c>
      <c r="D51" s="22" t="s">
        <v>973</v>
      </c>
      <c r="E51" s="22" t="s">
        <v>974</v>
      </c>
      <c r="F51" s="22">
        <v>185257980000</v>
      </c>
      <c r="G51" s="22">
        <v>51</v>
      </c>
      <c r="H51" s="22" t="s">
        <v>975</v>
      </c>
    </row>
    <row r="52" spans="1:8" x14ac:dyDescent="0.35">
      <c r="A52" s="22" t="s">
        <v>851</v>
      </c>
      <c r="B52" s="22" t="str">
        <f>"06160"</f>
        <v>06160</v>
      </c>
      <c r="C52" s="22" t="str">
        <f t="shared" si="0"/>
        <v>'6160.HK'</v>
      </c>
      <c r="D52" s="22" t="s">
        <v>976</v>
      </c>
      <c r="E52" s="22" t="s">
        <v>941</v>
      </c>
      <c r="F52" s="22">
        <v>184568613968.10001</v>
      </c>
      <c r="G52" s="22">
        <v>237</v>
      </c>
      <c r="H52" s="22" t="s">
        <v>977</v>
      </c>
    </row>
    <row r="53" spans="1:8" x14ac:dyDescent="0.35">
      <c r="A53" s="22" t="s">
        <v>851</v>
      </c>
      <c r="B53" s="22" t="str">
        <f>"02331"</f>
        <v>02331</v>
      </c>
      <c r="C53" s="22" t="str">
        <f t="shared" si="0"/>
        <v>'2331.HK'</v>
      </c>
      <c r="D53" s="22" t="s">
        <v>978</v>
      </c>
      <c r="E53" s="22" t="s">
        <v>889</v>
      </c>
      <c r="F53" s="22">
        <v>182459973859.10001</v>
      </c>
      <c r="G53" s="22">
        <v>334</v>
      </c>
      <c r="H53" s="22" t="s">
        <v>979</v>
      </c>
    </row>
    <row r="54" spans="1:8" x14ac:dyDescent="0.35">
      <c r="A54" s="22" t="s">
        <v>851</v>
      </c>
      <c r="B54" s="22" t="str">
        <f>"09987"</f>
        <v>09987</v>
      </c>
      <c r="C54" s="22" t="str">
        <f t="shared" si="0"/>
        <v>'9987.HK'</v>
      </c>
      <c r="D54" s="22" t="s">
        <v>980</v>
      </c>
      <c r="E54" s="22" t="s">
        <v>981</v>
      </c>
      <c r="F54" s="22">
        <v>181475075854.39999</v>
      </c>
      <c r="G54" s="22">
        <v>32</v>
      </c>
      <c r="H54" s="22" t="s">
        <v>982</v>
      </c>
    </row>
    <row r="55" spans="1:8" x14ac:dyDescent="0.35">
      <c r="A55" s="22" t="s">
        <v>851</v>
      </c>
      <c r="B55" s="22" t="str">
        <f>"00001"</f>
        <v>00001</v>
      </c>
      <c r="C55" s="22" t="str">
        <f t="shared" si="0"/>
        <v>'0001.HK'</v>
      </c>
      <c r="D55" s="22" t="s">
        <v>983</v>
      </c>
      <c r="E55" s="22" t="s">
        <v>958</v>
      </c>
      <c r="F55" s="22">
        <v>181161104850</v>
      </c>
      <c r="G55" s="22">
        <v>176</v>
      </c>
      <c r="H55" s="22" t="s">
        <v>984</v>
      </c>
    </row>
    <row r="56" spans="1:8" x14ac:dyDescent="0.35">
      <c r="A56" s="22" t="s">
        <v>851</v>
      </c>
      <c r="B56" s="22" t="str">
        <f>"02202"</f>
        <v>02202</v>
      </c>
      <c r="C56" s="22" t="str">
        <f t="shared" si="0"/>
        <v>'2202.HK'</v>
      </c>
      <c r="D56" s="22" t="s">
        <v>985</v>
      </c>
      <c r="E56" s="22" t="s">
        <v>924</v>
      </c>
      <c r="F56" s="22">
        <v>180508610989.92001</v>
      </c>
      <c r="G56" s="22">
        <v>537</v>
      </c>
      <c r="H56" s="22" t="s">
        <v>986</v>
      </c>
    </row>
    <row r="57" spans="1:8" x14ac:dyDescent="0.35">
      <c r="A57" s="22" t="s">
        <v>851</v>
      </c>
      <c r="B57" s="22" t="str">
        <f>"00291"</f>
        <v>00291</v>
      </c>
      <c r="C57" s="22" t="str">
        <f t="shared" si="0"/>
        <v>'0291.HK'</v>
      </c>
      <c r="D57" s="22" t="s">
        <v>987</v>
      </c>
      <c r="E57" s="22" t="s">
        <v>917</v>
      </c>
      <c r="F57" s="22">
        <v>178267520929.75</v>
      </c>
      <c r="G57" s="22">
        <v>256</v>
      </c>
      <c r="H57" s="22" t="s">
        <v>988</v>
      </c>
    </row>
    <row r="58" spans="1:8" x14ac:dyDescent="0.35">
      <c r="A58" s="22" t="s">
        <v>851</v>
      </c>
      <c r="B58" s="22" t="str">
        <f>"02015"</f>
        <v>02015</v>
      </c>
      <c r="C58" s="22" t="str">
        <f t="shared" si="0"/>
        <v>'2015.HK'</v>
      </c>
      <c r="D58" s="22" t="s">
        <v>989</v>
      </c>
      <c r="E58" s="22" t="s">
        <v>886</v>
      </c>
      <c r="F58" s="22">
        <v>176876441093.89999</v>
      </c>
      <c r="G58" s="22">
        <v>78</v>
      </c>
      <c r="H58" s="22" t="s">
        <v>990</v>
      </c>
    </row>
    <row r="59" spans="1:8" x14ac:dyDescent="0.35">
      <c r="A59" s="22" t="s">
        <v>851</v>
      </c>
      <c r="B59" s="22" t="str">
        <f>"01113"</f>
        <v>01113</v>
      </c>
      <c r="C59" s="22" t="str">
        <f t="shared" si="0"/>
        <v>'1113.HK'</v>
      </c>
      <c r="D59" s="22" t="s">
        <v>991</v>
      </c>
      <c r="E59" s="22" t="s">
        <v>924</v>
      </c>
      <c r="F59" s="22">
        <v>173409655017.29999</v>
      </c>
      <c r="G59" s="22">
        <v>115</v>
      </c>
      <c r="H59" s="22" t="s">
        <v>992</v>
      </c>
    </row>
    <row r="60" spans="1:8" x14ac:dyDescent="0.35">
      <c r="A60" s="22" t="s">
        <v>851</v>
      </c>
      <c r="B60" s="22" t="str">
        <f>"09961"</f>
        <v>09961</v>
      </c>
      <c r="C60" s="22" t="str">
        <f t="shared" si="0"/>
        <v>'9961.HK'</v>
      </c>
      <c r="D60" s="22" t="s">
        <v>993</v>
      </c>
      <c r="E60" s="22" t="s">
        <v>897</v>
      </c>
      <c r="F60" s="22">
        <v>173261628000</v>
      </c>
      <c r="G60" s="22">
        <v>32</v>
      </c>
      <c r="H60" s="22" t="s">
        <v>994</v>
      </c>
    </row>
    <row r="61" spans="1:8" x14ac:dyDescent="0.35">
      <c r="A61" s="22" t="s">
        <v>851</v>
      </c>
      <c r="B61" s="22" t="str">
        <f>"00998"</f>
        <v>00998</v>
      </c>
      <c r="C61" s="22" t="str">
        <f t="shared" si="0"/>
        <v>'0998.HK'</v>
      </c>
      <c r="D61" s="22" t="s">
        <v>995</v>
      </c>
      <c r="E61" s="22" t="s">
        <v>858</v>
      </c>
      <c r="F61" s="22">
        <v>171271952799.5</v>
      </c>
      <c r="G61" s="22">
        <v>632</v>
      </c>
      <c r="H61" s="22" t="s">
        <v>996</v>
      </c>
    </row>
    <row r="62" spans="1:8" x14ac:dyDescent="0.35">
      <c r="A62" s="22" t="s">
        <v>851</v>
      </c>
      <c r="B62" s="22" t="str">
        <f>"02888"</f>
        <v>02888</v>
      </c>
      <c r="C62" s="22" t="str">
        <f t="shared" si="0"/>
        <v>'2888.HK'</v>
      </c>
      <c r="D62" s="22" t="s">
        <v>997</v>
      </c>
      <c r="E62" s="22" t="s">
        <v>858</v>
      </c>
      <c r="F62" s="22">
        <v>170500766459.5</v>
      </c>
      <c r="G62" s="22">
        <v>62</v>
      </c>
      <c r="H62" s="22" t="s">
        <v>998</v>
      </c>
    </row>
    <row r="63" spans="1:8" x14ac:dyDescent="0.35">
      <c r="A63" s="22" t="s">
        <v>851</v>
      </c>
      <c r="B63" s="22" t="str">
        <f>"02601"</f>
        <v>02601</v>
      </c>
      <c r="C63" s="22" t="str">
        <f t="shared" si="0"/>
        <v>'2601.HK'</v>
      </c>
      <c r="D63" s="22" t="s">
        <v>999</v>
      </c>
      <c r="E63" s="22" t="s">
        <v>870</v>
      </c>
      <c r="F63" s="22">
        <v>169510416437.10001</v>
      </c>
      <c r="G63" s="22">
        <v>612</v>
      </c>
      <c r="H63" s="22" t="s">
        <v>1000</v>
      </c>
    </row>
    <row r="64" spans="1:8" x14ac:dyDescent="0.35">
      <c r="A64" s="22" t="s">
        <v>851</v>
      </c>
      <c r="B64" s="22" t="str">
        <f>"01929"</f>
        <v>01929</v>
      </c>
      <c r="C64" s="22" t="str">
        <f t="shared" si="0"/>
        <v>'1929.HK'</v>
      </c>
      <c r="D64" s="22" t="s">
        <v>1001</v>
      </c>
      <c r="E64" s="22" t="s">
        <v>1002</v>
      </c>
      <c r="F64" s="22">
        <v>164600000000</v>
      </c>
      <c r="G64" s="22">
        <v>123</v>
      </c>
      <c r="H64" s="22" t="s">
        <v>1003</v>
      </c>
    </row>
    <row r="65" spans="1:8" x14ac:dyDescent="0.35">
      <c r="A65" s="22" t="s">
        <v>851</v>
      </c>
      <c r="B65" s="22" t="str">
        <f>"02328"</f>
        <v>02328</v>
      </c>
      <c r="C65" s="22" t="str">
        <f t="shared" si="0"/>
        <v>'2328.HK'</v>
      </c>
      <c r="D65" s="22" t="s">
        <v>1004</v>
      </c>
      <c r="E65" s="22" t="s">
        <v>870</v>
      </c>
      <c r="F65" s="22">
        <v>164151607936.14001</v>
      </c>
      <c r="G65" s="22">
        <v>295</v>
      </c>
      <c r="H65" s="22" t="s">
        <v>1005</v>
      </c>
    </row>
    <row r="66" spans="1:8" x14ac:dyDescent="0.35">
      <c r="A66" s="22" t="s">
        <v>851</v>
      </c>
      <c r="B66" s="22" t="str">
        <f>"00669"</f>
        <v>00669</v>
      </c>
      <c r="C66" s="22" t="str">
        <f t="shared" si="0"/>
        <v>'0669.HK'</v>
      </c>
      <c r="D66" s="22" t="s">
        <v>1006</v>
      </c>
      <c r="E66" s="22" t="s">
        <v>953</v>
      </c>
      <c r="F66" s="22">
        <v>162095563087.35001</v>
      </c>
      <c r="G66" s="22">
        <v>125</v>
      </c>
      <c r="H66" s="22" t="s">
        <v>1007</v>
      </c>
    </row>
    <row r="67" spans="1:8" x14ac:dyDescent="0.35">
      <c r="A67" s="22" t="s">
        <v>851</v>
      </c>
      <c r="B67" s="22" t="str">
        <f>"00762"</f>
        <v>00762</v>
      </c>
      <c r="C67" s="22" t="str">
        <f t="shared" ref="C67:C130" si="1">CONCATENATE("'",RIGHT(B67,4),".HK'")</f>
        <v>'0762.HK'</v>
      </c>
      <c r="D67" s="22" t="s">
        <v>1008</v>
      </c>
      <c r="E67" s="22" t="s">
        <v>865</v>
      </c>
      <c r="F67" s="22">
        <v>158498284107.10001</v>
      </c>
      <c r="G67" s="22">
        <v>242</v>
      </c>
      <c r="H67" s="22" t="s">
        <v>1009</v>
      </c>
    </row>
    <row r="68" spans="1:8" x14ac:dyDescent="0.35">
      <c r="A68" s="22" t="s">
        <v>851</v>
      </c>
      <c r="B68" s="22" t="str">
        <f>"00960"</f>
        <v>00960</v>
      </c>
      <c r="C68" s="22" t="str">
        <f t="shared" si="1"/>
        <v>'0960.HK'</v>
      </c>
      <c r="D68" s="22" t="s">
        <v>1010</v>
      </c>
      <c r="E68" s="22" t="s">
        <v>924</v>
      </c>
      <c r="F68" s="22">
        <v>151699240072.79999</v>
      </c>
      <c r="G68" s="22">
        <v>315</v>
      </c>
      <c r="H68" s="22" t="s">
        <v>1011</v>
      </c>
    </row>
    <row r="69" spans="1:8" x14ac:dyDescent="0.35">
      <c r="A69" s="22" t="s">
        <v>851</v>
      </c>
      <c r="B69" s="22" t="str">
        <f>"00788"</f>
        <v>00788</v>
      </c>
      <c r="C69" s="22" t="str">
        <f t="shared" si="1"/>
        <v>'0788.HK'</v>
      </c>
      <c r="D69" s="22" t="s">
        <v>1012</v>
      </c>
      <c r="E69" s="22" t="s">
        <v>1013</v>
      </c>
      <c r="F69" s="22">
        <v>151367285080.64001</v>
      </c>
      <c r="G69" s="22">
        <v>183</v>
      </c>
      <c r="H69" s="22" t="s">
        <v>1014</v>
      </c>
    </row>
    <row r="70" spans="1:8" x14ac:dyDescent="0.35">
      <c r="A70" s="22" t="s">
        <v>851</v>
      </c>
      <c r="B70" s="22" t="str">
        <f>"00914"</f>
        <v>00914</v>
      </c>
      <c r="C70" s="22" t="str">
        <f t="shared" si="1"/>
        <v>'0914.HK'</v>
      </c>
      <c r="D70" s="22" t="s">
        <v>1015</v>
      </c>
      <c r="E70" s="22" t="s">
        <v>1016</v>
      </c>
      <c r="F70" s="22">
        <v>147055646567.25</v>
      </c>
      <c r="G70" s="22">
        <v>460</v>
      </c>
      <c r="H70" s="22" t="s">
        <v>1017</v>
      </c>
    </row>
    <row r="71" spans="1:8" x14ac:dyDescent="0.35">
      <c r="A71" s="22" t="s">
        <v>851</v>
      </c>
      <c r="B71" s="22" t="str">
        <f>"02319"</f>
        <v>02319</v>
      </c>
      <c r="C71" s="22" t="str">
        <f t="shared" si="1"/>
        <v>'2319.HK'</v>
      </c>
      <c r="D71" s="22" t="s">
        <v>1018</v>
      </c>
      <c r="E71" s="22" t="s">
        <v>1019</v>
      </c>
      <c r="F71" s="22">
        <v>143969039177.60001</v>
      </c>
      <c r="G71" s="22">
        <v>771</v>
      </c>
      <c r="H71" s="22" t="s">
        <v>1020</v>
      </c>
    </row>
    <row r="72" spans="1:8" x14ac:dyDescent="0.35">
      <c r="A72" s="22" t="s">
        <v>851</v>
      </c>
      <c r="B72" s="22" t="str">
        <f>"00002"</f>
        <v>00002</v>
      </c>
      <c r="C72" s="22" t="str">
        <f t="shared" si="1"/>
        <v>'0002.HK'</v>
      </c>
      <c r="D72" s="22" t="s">
        <v>1021</v>
      </c>
      <c r="E72" s="22" t="s">
        <v>1022</v>
      </c>
      <c r="F72" s="22">
        <v>143881359961.5</v>
      </c>
      <c r="G72" s="22">
        <v>100</v>
      </c>
      <c r="H72" s="22" t="s">
        <v>1023</v>
      </c>
    </row>
    <row r="73" spans="1:8" x14ac:dyDescent="0.35">
      <c r="A73" s="22" t="s">
        <v>851</v>
      </c>
      <c r="B73" s="22" t="str">
        <f>"02423"</f>
        <v>02423</v>
      </c>
      <c r="C73" s="22" t="str">
        <f t="shared" si="1"/>
        <v>'2423.HK'</v>
      </c>
      <c r="D73" s="22" t="s">
        <v>1024</v>
      </c>
      <c r="E73" s="22" t="s">
        <v>1025</v>
      </c>
      <c r="F73" s="22">
        <v>141675626397.5</v>
      </c>
      <c r="G73" s="22">
        <v>9</v>
      </c>
      <c r="H73" s="22" t="s">
        <v>1026</v>
      </c>
    </row>
    <row r="74" spans="1:8" x14ac:dyDescent="0.35">
      <c r="A74" s="22" t="s">
        <v>851</v>
      </c>
      <c r="B74" s="22" t="str">
        <f>"01997"</f>
        <v>01997</v>
      </c>
      <c r="C74" s="22" t="str">
        <f t="shared" si="1"/>
        <v>'1997.HK'</v>
      </c>
      <c r="D74" s="22" t="s">
        <v>1027</v>
      </c>
      <c r="E74" s="22" t="s">
        <v>1028</v>
      </c>
      <c r="F74" s="22">
        <v>141032759339.14999</v>
      </c>
      <c r="G74" s="22">
        <v>57</v>
      </c>
      <c r="H74" s="22" t="s">
        <v>1029</v>
      </c>
    </row>
    <row r="75" spans="1:8" x14ac:dyDescent="0.35">
      <c r="A75" s="22" t="s">
        <v>851</v>
      </c>
      <c r="B75" s="22" t="str">
        <f>"00003"</f>
        <v>00003</v>
      </c>
      <c r="C75" s="22" t="str">
        <f t="shared" si="1"/>
        <v>'0003.HK'</v>
      </c>
      <c r="D75" s="22" t="s">
        <v>1030</v>
      </c>
      <c r="E75" s="22" t="s">
        <v>1031</v>
      </c>
      <c r="F75" s="22">
        <v>140508821837.94</v>
      </c>
      <c r="G75" s="22">
        <v>102</v>
      </c>
      <c r="H75" s="22" t="s">
        <v>1032</v>
      </c>
    </row>
    <row r="76" spans="1:8" x14ac:dyDescent="0.35">
      <c r="A76" s="22" t="s">
        <v>851</v>
      </c>
      <c r="B76" s="22" t="str">
        <f>"09866"</f>
        <v>09866</v>
      </c>
      <c r="C76" s="22" t="str">
        <f t="shared" si="1"/>
        <v>'9866.HK'</v>
      </c>
      <c r="D76" s="22" t="s">
        <v>1033</v>
      </c>
      <c r="E76" s="22" t="s">
        <v>886</v>
      </c>
      <c r="F76" s="22">
        <v>135721658000</v>
      </c>
      <c r="G76" s="22">
        <v>39</v>
      </c>
      <c r="H76" s="22" t="s">
        <v>1034</v>
      </c>
    </row>
    <row r="77" spans="1:8" x14ac:dyDescent="0.35">
      <c r="A77" s="22" t="s">
        <v>851</v>
      </c>
      <c r="B77" s="22" t="str">
        <f>"00012"</f>
        <v>00012</v>
      </c>
      <c r="C77" s="22" t="str">
        <f t="shared" si="1"/>
        <v>'0012.HK'</v>
      </c>
      <c r="D77" s="22" t="s">
        <v>1035</v>
      </c>
      <c r="E77" s="22" t="s">
        <v>924</v>
      </c>
      <c r="F77" s="22">
        <v>133622281282.8</v>
      </c>
      <c r="G77" s="22">
        <v>81</v>
      </c>
      <c r="H77" s="22" t="s">
        <v>1036</v>
      </c>
    </row>
    <row r="78" spans="1:8" x14ac:dyDescent="0.35">
      <c r="A78" s="22" t="s">
        <v>851</v>
      </c>
      <c r="B78" s="22" t="str">
        <f>"02313"</f>
        <v>02313</v>
      </c>
      <c r="C78" s="22" t="str">
        <f t="shared" si="1"/>
        <v>'2313.HK'</v>
      </c>
      <c r="D78" s="22" t="s">
        <v>1037</v>
      </c>
      <c r="E78" s="22" t="s">
        <v>889</v>
      </c>
      <c r="F78" s="22">
        <v>133260665494.05</v>
      </c>
      <c r="G78" s="22">
        <v>273</v>
      </c>
      <c r="H78" s="22" t="s">
        <v>1038</v>
      </c>
    </row>
    <row r="79" spans="1:8" x14ac:dyDescent="0.35">
      <c r="A79" s="22" t="s">
        <v>851</v>
      </c>
      <c r="B79" s="22" t="str">
        <f>"00981"</f>
        <v>00981</v>
      </c>
      <c r="C79" s="22" t="str">
        <f t="shared" si="1"/>
        <v>'0981.HK'</v>
      </c>
      <c r="D79" s="22" t="s">
        <v>1039</v>
      </c>
      <c r="E79" s="22" t="s">
        <v>1040</v>
      </c>
      <c r="F79" s="22">
        <v>133089004612.48</v>
      </c>
      <c r="G79" s="22">
        <v>862</v>
      </c>
      <c r="H79" s="22" t="s">
        <v>1041</v>
      </c>
    </row>
    <row r="80" spans="1:8" x14ac:dyDescent="0.35">
      <c r="A80" s="22" t="s">
        <v>851</v>
      </c>
      <c r="B80" s="22" t="str">
        <f>"06818"</f>
        <v>06818</v>
      </c>
      <c r="C80" s="22" t="str">
        <f t="shared" si="1"/>
        <v>'6818.HK'</v>
      </c>
      <c r="D80" s="22" t="s">
        <v>1042</v>
      </c>
      <c r="E80" s="22" t="s">
        <v>858</v>
      </c>
      <c r="F80" s="22">
        <v>130757276964.60001</v>
      </c>
      <c r="G80" s="22">
        <v>336</v>
      </c>
      <c r="H80" s="22" t="s">
        <v>1043</v>
      </c>
    </row>
    <row r="81" spans="1:8" x14ac:dyDescent="0.35">
      <c r="A81" s="22" t="s">
        <v>851</v>
      </c>
      <c r="B81" s="22" t="str">
        <f>"02688"</f>
        <v>02688</v>
      </c>
      <c r="C81" s="22" t="str">
        <f t="shared" si="1"/>
        <v>'2688.HK'</v>
      </c>
      <c r="D81" s="22" t="s">
        <v>1044</v>
      </c>
      <c r="E81" s="22" t="s">
        <v>1031</v>
      </c>
      <c r="F81" s="22">
        <v>128242356165</v>
      </c>
      <c r="G81" s="22">
        <v>146</v>
      </c>
      <c r="H81" s="22" t="s">
        <v>1045</v>
      </c>
    </row>
    <row r="82" spans="1:8" x14ac:dyDescent="0.35">
      <c r="A82" s="22" t="s">
        <v>851</v>
      </c>
      <c r="B82" s="22" t="str">
        <f>"01919"</f>
        <v>01919</v>
      </c>
      <c r="C82" s="22" t="str">
        <f t="shared" si="1"/>
        <v>'1919.HK'</v>
      </c>
      <c r="D82" s="22" t="s">
        <v>1046</v>
      </c>
      <c r="E82" s="22" t="s">
        <v>1047</v>
      </c>
      <c r="F82" s="22">
        <v>127791743550.25999</v>
      </c>
      <c r="G82" s="22">
        <v>194</v>
      </c>
      <c r="H82" s="22" t="s">
        <v>1048</v>
      </c>
    </row>
    <row r="83" spans="1:8" x14ac:dyDescent="0.35">
      <c r="A83" s="22" t="s">
        <v>851</v>
      </c>
      <c r="B83" s="22" t="str">
        <f>"06862"</f>
        <v>06862</v>
      </c>
      <c r="C83" s="22" t="str">
        <f t="shared" si="1"/>
        <v>'6862.HK'</v>
      </c>
      <c r="D83" s="22" t="s">
        <v>1049</v>
      </c>
      <c r="E83" s="22" t="s">
        <v>981</v>
      </c>
      <c r="F83" s="22">
        <v>127087200000</v>
      </c>
      <c r="G83" s="22">
        <v>623</v>
      </c>
      <c r="H83" s="22" t="s">
        <v>1050</v>
      </c>
    </row>
    <row r="84" spans="1:8" x14ac:dyDescent="0.35">
      <c r="A84" s="22" t="s">
        <v>851</v>
      </c>
      <c r="B84" s="22" t="str">
        <f>"00823"</f>
        <v>00823</v>
      </c>
      <c r="C84" s="22" t="str">
        <f t="shared" si="1"/>
        <v>'0823.HK'</v>
      </c>
      <c r="D84" s="22" t="s">
        <v>1051</v>
      </c>
      <c r="F84" s="22">
        <v>122656327669.8</v>
      </c>
      <c r="G84" s="22">
        <v>216</v>
      </c>
      <c r="H84" s="22" t="s">
        <v>1052</v>
      </c>
    </row>
    <row r="85" spans="1:8" x14ac:dyDescent="0.35">
      <c r="A85" s="22" t="s">
        <v>851</v>
      </c>
      <c r="B85" s="22" t="str">
        <f>"01972"</f>
        <v>01972</v>
      </c>
      <c r="C85" s="22" t="str">
        <f t="shared" si="1"/>
        <v>'1972.HK'</v>
      </c>
      <c r="D85" s="22" t="s">
        <v>1053</v>
      </c>
      <c r="E85" s="22" t="s">
        <v>1028</v>
      </c>
      <c r="F85" s="22">
        <v>120802500000</v>
      </c>
      <c r="G85" s="22">
        <v>71</v>
      </c>
      <c r="H85" s="22" t="s">
        <v>1054</v>
      </c>
    </row>
    <row r="86" spans="1:8" x14ac:dyDescent="0.35">
      <c r="A86" s="22" t="s">
        <v>851</v>
      </c>
      <c r="B86" s="22" t="str">
        <f>"01988"</f>
        <v>01988</v>
      </c>
      <c r="C86" s="22" t="str">
        <f t="shared" si="1"/>
        <v>'1988.HK'</v>
      </c>
      <c r="D86" s="22" t="s">
        <v>1055</v>
      </c>
      <c r="E86" s="22" t="s">
        <v>858</v>
      </c>
      <c r="F86" s="22">
        <v>119963826695.48</v>
      </c>
      <c r="G86" s="22">
        <v>880</v>
      </c>
      <c r="H86" s="22" t="s">
        <v>1056</v>
      </c>
    </row>
    <row r="87" spans="1:8" x14ac:dyDescent="0.35">
      <c r="A87" s="22" t="s">
        <v>851</v>
      </c>
      <c r="B87" s="22" t="str">
        <f>"00175"</f>
        <v>00175</v>
      </c>
      <c r="C87" s="22" t="str">
        <f t="shared" si="1"/>
        <v>'0175.HK'</v>
      </c>
      <c r="D87" s="22" t="s">
        <v>1057</v>
      </c>
      <c r="E87" s="22" t="s">
        <v>886</v>
      </c>
      <c r="F87" s="22">
        <v>119275709101.96001</v>
      </c>
      <c r="G87" s="22">
        <v>708</v>
      </c>
      <c r="H87" s="22" t="s">
        <v>1058</v>
      </c>
    </row>
    <row r="88" spans="1:8" x14ac:dyDescent="0.35">
      <c r="A88" s="22" t="s">
        <v>851</v>
      </c>
      <c r="B88" s="22" t="str">
        <f>"01772"</f>
        <v>01772</v>
      </c>
      <c r="C88" s="22" t="str">
        <f t="shared" si="1"/>
        <v>'1772.HK'</v>
      </c>
      <c r="D88" s="22" t="s">
        <v>1059</v>
      </c>
      <c r="E88" s="22" t="s">
        <v>1060</v>
      </c>
      <c r="F88" s="22">
        <v>118495169716.25</v>
      </c>
      <c r="G88" s="22">
        <v>112</v>
      </c>
      <c r="H88" s="22" t="s">
        <v>1061</v>
      </c>
    </row>
    <row r="89" spans="1:8" x14ac:dyDescent="0.35">
      <c r="A89" s="22" t="s">
        <v>851</v>
      </c>
      <c r="B89" s="22" t="str">
        <f>"01171"</f>
        <v>01171</v>
      </c>
      <c r="C89" s="22" t="str">
        <f t="shared" si="1"/>
        <v>'1171.HK'</v>
      </c>
      <c r="D89" s="22" t="s">
        <v>1062</v>
      </c>
      <c r="E89" s="22" t="s">
        <v>904</v>
      </c>
      <c r="F89" s="22">
        <v>117779146632</v>
      </c>
      <c r="G89" s="22">
        <v>399</v>
      </c>
      <c r="H89" s="22" t="s">
        <v>1063</v>
      </c>
    </row>
    <row r="90" spans="1:8" x14ac:dyDescent="0.35">
      <c r="A90" s="22" t="s">
        <v>851</v>
      </c>
      <c r="B90" s="22" t="str">
        <f>"01913"</f>
        <v>01913</v>
      </c>
      <c r="C90" s="22" t="str">
        <f t="shared" si="1"/>
        <v>'1913.HK'</v>
      </c>
      <c r="D90" s="22" t="s">
        <v>1064</v>
      </c>
      <c r="E90" s="22" t="s">
        <v>1065</v>
      </c>
      <c r="F90" s="22">
        <v>116170609600</v>
      </c>
      <c r="G90" s="22">
        <v>27</v>
      </c>
      <c r="H90" s="22" t="s">
        <v>1066</v>
      </c>
    </row>
    <row r="91" spans="1:8" x14ac:dyDescent="0.35">
      <c r="A91" s="22" t="s">
        <v>851</v>
      </c>
      <c r="B91" s="22" t="str">
        <f>"01339"</f>
        <v>01339</v>
      </c>
      <c r="C91" s="22" t="str">
        <f t="shared" si="1"/>
        <v>'1339.HK'</v>
      </c>
      <c r="D91" s="22" t="s">
        <v>1067</v>
      </c>
      <c r="E91" s="22" t="s">
        <v>870</v>
      </c>
      <c r="F91" s="22">
        <v>115866855327.46001</v>
      </c>
      <c r="G91" s="22">
        <v>534</v>
      </c>
      <c r="H91" s="22" t="s">
        <v>1068</v>
      </c>
    </row>
    <row r="92" spans="1:8" x14ac:dyDescent="0.35">
      <c r="A92" s="22" t="s">
        <v>851</v>
      </c>
      <c r="B92" s="22" t="str">
        <f>"01179"</f>
        <v>01179</v>
      </c>
      <c r="C92" s="22" t="str">
        <f t="shared" si="1"/>
        <v>'1179.HK'</v>
      </c>
      <c r="D92" s="22" t="s">
        <v>1069</v>
      </c>
      <c r="E92" s="22" t="s">
        <v>1070</v>
      </c>
      <c r="F92" s="22">
        <v>111584442000</v>
      </c>
      <c r="G92" s="22">
        <v>36</v>
      </c>
      <c r="H92" s="22" t="s">
        <v>1071</v>
      </c>
    </row>
    <row r="93" spans="1:8" x14ac:dyDescent="0.35">
      <c r="A93" s="22" t="s">
        <v>851</v>
      </c>
      <c r="B93" s="22" t="str">
        <f>"00168"</f>
        <v>00168</v>
      </c>
      <c r="C93" s="22" t="str">
        <f t="shared" si="1"/>
        <v>'0168.HK'</v>
      </c>
      <c r="D93" s="22" t="s">
        <v>1072</v>
      </c>
      <c r="E93" s="22" t="s">
        <v>917</v>
      </c>
      <c r="F93" s="22">
        <v>106556109333.3</v>
      </c>
      <c r="G93" s="22">
        <v>152</v>
      </c>
      <c r="H93" s="22" t="s">
        <v>1073</v>
      </c>
    </row>
    <row r="94" spans="1:8" x14ac:dyDescent="0.35">
      <c r="A94" s="22" t="s">
        <v>851</v>
      </c>
      <c r="B94" s="22" t="str">
        <f>"02382"</f>
        <v>02382</v>
      </c>
      <c r="C94" s="22" t="str">
        <f t="shared" si="1"/>
        <v>'2382.HK'</v>
      </c>
      <c r="D94" s="22" t="s">
        <v>1074</v>
      </c>
      <c r="E94" s="22" t="s">
        <v>1075</v>
      </c>
      <c r="F94" s="22">
        <v>105187886230</v>
      </c>
      <c r="G94" s="22">
        <v>552</v>
      </c>
      <c r="H94" s="22" t="s">
        <v>1076</v>
      </c>
    </row>
    <row r="95" spans="1:8" x14ac:dyDescent="0.35">
      <c r="A95" s="22" t="s">
        <v>851</v>
      </c>
      <c r="B95" s="22" t="str">
        <f>"00390"</f>
        <v>00390</v>
      </c>
      <c r="C95" s="22" t="str">
        <f t="shared" si="1"/>
        <v>'0390.HK'</v>
      </c>
      <c r="D95" s="22" t="s">
        <v>1077</v>
      </c>
      <c r="E95" s="22" t="s">
        <v>1078</v>
      </c>
      <c r="F95" s="22">
        <v>104460089382.25999</v>
      </c>
      <c r="G95" s="22">
        <v>253</v>
      </c>
      <c r="H95" s="22" t="s">
        <v>1079</v>
      </c>
    </row>
    <row r="96" spans="1:8" x14ac:dyDescent="0.35">
      <c r="A96" s="22" t="s">
        <v>851</v>
      </c>
      <c r="B96" s="22" t="str">
        <f>"00753"</f>
        <v>00753</v>
      </c>
      <c r="C96" s="22" t="str">
        <f t="shared" si="1"/>
        <v>'0753.HK'</v>
      </c>
      <c r="D96" s="22" t="s">
        <v>1080</v>
      </c>
      <c r="E96" s="22" t="s">
        <v>1081</v>
      </c>
      <c r="F96" s="22">
        <v>104142924876.45</v>
      </c>
      <c r="G96" s="22">
        <v>127</v>
      </c>
      <c r="H96" s="22" t="s">
        <v>1082</v>
      </c>
    </row>
    <row r="97" spans="1:8" x14ac:dyDescent="0.35">
      <c r="A97" s="22" t="s">
        <v>851</v>
      </c>
      <c r="B97" s="22" t="str">
        <f>"01038"</f>
        <v>01038</v>
      </c>
      <c r="C97" s="22" t="str">
        <f t="shared" si="1"/>
        <v>'1038.HK'</v>
      </c>
      <c r="D97" s="22" t="s">
        <v>1083</v>
      </c>
      <c r="E97" s="22" t="s">
        <v>1022</v>
      </c>
      <c r="F97" s="22">
        <v>103556009839.5</v>
      </c>
      <c r="G97" s="22">
        <v>108</v>
      </c>
      <c r="H97" s="22" t="s">
        <v>1084</v>
      </c>
    </row>
    <row r="98" spans="1:8" x14ac:dyDescent="0.35">
      <c r="A98" s="22" t="s">
        <v>851</v>
      </c>
      <c r="B98" s="22" t="str">
        <f>"02618"</f>
        <v>02618</v>
      </c>
      <c r="C98" s="22" t="str">
        <f t="shared" si="1"/>
        <v>'2618.HK'</v>
      </c>
      <c r="D98" s="22" t="s">
        <v>1085</v>
      </c>
      <c r="E98" s="22" t="s">
        <v>1086</v>
      </c>
      <c r="F98" s="22">
        <v>102658372372.32001</v>
      </c>
      <c r="G98" s="22">
        <v>82</v>
      </c>
      <c r="H98" s="22" t="s">
        <v>1087</v>
      </c>
    </row>
    <row r="99" spans="1:8" x14ac:dyDescent="0.35">
      <c r="A99" s="22" t="s">
        <v>851</v>
      </c>
      <c r="B99" s="22" t="str">
        <f>"00881"</f>
        <v>00881</v>
      </c>
      <c r="C99" s="22" t="str">
        <f t="shared" si="1"/>
        <v>'0881.HK'</v>
      </c>
      <c r="D99" s="22" t="s">
        <v>1088</v>
      </c>
      <c r="E99" s="22" t="s">
        <v>1089</v>
      </c>
      <c r="F99" s="22">
        <v>100524684993.95</v>
      </c>
      <c r="G99" s="22">
        <v>111</v>
      </c>
      <c r="H99" s="22" t="s">
        <v>1090</v>
      </c>
    </row>
    <row r="100" spans="1:8" x14ac:dyDescent="0.35">
      <c r="A100" s="22" t="s">
        <v>851</v>
      </c>
      <c r="B100" s="22" t="str">
        <f>"01093"</f>
        <v>01093</v>
      </c>
      <c r="C100" s="22" t="str">
        <f t="shared" si="1"/>
        <v>'1093.HK'</v>
      </c>
      <c r="D100" s="22" t="s">
        <v>1091</v>
      </c>
      <c r="E100" s="22" t="s">
        <v>969</v>
      </c>
      <c r="F100" s="22">
        <v>99284388170.240005</v>
      </c>
      <c r="G100" s="22">
        <v>552</v>
      </c>
      <c r="H100" s="22" t="s">
        <v>1092</v>
      </c>
    </row>
    <row r="101" spans="1:8" x14ac:dyDescent="0.35">
      <c r="A101" s="22" t="s">
        <v>851</v>
      </c>
      <c r="B101" s="22" t="str">
        <f>"09626"</f>
        <v>09626</v>
      </c>
      <c r="C101" s="22" t="str">
        <f t="shared" si="1"/>
        <v>'9626.HK'</v>
      </c>
      <c r="D101" s="22" t="s">
        <v>1093</v>
      </c>
      <c r="E101" s="22" t="s">
        <v>910</v>
      </c>
      <c r="F101" s="22">
        <v>97776093096</v>
      </c>
      <c r="G101" s="22">
        <v>175</v>
      </c>
      <c r="H101" s="22" t="s">
        <v>1094</v>
      </c>
    </row>
    <row r="102" spans="1:8" x14ac:dyDescent="0.35">
      <c r="A102" s="22" t="s">
        <v>851</v>
      </c>
      <c r="B102" s="22" t="str">
        <f>"00019"</f>
        <v>00019</v>
      </c>
      <c r="C102" s="22" t="str">
        <f t="shared" si="1"/>
        <v>'0019.HK'</v>
      </c>
      <c r="D102" s="22" t="s">
        <v>1095</v>
      </c>
      <c r="E102" s="22" t="s">
        <v>958</v>
      </c>
      <c r="F102" s="22">
        <v>96985235050</v>
      </c>
      <c r="G102" s="22">
        <v>74</v>
      </c>
      <c r="H102" s="22" t="s">
        <v>1096</v>
      </c>
    </row>
    <row r="103" spans="1:8" x14ac:dyDescent="0.35">
      <c r="A103" s="22" t="s">
        <v>851</v>
      </c>
      <c r="B103" s="22" t="str">
        <f>"01055"</f>
        <v>01055</v>
      </c>
      <c r="C103" s="22" t="str">
        <f t="shared" si="1"/>
        <v>'1055.HK'</v>
      </c>
      <c r="D103" s="22" t="s">
        <v>1097</v>
      </c>
      <c r="E103" s="22" t="s">
        <v>1081</v>
      </c>
      <c r="F103" s="22">
        <v>96040716766.800003</v>
      </c>
      <c r="G103" s="22">
        <v>179</v>
      </c>
      <c r="H103" s="22" t="s">
        <v>1098</v>
      </c>
    </row>
    <row r="104" spans="1:8" x14ac:dyDescent="0.35">
      <c r="A104" s="22" t="s">
        <v>851</v>
      </c>
      <c r="B104" s="22" t="str">
        <f>"01816"</f>
        <v>01816</v>
      </c>
      <c r="C104" s="22" t="str">
        <f t="shared" si="1"/>
        <v>'1816.HK'</v>
      </c>
      <c r="D104" s="22" t="s">
        <v>1099</v>
      </c>
      <c r="E104" s="22" t="s">
        <v>1022</v>
      </c>
      <c r="F104" s="22">
        <v>95947361090</v>
      </c>
      <c r="G104" s="22">
        <v>359</v>
      </c>
      <c r="H104" s="22" t="s">
        <v>1100</v>
      </c>
    </row>
    <row r="105" spans="1:8" x14ac:dyDescent="0.35">
      <c r="A105" s="22" t="s">
        <v>851</v>
      </c>
      <c r="B105" s="22" t="str">
        <f>"09696"</f>
        <v>09696</v>
      </c>
      <c r="C105" s="22" t="str">
        <f t="shared" si="1"/>
        <v>'9696.HK'</v>
      </c>
      <c r="D105" s="22" t="s">
        <v>1101</v>
      </c>
      <c r="E105" s="22" t="s">
        <v>1060</v>
      </c>
      <c r="F105" s="22">
        <v>94698485339.100006</v>
      </c>
      <c r="G105" s="22">
        <v>7</v>
      </c>
      <c r="H105" s="22" t="s">
        <v>1102</v>
      </c>
    </row>
    <row r="106" spans="1:8" x14ac:dyDescent="0.35">
      <c r="A106" s="22" t="s">
        <v>851</v>
      </c>
      <c r="B106" s="22" t="str">
        <f>"01209"</f>
        <v>01209</v>
      </c>
      <c r="C106" s="22" t="str">
        <f t="shared" si="1"/>
        <v>'1209.HK'</v>
      </c>
      <c r="D106" s="22" t="s">
        <v>1103</v>
      </c>
      <c r="E106" s="22" t="s">
        <v>1104</v>
      </c>
      <c r="F106" s="22">
        <v>94609625000</v>
      </c>
      <c r="G106" s="22">
        <v>67</v>
      </c>
      <c r="H106" s="22" t="s">
        <v>1105</v>
      </c>
    </row>
    <row r="107" spans="1:8" x14ac:dyDescent="0.35">
      <c r="A107" s="22" t="s">
        <v>851</v>
      </c>
      <c r="B107" s="22" t="str">
        <f>"02333"</f>
        <v>02333</v>
      </c>
      <c r="C107" s="22" t="str">
        <f t="shared" si="1"/>
        <v>'2333.HK'</v>
      </c>
      <c r="D107" s="22" t="s">
        <v>1106</v>
      </c>
      <c r="E107" s="22" t="s">
        <v>886</v>
      </c>
      <c r="F107" s="22">
        <v>93971682191.520004</v>
      </c>
      <c r="G107" s="22">
        <v>581</v>
      </c>
      <c r="H107" s="22" t="s">
        <v>1107</v>
      </c>
    </row>
    <row r="108" spans="1:8" x14ac:dyDescent="0.35">
      <c r="A108" s="22" t="s">
        <v>851</v>
      </c>
      <c r="B108" s="22" t="str">
        <f>"02338"</f>
        <v>02338</v>
      </c>
      <c r="C108" s="22" t="str">
        <f t="shared" si="1"/>
        <v>'2338.HK'</v>
      </c>
      <c r="D108" s="22" t="s">
        <v>1108</v>
      </c>
      <c r="E108" s="22" t="s">
        <v>1109</v>
      </c>
      <c r="F108" s="22">
        <v>93723220257.539993</v>
      </c>
      <c r="G108" s="22">
        <v>194</v>
      </c>
      <c r="H108" s="22" t="s">
        <v>1110</v>
      </c>
    </row>
    <row r="109" spans="1:8" x14ac:dyDescent="0.35">
      <c r="A109" s="22" t="s">
        <v>851</v>
      </c>
      <c r="B109" s="22" t="str">
        <f>"00316"</f>
        <v>00316</v>
      </c>
      <c r="C109" s="22" t="str">
        <f t="shared" si="1"/>
        <v>'0316.HK'</v>
      </c>
      <c r="D109" s="22" t="s">
        <v>1111</v>
      </c>
      <c r="E109" s="22" t="s">
        <v>1047</v>
      </c>
      <c r="F109" s="22">
        <v>93574896184.899994</v>
      </c>
      <c r="G109" s="22">
        <v>55</v>
      </c>
      <c r="H109" s="22" t="s">
        <v>1112</v>
      </c>
    </row>
    <row r="110" spans="1:8" x14ac:dyDescent="0.35">
      <c r="A110" s="22" t="s">
        <v>851</v>
      </c>
      <c r="B110" s="22" t="str">
        <f>"00006"</f>
        <v>00006</v>
      </c>
      <c r="C110" s="22" t="str">
        <f t="shared" si="1"/>
        <v>'0006.HK'</v>
      </c>
      <c r="D110" s="22" t="s">
        <v>1113</v>
      </c>
      <c r="E110" s="22" t="s">
        <v>1022</v>
      </c>
      <c r="F110" s="22">
        <v>91744076879.699997</v>
      </c>
      <c r="G110" s="22">
        <v>101</v>
      </c>
      <c r="H110" s="22" t="s">
        <v>1114</v>
      </c>
    </row>
    <row r="111" spans="1:8" x14ac:dyDescent="0.35">
      <c r="A111" s="22" t="s">
        <v>851</v>
      </c>
      <c r="B111" s="22" t="str">
        <f>"01766"</f>
        <v>01766</v>
      </c>
      <c r="C111" s="22" t="str">
        <f t="shared" si="1"/>
        <v>'1766.HK'</v>
      </c>
      <c r="D111" s="22" t="s">
        <v>1115</v>
      </c>
      <c r="E111" s="22" t="s">
        <v>1109</v>
      </c>
      <c r="F111" s="22">
        <v>90975399158.960007</v>
      </c>
      <c r="G111" s="22">
        <v>284</v>
      </c>
      <c r="H111" s="22" t="s">
        <v>1116</v>
      </c>
    </row>
    <row r="112" spans="1:8" x14ac:dyDescent="0.35">
      <c r="A112" s="22" t="s">
        <v>851</v>
      </c>
      <c r="B112" s="22" t="str">
        <f>"00241"</f>
        <v>00241</v>
      </c>
      <c r="C112" s="22" t="str">
        <f t="shared" si="1"/>
        <v>'0241.HK'</v>
      </c>
      <c r="D112" s="22" t="s">
        <v>1117</v>
      </c>
      <c r="E112" s="22" t="s">
        <v>969</v>
      </c>
      <c r="F112" s="22">
        <v>89913167329.300003</v>
      </c>
      <c r="G112" s="22">
        <v>284</v>
      </c>
      <c r="H112" s="22" t="s">
        <v>1118</v>
      </c>
    </row>
    <row r="113" spans="1:8" x14ac:dyDescent="0.35">
      <c r="A113" s="22" t="s">
        <v>851</v>
      </c>
      <c r="B113" s="22" t="str">
        <f>"03692"</f>
        <v>03692</v>
      </c>
      <c r="C113" s="22" t="str">
        <f t="shared" si="1"/>
        <v>'3692.HK'</v>
      </c>
      <c r="D113" s="22" t="s">
        <v>1119</v>
      </c>
      <c r="E113" s="22" t="s">
        <v>969</v>
      </c>
      <c r="F113" s="22">
        <v>89427486057</v>
      </c>
      <c r="G113" s="22">
        <v>162</v>
      </c>
      <c r="H113" s="22" t="s">
        <v>1120</v>
      </c>
    </row>
    <row r="114" spans="1:8" x14ac:dyDescent="0.35">
      <c r="A114" s="22" t="s">
        <v>851</v>
      </c>
      <c r="B114" s="22" t="str">
        <f>"03606"</f>
        <v>03606</v>
      </c>
      <c r="C114" s="22" t="str">
        <f t="shared" si="1"/>
        <v>'3606.HK'</v>
      </c>
      <c r="D114" s="22" t="s">
        <v>1121</v>
      </c>
      <c r="E114" s="22" t="s">
        <v>1122</v>
      </c>
      <c r="F114" s="22">
        <v>87556895498.600006</v>
      </c>
      <c r="G114" s="22">
        <v>367</v>
      </c>
      <c r="H114" s="22" t="s">
        <v>1123</v>
      </c>
    </row>
    <row r="115" spans="1:8" x14ac:dyDescent="0.35">
      <c r="A115" s="22" t="s">
        <v>851</v>
      </c>
      <c r="B115" s="22" t="str">
        <f>"01177"</f>
        <v>01177</v>
      </c>
      <c r="C115" s="22" t="str">
        <f t="shared" si="1"/>
        <v>'1177.HK'</v>
      </c>
      <c r="D115" s="22" t="s">
        <v>1124</v>
      </c>
      <c r="E115" s="22" t="s">
        <v>969</v>
      </c>
      <c r="F115" s="22">
        <v>87108205274.899994</v>
      </c>
      <c r="G115" s="22">
        <v>603</v>
      </c>
      <c r="H115" s="22" t="s">
        <v>1125</v>
      </c>
    </row>
    <row r="116" spans="1:8" x14ac:dyDescent="0.35">
      <c r="A116" s="22" t="s">
        <v>851</v>
      </c>
      <c r="B116" s="22" t="str">
        <f>"00916"</f>
        <v>00916</v>
      </c>
      <c r="C116" s="22" t="str">
        <f t="shared" si="1"/>
        <v>'0916.HK'</v>
      </c>
      <c r="D116" s="22" t="s">
        <v>1126</v>
      </c>
      <c r="E116" s="22" t="s">
        <v>1127</v>
      </c>
      <c r="F116" s="22">
        <v>86334220589.199997</v>
      </c>
      <c r="G116" s="22">
        <v>104</v>
      </c>
      <c r="H116" s="22" t="s">
        <v>1128</v>
      </c>
    </row>
    <row r="117" spans="1:8" x14ac:dyDescent="0.35">
      <c r="A117" s="22" t="s">
        <v>851</v>
      </c>
      <c r="B117" s="22" t="str">
        <f>"01776"</f>
        <v>01776</v>
      </c>
      <c r="C117" s="22" t="str">
        <f t="shared" si="1"/>
        <v>'1776.HK'</v>
      </c>
      <c r="D117" s="22" t="s">
        <v>1129</v>
      </c>
      <c r="E117" s="22" t="s">
        <v>1130</v>
      </c>
      <c r="F117" s="22">
        <v>85661025343.360001</v>
      </c>
      <c r="G117" s="22">
        <v>210</v>
      </c>
      <c r="H117" s="22" t="s">
        <v>1131</v>
      </c>
    </row>
    <row r="118" spans="1:8" x14ac:dyDescent="0.35">
      <c r="A118" s="22" t="s">
        <v>851</v>
      </c>
      <c r="B118" s="22" t="str">
        <f>"01898"</f>
        <v>01898</v>
      </c>
      <c r="C118" s="22" t="str">
        <f t="shared" si="1"/>
        <v>'1898.HK'</v>
      </c>
      <c r="D118" s="22" t="s">
        <v>1132</v>
      </c>
      <c r="E118" s="22" t="s">
        <v>904</v>
      </c>
      <c r="F118" s="22">
        <v>85385792296</v>
      </c>
      <c r="G118" s="22">
        <v>159</v>
      </c>
      <c r="H118" s="22" t="s">
        <v>1133</v>
      </c>
    </row>
    <row r="119" spans="1:8" x14ac:dyDescent="0.35">
      <c r="A119" s="22" t="s">
        <v>851</v>
      </c>
      <c r="B119" s="22" t="str">
        <f>"00763"</f>
        <v>00763</v>
      </c>
      <c r="C119" s="22" t="str">
        <f t="shared" si="1"/>
        <v>'0763.HK'</v>
      </c>
      <c r="D119" s="22" t="s">
        <v>1134</v>
      </c>
      <c r="E119" s="22" t="s">
        <v>938</v>
      </c>
      <c r="F119" s="22">
        <v>84776413893.199997</v>
      </c>
      <c r="G119" s="22">
        <v>185</v>
      </c>
      <c r="H119" s="22" t="s">
        <v>1135</v>
      </c>
    </row>
    <row r="120" spans="1:8" x14ac:dyDescent="0.35">
      <c r="A120" s="22" t="s">
        <v>851</v>
      </c>
      <c r="B120" s="22" t="str">
        <f>"00083"</f>
        <v>00083</v>
      </c>
      <c r="C120" s="22" t="str">
        <f t="shared" si="1"/>
        <v>'0083.HK'</v>
      </c>
      <c r="D120" s="22" t="s">
        <v>1136</v>
      </c>
      <c r="E120" s="22" t="s">
        <v>924</v>
      </c>
      <c r="F120" s="22">
        <v>81579973028.839996</v>
      </c>
      <c r="G120" s="22">
        <v>78</v>
      </c>
      <c r="H120" s="22" t="s">
        <v>1137</v>
      </c>
    </row>
    <row r="121" spans="1:8" x14ac:dyDescent="0.35">
      <c r="A121" s="22" t="s">
        <v>851</v>
      </c>
      <c r="B121" s="22" t="str">
        <f>"03993"</f>
        <v>03993</v>
      </c>
      <c r="C121" s="22" t="str">
        <f t="shared" si="1"/>
        <v>'3993.HK'</v>
      </c>
      <c r="D121" s="22" t="s">
        <v>1138</v>
      </c>
      <c r="E121" s="22" t="s">
        <v>1060</v>
      </c>
      <c r="F121" s="22">
        <v>79917190157.100006</v>
      </c>
      <c r="G121" s="22">
        <v>102</v>
      </c>
      <c r="H121" s="22" t="s">
        <v>1139</v>
      </c>
    </row>
    <row r="122" spans="1:8" x14ac:dyDescent="0.35">
      <c r="A122" s="22" t="s">
        <v>851</v>
      </c>
      <c r="B122" s="22" t="str">
        <f>"03347"</f>
        <v>03347</v>
      </c>
      <c r="C122" s="22" t="str">
        <f t="shared" si="1"/>
        <v>'3347.HK'</v>
      </c>
      <c r="D122" s="22" t="s">
        <v>1140</v>
      </c>
      <c r="E122" s="22" t="s">
        <v>941</v>
      </c>
      <c r="F122" s="22">
        <v>79913508952</v>
      </c>
      <c r="G122" s="22">
        <v>114</v>
      </c>
      <c r="H122" s="22" t="s">
        <v>1141</v>
      </c>
    </row>
    <row r="123" spans="1:8" x14ac:dyDescent="0.35">
      <c r="A123" s="22" t="s">
        <v>851</v>
      </c>
      <c r="B123" s="22" t="str">
        <f>"00836"</f>
        <v>00836</v>
      </c>
      <c r="C123" s="22" t="str">
        <f t="shared" si="1"/>
        <v>'0836.HK'</v>
      </c>
      <c r="D123" s="22" t="s">
        <v>1142</v>
      </c>
      <c r="E123" s="22" t="s">
        <v>1022</v>
      </c>
      <c r="F123" s="22">
        <v>79757157209.199997</v>
      </c>
      <c r="G123" s="22">
        <v>207</v>
      </c>
      <c r="H123" s="22" t="s">
        <v>1143</v>
      </c>
    </row>
    <row r="124" spans="1:8" x14ac:dyDescent="0.35">
      <c r="A124" s="22" t="s">
        <v>851</v>
      </c>
      <c r="B124" s="22" t="str">
        <f>"00968"</f>
        <v>00968</v>
      </c>
      <c r="C124" s="22" t="str">
        <f t="shared" si="1"/>
        <v>'0968.HK'</v>
      </c>
      <c r="D124" s="22" t="s">
        <v>1144</v>
      </c>
      <c r="E124" s="22" t="s">
        <v>1145</v>
      </c>
      <c r="F124" s="22">
        <v>79263229361.580002</v>
      </c>
      <c r="G124" s="22">
        <v>177</v>
      </c>
      <c r="H124" s="22" t="s">
        <v>1146</v>
      </c>
    </row>
    <row r="125" spans="1:8" x14ac:dyDescent="0.35">
      <c r="A125" s="22" t="s">
        <v>851</v>
      </c>
      <c r="B125" s="22" t="str">
        <f>"00322"</f>
        <v>00322</v>
      </c>
      <c r="C125" s="22" t="str">
        <f t="shared" si="1"/>
        <v>'0322.HK'</v>
      </c>
      <c r="D125" s="22" t="s">
        <v>1147</v>
      </c>
      <c r="E125" s="22" t="s">
        <v>892</v>
      </c>
      <c r="F125" s="22">
        <v>78990984327.199997</v>
      </c>
      <c r="G125" s="22">
        <v>147</v>
      </c>
      <c r="H125" s="22" t="s">
        <v>1148</v>
      </c>
    </row>
    <row r="126" spans="1:8" x14ac:dyDescent="0.35">
      <c r="A126" s="22" t="s">
        <v>851</v>
      </c>
      <c r="B126" s="22" t="str">
        <f>"06886"</f>
        <v>06886</v>
      </c>
      <c r="C126" s="22" t="str">
        <f t="shared" si="1"/>
        <v>'6886.HK'</v>
      </c>
      <c r="D126" s="22" t="s">
        <v>1149</v>
      </c>
      <c r="E126" s="22" t="s">
        <v>1130</v>
      </c>
      <c r="F126" s="22">
        <v>78957624534.899994</v>
      </c>
      <c r="G126" s="22">
        <v>334</v>
      </c>
      <c r="H126" s="22" t="s">
        <v>1150</v>
      </c>
    </row>
    <row r="127" spans="1:8" x14ac:dyDescent="0.35">
      <c r="A127" s="22" t="s">
        <v>851</v>
      </c>
      <c r="B127" s="22" t="str">
        <f>"00992"</f>
        <v>00992</v>
      </c>
      <c r="C127" s="22" t="str">
        <f t="shared" si="1"/>
        <v>'0992.HK'</v>
      </c>
      <c r="D127" s="22" t="s">
        <v>1151</v>
      </c>
      <c r="E127" s="22" t="s">
        <v>1152</v>
      </c>
      <c r="F127" s="22">
        <v>78711565588.589996</v>
      </c>
      <c r="G127" s="22">
        <v>167</v>
      </c>
      <c r="H127" s="22" t="s">
        <v>1153</v>
      </c>
    </row>
    <row r="128" spans="1:8" x14ac:dyDescent="0.35">
      <c r="A128" s="22" t="s">
        <v>851</v>
      </c>
      <c r="B128" s="22" t="str">
        <f>"02611"</f>
        <v>02611</v>
      </c>
      <c r="C128" s="22" t="str">
        <f t="shared" si="1"/>
        <v>'2611.HK'</v>
      </c>
      <c r="D128" s="22" t="s">
        <v>1154</v>
      </c>
      <c r="E128" s="22" t="s">
        <v>1130</v>
      </c>
      <c r="F128" s="22">
        <v>78378714251.199997</v>
      </c>
      <c r="G128" s="22">
        <v>156</v>
      </c>
      <c r="H128" s="22" t="s">
        <v>1155</v>
      </c>
    </row>
    <row r="129" spans="1:8" x14ac:dyDescent="0.35">
      <c r="A129" s="22" t="s">
        <v>851</v>
      </c>
      <c r="B129" s="22" t="str">
        <f>"00087"</f>
        <v>00087</v>
      </c>
      <c r="C129" s="22" t="str">
        <f t="shared" si="1"/>
        <v>'0087.HK'</v>
      </c>
      <c r="D129" s="22" t="s">
        <v>1156</v>
      </c>
      <c r="E129" s="22" t="s">
        <v>958</v>
      </c>
      <c r="F129" s="22">
        <v>75465272850</v>
      </c>
      <c r="G129" s="22">
        <v>78</v>
      </c>
      <c r="H129" s="22" t="s">
        <v>1157</v>
      </c>
    </row>
    <row r="130" spans="1:8" x14ac:dyDescent="0.35">
      <c r="A130" s="22" t="s">
        <v>851</v>
      </c>
      <c r="B130" s="22" t="str">
        <f>"02007"</f>
        <v>02007</v>
      </c>
      <c r="C130" s="22" t="str">
        <f t="shared" si="1"/>
        <v>'2007.HK'</v>
      </c>
      <c r="D130" s="22" t="s">
        <v>1158</v>
      </c>
      <c r="E130" s="22" t="s">
        <v>924</v>
      </c>
      <c r="F130" s="22">
        <v>74345795571.800003</v>
      </c>
      <c r="G130" s="22">
        <v>675</v>
      </c>
      <c r="H130" s="22" t="s">
        <v>1159</v>
      </c>
    </row>
    <row r="131" spans="1:8" x14ac:dyDescent="0.35">
      <c r="A131" s="22" t="s">
        <v>851</v>
      </c>
      <c r="B131" s="22" t="str">
        <f>"01821"</f>
        <v>01821</v>
      </c>
      <c r="C131" s="22" t="str">
        <f t="shared" ref="C131:C194" si="2">CONCATENATE("'",RIGHT(B131,4),".HK'")</f>
        <v>'1821.HK'</v>
      </c>
      <c r="D131" s="22" t="s">
        <v>1160</v>
      </c>
      <c r="E131" s="22" t="s">
        <v>964</v>
      </c>
      <c r="F131" s="22">
        <v>74028702574.080002</v>
      </c>
      <c r="G131" s="22">
        <v>11</v>
      </c>
      <c r="H131" s="22" t="s">
        <v>1161</v>
      </c>
    </row>
    <row r="132" spans="1:8" x14ac:dyDescent="0.35">
      <c r="A132" s="22" t="s">
        <v>851</v>
      </c>
      <c r="B132" s="22" t="str">
        <f>"06823"</f>
        <v>06823</v>
      </c>
      <c r="C132" s="22" t="str">
        <f t="shared" si="2"/>
        <v>'6823.HK'</v>
      </c>
      <c r="D132" s="22" t="s">
        <v>1162</v>
      </c>
      <c r="E132" s="22" t="s">
        <v>865</v>
      </c>
      <c r="F132" s="22">
        <v>73978285179.839996</v>
      </c>
      <c r="G132" s="22">
        <v>30</v>
      </c>
      <c r="H132" s="22" t="s">
        <v>1163</v>
      </c>
    </row>
    <row r="133" spans="1:8" x14ac:dyDescent="0.35">
      <c r="A133" s="22" t="s">
        <v>851</v>
      </c>
      <c r="B133" s="22" t="str">
        <f>"00020"</f>
        <v>00020</v>
      </c>
      <c r="C133" s="22" t="str">
        <f t="shared" si="2"/>
        <v>'0020.HK'</v>
      </c>
      <c r="D133" s="22" t="s">
        <v>1164</v>
      </c>
      <c r="E133" s="22" t="s">
        <v>910</v>
      </c>
      <c r="F133" s="22">
        <v>73366533000</v>
      </c>
      <c r="G133" s="22">
        <v>73</v>
      </c>
      <c r="H133" s="22" t="s">
        <v>1165</v>
      </c>
    </row>
    <row r="134" spans="1:8" x14ac:dyDescent="0.35">
      <c r="A134" s="22" t="s">
        <v>851</v>
      </c>
      <c r="B134" s="22" t="str">
        <f>"06969"</f>
        <v>06969</v>
      </c>
      <c r="C134" s="22" t="str">
        <f t="shared" si="2"/>
        <v>'6969.HK'</v>
      </c>
      <c r="D134" s="22" t="s">
        <v>1166</v>
      </c>
      <c r="E134" s="22" t="s">
        <v>1167</v>
      </c>
      <c r="F134" s="22">
        <v>73300694713.199997</v>
      </c>
      <c r="G134" s="22">
        <v>339</v>
      </c>
      <c r="H134" s="22" t="s">
        <v>1168</v>
      </c>
    </row>
    <row r="135" spans="1:8" x14ac:dyDescent="0.35">
      <c r="A135" s="22" t="s">
        <v>851</v>
      </c>
      <c r="B135" s="22" t="str">
        <f>"03908"</f>
        <v>03908</v>
      </c>
      <c r="C135" s="22" t="str">
        <f t="shared" si="2"/>
        <v>'3908.HK'</v>
      </c>
      <c r="D135" s="22" t="s">
        <v>1169</v>
      </c>
      <c r="E135" s="22" t="s">
        <v>1130</v>
      </c>
      <c r="F135" s="22">
        <v>71443401646.399994</v>
      </c>
      <c r="G135" s="22">
        <v>147</v>
      </c>
      <c r="H135" s="22" t="s">
        <v>1170</v>
      </c>
    </row>
    <row r="136" spans="1:8" x14ac:dyDescent="0.35">
      <c r="A136" s="22" t="s">
        <v>851</v>
      </c>
      <c r="B136" s="22" t="str">
        <f>"09868"</f>
        <v>09868</v>
      </c>
      <c r="C136" s="22" t="str">
        <f t="shared" si="2"/>
        <v>'9868.HK'</v>
      </c>
      <c r="D136" s="22" t="s">
        <v>1171</v>
      </c>
      <c r="E136" s="22" t="s">
        <v>886</v>
      </c>
      <c r="F136" s="22">
        <v>71345375015.600006</v>
      </c>
      <c r="G136" s="22">
        <v>77</v>
      </c>
      <c r="H136" s="22" t="s">
        <v>1172</v>
      </c>
    </row>
    <row r="137" spans="1:8" x14ac:dyDescent="0.35">
      <c r="A137" s="22" t="s">
        <v>851</v>
      </c>
      <c r="B137" s="22" t="str">
        <f>"01378"</f>
        <v>01378</v>
      </c>
      <c r="C137" s="22" t="str">
        <f t="shared" si="2"/>
        <v>'1378.HK'</v>
      </c>
      <c r="D137" s="22" t="s">
        <v>1173</v>
      </c>
      <c r="E137" s="22" t="s">
        <v>1174</v>
      </c>
      <c r="F137" s="22">
        <v>71256048956</v>
      </c>
      <c r="G137" s="22">
        <v>160</v>
      </c>
      <c r="H137" s="22" t="s">
        <v>1175</v>
      </c>
    </row>
    <row r="138" spans="1:8" x14ac:dyDescent="0.35">
      <c r="A138" s="22" t="s">
        <v>851</v>
      </c>
      <c r="B138" s="22" t="str">
        <f>"00101"</f>
        <v>00101</v>
      </c>
      <c r="C138" s="22" t="str">
        <f t="shared" si="2"/>
        <v>'0101.HK'</v>
      </c>
      <c r="D138" s="22" t="s">
        <v>1176</v>
      </c>
      <c r="E138" s="22" t="s">
        <v>1028</v>
      </c>
      <c r="F138" s="22">
        <v>70908348159.199997</v>
      </c>
      <c r="G138" s="22">
        <v>113</v>
      </c>
      <c r="H138" s="22" t="s">
        <v>1177</v>
      </c>
    </row>
    <row r="139" spans="1:8" x14ac:dyDescent="0.35">
      <c r="A139" s="22" t="s">
        <v>851</v>
      </c>
      <c r="B139" s="22" t="str">
        <f>"00004"</f>
        <v>00004</v>
      </c>
      <c r="C139" s="22" t="str">
        <f t="shared" si="2"/>
        <v>'0004.HK'</v>
      </c>
      <c r="D139" s="22" t="s">
        <v>1178</v>
      </c>
      <c r="E139" s="22" t="s">
        <v>924</v>
      </c>
      <c r="F139" s="22">
        <v>70747032620.050003</v>
      </c>
      <c r="G139" s="22">
        <v>101</v>
      </c>
      <c r="H139" s="22" t="s">
        <v>1179</v>
      </c>
    </row>
    <row r="140" spans="1:8" x14ac:dyDescent="0.35">
      <c r="A140" s="22" t="s">
        <v>851</v>
      </c>
      <c r="B140" s="22" t="str">
        <f>"01193"</f>
        <v>01193</v>
      </c>
      <c r="C140" s="22" t="str">
        <f t="shared" si="2"/>
        <v>'1193.HK'</v>
      </c>
      <c r="D140" s="22" t="s">
        <v>1180</v>
      </c>
      <c r="E140" s="22" t="s">
        <v>1031</v>
      </c>
      <c r="F140" s="22">
        <v>68494780981.599998</v>
      </c>
      <c r="G140" s="22">
        <v>149</v>
      </c>
      <c r="H140" s="22" t="s">
        <v>1181</v>
      </c>
    </row>
    <row r="141" spans="1:8" x14ac:dyDescent="0.35">
      <c r="A141" s="22" t="s">
        <v>851</v>
      </c>
      <c r="B141" s="22" t="str">
        <f>"02196"</f>
        <v>02196</v>
      </c>
      <c r="C141" s="22" t="str">
        <f t="shared" si="2"/>
        <v>'2196.HK'</v>
      </c>
      <c r="D141" s="22" t="s">
        <v>1182</v>
      </c>
      <c r="E141" s="22" t="s">
        <v>969</v>
      </c>
      <c r="F141" s="22">
        <v>68407209241.599998</v>
      </c>
      <c r="G141" s="22">
        <v>309</v>
      </c>
      <c r="H141" s="22" t="s">
        <v>1183</v>
      </c>
    </row>
    <row r="142" spans="1:8" x14ac:dyDescent="0.35">
      <c r="A142" s="22" t="s">
        <v>851</v>
      </c>
      <c r="B142" s="22" t="str">
        <f>"01698"</f>
        <v>01698</v>
      </c>
      <c r="C142" s="22" t="str">
        <f t="shared" si="2"/>
        <v>'1698.HK'</v>
      </c>
      <c r="D142" s="22" t="s">
        <v>1184</v>
      </c>
      <c r="E142" s="22" t="s">
        <v>1185</v>
      </c>
      <c r="F142" s="22">
        <v>67437500000</v>
      </c>
      <c r="G142" s="22">
        <v>3</v>
      </c>
      <c r="H142" s="22" t="s">
        <v>1186</v>
      </c>
    </row>
    <row r="143" spans="1:8" x14ac:dyDescent="0.35">
      <c r="A143" s="22" t="s">
        <v>851</v>
      </c>
      <c r="B143" s="22" t="str">
        <f>"01787"</f>
        <v>01787</v>
      </c>
      <c r="C143" s="22" t="str">
        <f t="shared" si="2"/>
        <v>'1787.HK'</v>
      </c>
      <c r="D143" s="22" t="s">
        <v>1187</v>
      </c>
      <c r="E143" s="22" t="s">
        <v>929</v>
      </c>
      <c r="F143" s="22">
        <v>67101442875</v>
      </c>
      <c r="G143" s="22">
        <v>72</v>
      </c>
      <c r="H143" s="22" t="s">
        <v>1188</v>
      </c>
    </row>
    <row r="144" spans="1:8" x14ac:dyDescent="0.35">
      <c r="A144" s="22" t="s">
        <v>851</v>
      </c>
      <c r="B144" s="22" t="str">
        <f>"06099"</f>
        <v>06099</v>
      </c>
      <c r="C144" s="22" t="str">
        <f t="shared" si="2"/>
        <v>'6099.HK'</v>
      </c>
      <c r="D144" s="22" t="s">
        <v>1189</v>
      </c>
      <c r="E144" s="22" t="s">
        <v>1130</v>
      </c>
      <c r="F144" s="22">
        <v>66702360602.019997</v>
      </c>
      <c r="G144" s="22">
        <v>158</v>
      </c>
      <c r="H144" s="22" t="s">
        <v>1190</v>
      </c>
    </row>
    <row r="145" spans="1:8" x14ac:dyDescent="0.35">
      <c r="A145" s="22" t="s">
        <v>851</v>
      </c>
      <c r="B145" s="22" t="str">
        <f>"03759"</f>
        <v>03759</v>
      </c>
      <c r="C145" s="22" t="str">
        <f t="shared" si="2"/>
        <v>'3759.HK'</v>
      </c>
      <c r="D145" s="22" t="s">
        <v>1191</v>
      </c>
      <c r="E145" s="22" t="s">
        <v>969</v>
      </c>
      <c r="F145" s="22">
        <v>66461573698.199997</v>
      </c>
      <c r="G145" s="22">
        <v>82</v>
      </c>
      <c r="H145" s="22" t="s">
        <v>1192</v>
      </c>
    </row>
    <row r="146" spans="1:8" x14ac:dyDescent="0.35">
      <c r="A146" s="22" t="s">
        <v>851</v>
      </c>
      <c r="B146" s="22" t="str">
        <f>"01186"</f>
        <v>01186</v>
      </c>
      <c r="C146" s="22" t="str">
        <f t="shared" si="2"/>
        <v>'1186.HK'</v>
      </c>
      <c r="D146" s="22" t="s">
        <v>1193</v>
      </c>
      <c r="E146" s="22" t="s">
        <v>1078</v>
      </c>
      <c r="F146" s="22">
        <v>66403957935</v>
      </c>
      <c r="G146" s="22">
        <v>328</v>
      </c>
      <c r="H146" s="22" t="s">
        <v>1194</v>
      </c>
    </row>
    <row r="147" spans="1:8" x14ac:dyDescent="0.35">
      <c r="A147" s="22" t="s">
        <v>851</v>
      </c>
      <c r="B147" s="22" t="str">
        <f>"06098"</f>
        <v>06098</v>
      </c>
      <c r="C147" s="22" t="str">
        <f t="shared" si="2"/>
        <v>'6098.HK'</v>
      </c>
      <c r="D147" s="22" t="s">
        <v>1195</v>
      </c>
      <c r="E147" s="22" t="s">
        <v>1104</v>
      </c>
      <c r="F147" s="22">
        <v>65371208818.199997</v>
      </c>
      <c r="G147" s="22">
        <v>272</v>
      </c>
      <c r="H147" s="22" t="s">
        <v>1196</v>
      </c>
    </row>
    <row r="148" spans="1:8" x14ac:dyDescent="0.35">
      <c r="A148" s="22" t="s">
        <v>851</v>
      </c>
      <c r="B148" s="22" t="str">
        <f>"00902"</f>
        <v>00902</v>
      </c>
      <c r="C148" s="22" t="str">
        <f t="shared" si="2"/>
        <v>'0902.HK'</v>
      </c>
      <c r="D148" s="22" t="s">
        <v>1197</v>
      </c>
      <c r="E148" s="22" t="s">
        <v>1022</v>
      </c>
      <c r="F148" s="22">
        <v>63734259037.540001</v>
      </c>
      <c r="G148" s="22">
        <v>298</v>
      </c>
      <c r="H148" s="22" t="s">
        <v>1198</v>
      </c>
    </row>
    <row r="149" spans="1:8" x14ac:dyDescent="0.35">
      <c r="A149" s="22" t="s">
        <v>851</v>
      </c>
      <c r="B149" s="22" t="str">
        <f>"01099"</f>
        <v>01099</v>
      </c>
      <c r="C149" s="22" t="str">
        <f t="shared" si="2"/>
        <v>'1099.HK'</v>
      </c>
      <c r="D149" s="22" t="s">
        <v>1199</v>
      </c>
      <c r="E149" s="22" t="s">
        <v>969</v>
      </c>
      <c r="F149" s="22">
        <v>63505353486.849998</v>
      </c>
      <c r="G149" s="22">
        <v>289</v>
      </c>
      <c r="H149" s="22" t="s">
        <v>1200</v>
      </c>
    </row>
    <row r="150" spans="1:8" x14ac:dyDescent="0.35">
      <c r="A150" s="22" t="s">
        <v>851</v>
      </c>
      <c r="B150" s="22" t="str">
        <f>"00268"</f>
        <v>00268</v>
      </c>
      <c r="C150" s="22" t="str">
        <f t="shared" si="2"/>
        <v>'0268.HK'</v>
      </c>
      <c r="D150" s="22" t="s">
        <v>1201</v>
      </c>
      <c r="E150" s="22" t="s">
        <v>1202</v>
      </c>
      <c r="F150" s="22">
        <v>62949772790.519997</v>
      </c>
      <c r="G150" s="22">
        <v>215</v>
      </c>
      <c r="H150" s="22" t="s">
        <v>1203</v>
      </c>
    </row>
    <row r="151" spans="1:8" x14ac:dyDescent="0.35">
      <c r="A151" s="22" t="s">
        <v>851</v>
      </c>
      <c r="B151" s="22" t="str">
        <f>"00151"</f>
        <v>00151</v>
      </c>
      <c r="C151" s="22" t="str">
        <f t="shared" si="2"/>
        <v>'0151.HK'</v>
      </c>
      <c r="D151" s="22" t="s">
        <v>1204</v>
      </c>
      <c r="E151" s="22" t="s">
        <v>1205</v>
      </c>
      <c r="F151" s="22">
        <v>62864921834.150002</v>
      </c>
      <c r="G151" s="22">
        <v>153</v>
      </c>
      <c r="H151" s="22" t="s">
        <v>1206</v>
      </c>
    </row>
    <row r="152" spans="1:8" x14ac:dyDescent="0.35">
      <c r="A152" s="22" t="s">
        <v>851</v>
      </c>
      <c r="B152" s="22" t="str">
        <f>"06837"</f>
        <v>06837</v>
      </c>
      <c r="C152" s="22" t="str">
        <f t="shared" si="2"/>
        <v>'6837.HK'</v>
      </c>
      <c r="D152" s="22" t="s">
        <v>1207</v>
      </c>
      <c r="E152" s="22" t="s">
        <v>1130</v>
      </c>
      <c r="F152" s="22">
        <v>62708160000</v>
      </c>
      <c r="G152" s="22">
        <v>317</v>
      </c>
      <c r="H152" s="22" t="s">
        <v>1208</v>
      </c>
    </row>
    <row r="153" spans="1:8" x14ac:dyDescent="0.35">
      <c r="A153" s="22" t="s">
        <v>851</v>
      </c>
      <c r="B153" s="22" t="str">
        <f>"00384"</f>
        <v>00384</v>
      </c>
      <c r="C153" s="22" t="str">
        <f t="shared" si="2"/>
        <v>'0384.HK'</v>
      </c>
      <c r="D153" s="22" t="s">
        <v>1209</v>
      </c>
      <c r="E153" s="22" t="s">
        <v>1031</v>
      </c>
      <c r="F153" s="22">
        <v>62455054662.559998</v>
      </c>
      <c r="G153" s="22">
        <v>166</v>
      </c>
      <c r="H153" s="22" t="s">
        <v>1210</v>
      </c>
    </row>
    <row r="154" spans="1:8" x14ac:dyDescent="0.35">
      <c r="A154" s="22" t="s">
        <v>851</v>
      </c>
      <c r="B154" s="22" t="str">
        <f>"01800"</f>
        <v>01800</v>
      </c>
      <c r="C154" s="22" t="str">
        <f t="shared" si="2"/>
        <v>'1800.HK'</v>
      </c>
      <c r="D154" s="22" t="s">
        <v>1211</v>
      </c>
      <c r="E154" s="22" t="s">
        <v>1078</v>
      </c>
      <c r="F154" s="22">
        <v>62237988986.25</v>
      </c>
      <c r="G154" s="22">
        <v>318</v>
      </c>
      <c r="H154" s="22" t="s">
        <v>1212</v>
      </c>
    </row>
    <row r="155" spans="1:8" x14ac:dyDescent="0.35">
      <c r="A155" s="22" t="s">
        <v>851</v>
      </c>
      <c r="B155" s="22" t="str">
        <f>"06963"</f>
        <v>06963</v>
      </c>
      <c r="C155" s="22" t="str">
        <f t="shared" si="2"/>
        <v>'6963.HK'</v>
      </c>
      <c r="D155" s="22" t="s">
        <v>1213</v>
      </c>
      <c r="E155" s="22" t="s">
        <v>870</v>
      </c>
      <c r="F155" s="22">
        <v>62108208000</v>
      </c>
      <c r="H155" s="22" t="s">
        <v>1214</v>
      </c>
    </row>
    <row r="156" spans="1:8" x14ac:dyDescent="0.35">
      <c r="A156" s="22" t="s">
        <v>851</v>
      </c>
      <c r="B156" s="22" t="str">
        <f>"06186"</f>
        <v>06186</v>
      </c>
      <c r="C156" s="22" t="str">
        <f t="shared" si="2"/>
        <v>'6186.HK'</v>
      </c>
      <c r="D156" s="22" t="s">
        <v>1215</v>
      </c>
      <c r="E156" s="22" t="s">
        <v>1019</v>
      </c>
      <c r="F156" s="22">
        <v>61585497453.120003</v>
      </c>
      <c r="G156" s="22">
        <v>466</v>
      </c>
      <c r="H156" s="22" t="s">
        <v>1216</v>
      </c>
    </row>
    <row r="157" spans="1:8" x14ac:dyDescent="0.35">
      <c r="A157" s="22" t="s">
        <v>851</v>
      </c>
      <c r="B157" s="22" t="str">
        <f>"01336"</f>
        <v>01336</v>
      </c>
      <c r="C157" s="22" t="str">
        <f t="shared" si="2"/>
        <v>'1336.HK'</v>
      </c>
      <c r="D157" s="22" t="s">
        <v>1217</v>
      </c>
      <c r="E157" s="22" t="s">
        <v>870</v>
      </c>
      <c r="F157" s="22">
        <v>61579849884</v>
      </c>
      <c r="G157" s="22">
        <v>671</v>
      </c>
      <c r="H157" s="22" t="s">
        <v>1218</v>
      </c>
    </row>
    <row r="158" spans="1:8" x14ac:dyDescent="0.35">
      <c r="A158" s="22" t="s">
        <v>851</v>
      </c>
      <c r="B158" s="22" t="str">
        <f>"02602"</f>
        <v>02602</v>
      </c>
      <c r="C158" s="22" t="str">
        <f t="shared" si="2"/>
        <v>'2602.HK'</v>
      </c>
      <c r="D158" s="22" t="s">
        <v>1219</v>
      </c>
      <c r="E158" s="22" t="s">
        <v>1104</v>
      </c>
      <c r="F158" s="22">
        <v>61398219270</v>
      </c>
      <c r="G158" s="22">
        <v>9</v>
      </c>
      <c r="H158" s="22" t="s">
        <v>1220</v>
      </c>
    </row>
    <row r="159" spans="1:8" x14ac:dyDescent="0.35">
      <c r="A159" s="22" t="s">
        <v>851</v>
      </c>
      <c r="B159" s="22" t="str">
        <f>"00670"</f>
        <v>00670</v>
      </c>
      <c r="C159" s="22" t="str">
        <f t="shared" si="2"/>
        <v>'0670.HK'</v>
      </c>
      <c r="D159" s="22" t="s">
        <v>1221</v>
      </c>
      <c r="E159" s="22" t="s">
        <v>1081</v>
      </c>
      <c r="F159" s="22">
        <v>61341930253.5</v>
      </c>
      <c r="G159" s="22">
        <v>101</v>
      </c>
      <c r="H159" s="22" t="s">
        <v>1222</v>
      </c>
    </row>
    <row r="160" spans="1:8" x14ac:dyDescent="0.35">
      <c r="A160" s="22" t="s">
        <v>851</v>
      </c>
      <c r="B160" s="22" t="str">
        <f>"00868"</f>
        <v>00868</v>
      </c>
      <c r="C160" s="22" t="str">
        <f t="shared" si="2"/>
        <v>'0868.HK'</v>
      </c>
      <c r="D160" s="22" t="s">
        <v>1223</v>
      </c>
      <c r="E160" s="22" t="s">
        <v>1224</v>
      </c>
      <c r="F160" s="22">
        <v>61282496430.839996</v>
      </c>
      <c r="G160" s="22">
        <v>185</v>
      </c>
      <c r="H160" s="22" t="s">
        <v>1225</v>
      </c>
    </row>
    <row r="161" spans="1:8" x14ac:dyDescent="0.35">
      <c r="A161" s="22" t="s">
        <v>851</v>
      </c>
      <c r="B161" s="22" t="str">
        <f>"00486"</f>
        <v>00486</v>
      </c>
      <c r="C161" s="22" t="str">
        <f t="shared" si="2"/>
        <v>'0486.HK'</v>
      </c>
      <c r="D161" s="22" t="s">
        <v>1226</v>
      </c>
      <c r="E161" s="22" t="s">
        <v>1174</v>
      </c>
      <c r="F161" s="22">
        <v>59860478556.279999</v>
      </c>
      <c r="G161" s="22">
        <v>34</v>
      </c>
      <c r="H161" s="22" t="s">
        <v>1227</v>
      </c>
    </row>
    <row r="162" spans="1:8" x14ac:dyDescent="0.35">
      <c r="A162" s="22" t="s">
        <v>851</v>
      </c>
      <c r="B162" s="22" t="str">
        <f>"00288"</f>
        <v>00288</v>
      </c>
      <c r="C162" s="22" t="str">
        <f t="shared" si="2"/>
        <v>'0288.HK'</v>
      </c>
      <c r="D162" s="22" t="s">
        <v>1228</v>
      </c>
      <c r="E162" s="22" t="s">
        <v>1229</v>
      </c>
      <c r="F162" s="22">
        <v>59788823103</v>
      </c>
      <c r="G162" s="22">
        <v>251</v>
      </c>
      <c r="H162" s="22" t="s">
        <v>1230</v>
      </c>
    </row>
    <row r="163" spans="1:8" x14ac:dyDescent="0.35">
      <c r="A163" s="22" t="s">
        <v>851</v>
      </c>
      <c r="B163" s="22" t="str">
        <f>"01066"</f>
        <v>01066</v>
      </c>
      <c r="C163" s="22" t="str">
        <f t="shared" si="2"/>
        <v>'1066.HK'</v>
      </c>
      <c r="D163" s="22" t="s">
        <v>1231</v>
      </c>
      <c r="E163" s="22" t="s">
        <v>1232</v>
      </c>
      <c r="F163" s="22">
        <v>59601045504.959999</v>
      </c>
      <c r="G163" s="22">
        <v>171</v>
      </c>
      <c r="H163" s="22" t="s">
        <v>1233</v>
      </c>
    </row>
    <row r="164" spans="1:8" x14ac:dyDescent="0.35">
      <c r="A164" s="22" t="s">
        <v>851</v>
      </c>
      <c r="B164" s="22" t="str">
        <f>"02016"</f>
        <v>02016</v>
      </c>
      <c r="C164" s="22" t="str">
        <f t="shared" si="2"/>
        <v>'2016.HK'</v>
      </c>
      <c r="D164" s="22" t="s">
        <v>1234</v>
      </c>
      <c r="E164" s="22" t="s">
        <v>858</v>
      </c>
      <c r="F164" s="22">
        <v>59552350978.400002</v>
      </c>
      <c r="G164" s="22">
        <v>72</v>
      </c>
      <c r="H164" s="22" t="s">
        <v>1235</v>
      </c>
    </row>
    <row r="165" spans="1:8" x14ac:dyDescent="0.35">
      <c r="A165" s="22" t="s">
        <v>851</v>
      </c>
      <c r="B165" s="22" t="str">
        <f>"02600"</f>
        <v>02600</v>
      </c>
      <c r="C165" s="22" t="str">
        <f t="shared" si="2"/>
        <v>'2600.HK'</v>
      </c>
      <c r="D165" s="22" t="s">
        <v>1236</v>
      </c>
      <c r="E165" s="22" t="s">
        <v>1174</v>
      </c>
      <c r="F165" s="22">
        <v>57744758755.870003</v>
      </c>
      <c r="G165" s="22">
        <v>92</v>
      </c>
      <c r="H165" s="22" t="s">
        <v>1237</v>
      </c>
    </row>
    <row r="166" spans="1:8" x14ac:dyDescent="0.35">
      <c r="A166" s="22" t="s">
        <v>851</v>
      </c>
      <c r="B166" s="22" t="str">
        <f>"00285"</f>
        <v>00285</v>
      </c>
      <c r="C166" s="22" t="str">
        <f t="shared" si="2"/>
        <v>'0285.HK'</v>
      </c>
      <c r="D166" s="22" t="s">
        <v>1238</v>
      </c>
      <c r="E166" s="22" t="s">
        <v>938</v>
      </c>
      <c r="F166" s="22">
        <v>57682035200</v>
      </c>
      <c r="G166" s="22">
        <v>196</v>
      </c>
      <c r="H166" s="22" t="s">
        <v>1239</v>
      </c>
    </row>
    <row r="167" spans="1:8" x14ac:dyDescent="0.35">
      <c r="A167" s="22" t="s">
        <v>851</v>
      </c>
      <c r="B167" s="22" t="str">
        <f>"00017"</f>
        <v>00017</v>
      </c>
      <c r="C167" s="22" t="str">
        <f t="shared" si="2"/>
        <v>'0017.HK'</v>
      </c>
      <c r="D167" s="22" t="s">
        <v>1240</v>
      </c>
      <c r="E167" s="22" t="s">
        <v>924</v>
      </c>
      <c r="F167" s="22">
        <v>57253404640.25</v>
      </c>
      <c r="G167" s="22">
        <v>84</v>
      </c>
      <c r="H167" s="22" t="s">
        <v>1241</v>
      </c>
    </row>
    <row r="168" spans="1:8" x14ac:dyDescent="0.35">
      <c r="A168" s="22" t="s">
        <v>851</v>
      </c>
      <c r="B168" s="22" t="str">
        <f>"01548"</f>
        <v>01548</v>
      </c>
      <c r="C168" s="22" t="str">
        <f t="shared" si="2"/>
        <v>'1548.HK'</v>
      </c>
      <c r="D168" s="22" t="s">
        <v>1242</v>
      </c>
      <c r="E168" s="22" t="s">
        <v>941</v>
      </c>
      <c r="F168" s="22">
        <v>56151930942.900002</v>
      </c>
      <c r="G168" s="22">
        <v>177</v>
      </c>
      <c r="H168" s="22" t="s">
        <v>1243</v>
      </c>
    </row>
    <row r="169" spans="1:8" x14ac:dyDescent="0.35">
      <c r="A169" s="22" t="s">
        <v>851</v>
      </c>
      <c r="B169" s="22" t="str">
        <f>"02238"</f>
        <v>02238</v>
      </c>
      <c r="C169" s="22" t="str">
        <f t="shared" si="2"/>
        <v>'2238.HK'</v>
      </c>
      <c r="D169" s="22" t="s">
        <v>1244</v>
      </c>
      <c r="E169" s="22" t="s">
        <v>886</v>
      </c>
      <c r="F169" s="22">
        <v>55772894311.809998</v>
      </c>
      <c r="G169" s="22">
        <v>262</v>
      </c>
      <c r="H169" s="22" t="s">
        <v>1245</v>
      </c>
    </row>
    <row r="170" spans="1:8" x14ac:dyDescent="0.35">
      <c r="A170" s="22" t="s">
        <v>851</v>
      </c>
      <c r="B170" s="22" t="str">
        <f>"03323"</f>
        <v>03323</v>
      </c>
      <c r="C170" s="22" t="str">
        <f t="shared" si="2"/>
        <v>'3323.HK'</v>
      </c>
      <c r="D170" s="22" t="s">
        <v>1246</v>
      </c>
      <c r="E170" s="22" t="s">
        <v>1016</v>
      </c>
      <c r="F170" s="22">
        <v>55079052422.860001</v>
      </c>
      <c r="G170" s="22">
        <v>620</v>
      </c>
      <c r="H170" s="22" t="s">
        <v>1247</v>
      </c>
    </row>
    <row r="171" spans="1:8" x14ac:dyDescent="0.35">
      <c r="A171" s="22" t="s">
        <v>851</v>
      </c>
      <c r="B171" s="22" t="str">
        <f>"03898"</f>
        <v>03898</v>
      </c>
      <c r="C171" s="22" t="str">
        <f t="shared" si="2"/>
        <v>'3898.HK'</v>
      </c>
      <c r="D171" s="22" t="s">
        <v>1248</v>
      </c>
      <c r="E171" s="22" t="s">
        <v>1109</v>
      </c>
      <c r="F171" s="22">
        <v>54737556648.800003</v>
      </c>
      <c r="G171" s="22">
        <v>121</v>
      </c>
      <c r="H171" s="22" t="s">
        <v>1249</v>
      </c>
    </row>
    <row r="172" spans="1:8" x14ac:dyDescent="0.35">
      <c r="A172" s="22" t="s">
        <v>851</v>
      </c>
      <c r="B172" s="22" t="str">
        <f>"00293"</f>
        <v>00293</v>
      </c>
      <c r="C172" s="22" t="str">
        <f t="shared" si="2"/>
        <v>'0293.HK'</v>
      </c>
      <c r="D172" s="22" t="s">
        <v>1250</v>
      </c>
      <c r="E172" s="22" t="s">
        <v>1081</v>
      </c>
      <c r="F172" s="22">
        <v>54201225709.260002</v>
      </c>
      <c r="G172" s="22">
        <v>80</v>
      </c>
      <c r="H172" s="22" t="s">
        <v>1251</v>
      </c>
    </row>
    <row r="173" spans="1:8" x14ac:dyDescent="0.35">
      <c r="A173" s="22" t="s">
        <v>851</v>
      </c>
      <c r="B173" s="22" t="str">
        <f>"00656"</f>
        <v>00656</v>
      </c>
      <c r="C173" s="22" t="str">
        <f t="shared" si="2"/>
        <v>'0656.HK'</v>
      </c>
      <c r="D173" s="22" t="s">
        <v>1252</v>
      </c>
      <c r="E173" s="22" t="s">
        <v>958</v>
      </c>
      <c r="F173" s="22">
        <v>53924578413.440002</v>
      </c>
      <c r="G173" s="22">
        <v>767</v>
      </c>
      <c r="H173" s="22" t="s">
        <v>1253</v>
      </c>
    </row>
    <row r="174" spans="1:8" x14ac:dyDescent="0.35">
      <c r="A174" s="22" t="s">
        <v>851</v>
      </c>
      <c r="B174" s="22" t="str">
        <f>"00270"</f>
        <v>00270</v>
      </c>
      <c r="C174" s="22" t="str">
        <f t="shared" si="2"/>
        <v>'0270.HK'</v>
      </c>
      <c r="D174" s="22" t="s">
        <v>1254</v>
      </c>
      <c r="E174" s="22" t="s">
        <v>1255</v>
      </c>
      <c r="F174" s="22">
        <v>53871648665.599998</v>
      </c>
      <c r="G174" s="22">
        <v>89</v>
      </c>
      <c r="H174" s="22" t="s">
        <v>1256</v>
      </c>
    </row>
    <row r="175" spans="1:8" x14ac:dyDescent="0.35">
      <c r="A175" s="22" t="s">
        <v>851</v>
      </c>
      <c r="B175" s="22" t="str">
        <f>"01801"</f>
        <v>01801</v>
      </c>
      <c r="C175" s="22" t="str">
        <f t="shared" si="2"/>
        <v>'1801.HK'</v>
      </c>
      <c r="D175" s="22" t="s">
        <v>1257</v>
      </c>
      <c r="E175" s="22" t="s">
        <v>969</v>
      </c>
      <c r="F175" s="22">
        <v>53701313365</v>
      </c>
      <c r="G175" s="22">
        <v>319</v>
      </c>
      <c r="H175" s="22" t="s">
        <v>1258</v>
      </c>
    </row>
    <row r="176" spans="1:8" x14ac:dyDescent="0.35">
      <c r="A176" s="22" t="s">
        <v>851</v>
      </c>
      <c r="B176" s="22" t="str">
        <f>"03800"</f>
        <v>03800</v>
      </c>
      <c r="C176" s="22" t="str">
        <f t="shared" si="2"/>
        <v>'3800.HK'</v>
      </c>
      <c r="D176" s="22" t="s">
        <v>1259</v>
      </c>
      <c r="E176" s="22" t="s">
        <v>1145</v>
      </c>
      <c r="F176" s="22">
        <v>53674825986.540001</v>
      </c>
      <c r="G176" s="22">
        <v>150</v>
      </c>
      <c r="H176" s="22" t="s">
        <v>1260</v>
      </c>
    </row>
    <row r="177" spans="1:8" x14ac:dyDescent="0.35">
      <c r="A177" s="22" t="s">
        <v>851</v>
      </c>
      <c r="B177" s="22" t="str">
        <f>"06066"</f>
        <v>06066</v>
      </c>
      <c r="C177" s="22" t="str">
        <f t="shared" si="2"/>
        <v>'6066.HK'</v>
      </c>
      <c r="D177" s="22" t="s">
        <v>1261</v>
      </c>
      <c r="E177" s="22" t="s">
        <v>1130</v>
      </c>
      <c r="F177" s="22">
        <v>53055792411.480003</v>
      </c>
      <c r="G177" s="22">
        <v>194</v>
      </c>
      <c r="H177" s="22" t="s">
        <v>1262</v>
      </c>
    </row>
    <row r="178" spans="1:8" x14ac:dyDescent="0.35">
      <c r="A178" s="22" t="s">
        <v>851</v>
      </c>
      <c r="B178" s="22" t="str">
        <f>"02066"</f>
        <v>02066</v>
      </c>
      <c r="C178" s="22" t="str">
        <f t="shared" si="2"/>
        <v>'2066.HK'</v>
      </c>
      <c r="D178" s="22" t="s">
        <v>1263</v>
      </c>
      <c r="E178" s="22" t="s">
        <v>858</v>
      </c>
      <c r="F178" s="22">
        <v>52780081200</v>
      </c>
      <c r="G178" s="22">
        <v>52</v>
      </c>
      <c r="H178" s="22" t="s">
        <v>1264</v>
      </c>
    </row>
    <row r="179" spans="1:8" x14ac:dyDescent="0.35">
      <c r="A179" s="22" t="s">
        <v>851</v>
      </c>
      <c r="B179" s="22" t="str">
        <f>"00696"</f>
        <v>00696</v>
      </c>
      <c r="C179" s="22" t="str">
        <f t="shared" si="2"/>
        <v>'0696.HK'</v>
      </c>
      <c r="D179" s="22" t="s">
        <v>1265</v>
      </c>
      <c r="E179" s="22" t="s">
        <v>1202</v>
      </c>
      <c r="F179" s="22">
        <v>50506377506.139999</v>
      </c>
      <c r="G179" s="22">
        <v>135</v>
      </c>
      <c r="H179" s="22" t="s">
        <v>1266</v>
      </c>
    </row>
    <row r="180" spans="1:8" x14ac:dyDescent="0.35">
      <c r="A180" s="22" t="s">
        <v>851</v>
      </c>
      <c r="B180" s="22" t="str">
        <f>"02607"</f>
        <v>02607</v>
      </c>
      <c r="C180" s="22" t="str">
        <f t="shared" si="2"/>
        <v>'2607.HK'</v>
      </c>
      <c r="D180" s="22" t="s">
        <v>1267</v>
      </c>
      <c r="E180" s="22" t="s">
        <v>969</v>
      </c>
      <c r="F180" s="22">
        <v>49906005147</v>
      </c>
      <c r="G180" s="22">
        <v>267</v>
      </c>
      <c r="H180" s="22" t="s">
        <v>1268</v>
      </c>
    </row>
    <row r="181" spans="1:8" x14ac:dyDescent="0.35">
      <c r="A181" s="22" t="s">
        <v>851</v>
      </c>
      <c r="B181" s="22" t="str">
        <f>"01797"</f>
        <v>01797</v>
      </c>
      <c r="C181" s="22" t="str">
        <f t="shared" si="2"/>
        <v>'1797.HK'</v>
      </c>
      <c r="D181" s="22" t="s">
        <v>1269</v>
      </c>
      <c r="E181" s="22" t="s">
        <v>1270</v>
      </c>
      <c r="F181" s="22">
        <v>49786578072</v>
      </c>
      <c r="G181" s="22">
        <v>192</v>
      </c>
      <c r="H181" s="22" t="s">
        <v>1271</v>
      </c>
    </row>
    <row r="182" spans="1:8" x14ac:dyDescent="0.35">
      <c r="A182" s="22" t="s">
        <v>851</v>
      </c>
      <c r="B182" s="22" t="str">
        <f>"09889"</f>
        <v>09889</v>
      </c>
      <c r="C182" s="22" t="str">
        <f t="shared" si="2"/>
        <v>'9889.HK'</v>
      </c>
      <c r="D182" s="22" t="s">
        <v>1272</v>
      </c>
      <c r="E182" s="22" t="s">
        <v>858</v>
      </c>
      <c r="F182" s="22">
        <v>49735298582.199997</v>
      </c>
      <c r="G182" s="22">
        <v>3</v>
      </c>
      <c r="H182" s="22" t="s">
        <v>1273</v>
      </c>
    </row>
    <row r="183" spans="1:8" x14ac:dyDescent="0.35">
      <c r="A183" s="22" t="s">
        <v>851</v>
      </c>
      <c r="B183" s="22" t="str">
        <f>"00135"</f>
        <v>00135</v>
      </c>
      <c r="C183" s="22" t="str">
        <f t="shared" si="2"/>
        <v>'0135.HK'</v>
      </c>
      <c r="D183" s="22" t="s">
        <v>1274</v>
      </c>
      <c r="E183" s="22" t="s">
        <v>1031</v>
      </c>
      <c r="F183" s="22">
        <v>48835641633.120003</v>
      </c>
      <c r="G183" s="22">
        <v>100</v>
      </c>
      <c r="H183" s="22" t="s">
        <v>1275</v>
      </c>
    </row>
    <row r="184" spans="1:8" x14ac:dyDescent="0.35">
      <c r="A184" s="22" t="s">
        <v>851</v>
      </c>
      <c r="B184" s="22" t="str">
        <f>"03799"</f>
        <v>03799</v>
      </c>
      <c r="C184" s="22" t="str">
        <f t="shared" si="2"/>
        <v>'3799.HK'</v>
      </c>
      <c r="D184" s="22" t="s">
        <v>1276</v>
      </c>
      <c r="E184" s="22" t="s">
        <v>1205</v>
      </c>
      <c r="F184" s="22">
        <v>48751058300</v>
      </c>
      <c r="G184" s="22">
        <v>202</v>
      </c>
      <c r="H184" s="22" t="s">
        <v>1277</v>
      </c>
    </row>
    <row r="185" spans="1:8" x14ac:dyDescent="0.35">
      <c r="A185" s="22" t="s">
        <v>851</v>
      </c>
      <c r="B185" s="22" t="str">
        <f>"01128"</f>
        <v>01128</v>
      </c>
      <c r="C185" s="22" t="str">
        <f t="shared" si="2"/>
        <v>'1128.HK'</v>
      </c>
      <c r="D185" s="22" t="s">
        <v>1278</v>
      </c>
      <c r="E185" s="22" t="s">
        <v>961</v>
      </c>
      <c r="F185" s="22">
        <v>48375387984</v>
      </c>
      <c r="G185" s="22">
        <v>128</v>
      </c>
      <c r="H185" s="22" t="s">
        <v>1279</v>
      </c>
    </row>
    <row r="186" spans="1:8" x14ac:dyDescent="0.35">
      <c r="A186" s="22" t="s">
        <v>851</v>
      </c>
      <c r="B186" s="22" t="str">
        <f>"09901"</f>
        <v>09901</v>
      </c>
      <c r="C186" s="22" t="str">
        <f t="shared" si="2"/>
        <v>'9901.HK'</v>
      </c>
      <c r="D186" s="22" t="s">
        <v>1280</v>
      </c>
      <c r="E186" s="22" t="s">
        <v>1270</v>
      </c>
      <c r="F186" s="22">
        <v>47826738000</v>
      </c>
      <c r="G186" s="22">
        <v>29</v>
      </c>
      <c r="H186" s="22" t="s">
        <v>1281</v>
      </c>
    </row>
    <row r="187" spans="1:8" x14ac:dyDescent="0.35">
      <c r="A187" s="22" t="s">
        <v>851</v>
      </c>
      <c r="B187" s="22" t="str">
        <f>"01044"</f>
        <v>01044</v>
      </c>
      <c r="C187" s="22" t="str">
        <f t="shared" si="2"/>
        <v>'1044.HK'</v>
      </c>
      <c r="D187" s="22" t="s">
        <v>1282</v>
      </c>
      <c r="E187" s="22" t="s">
        <v>1283</v>
      </c>
      <c r="F187" s="22">
        <v>47298321321.900002</v>
      </c>
      <c r="G187" s="22">
        <v>265</v>
      </c>
      <c r="H187" s="22" t="s">
        <v>1284</v>
      </c>
    </row>
    <row r="188" spans="1:8" x14ac:dyDescent="0.35">
      <c r="A188" s="22" t="s">
        <v>851</v>
      </c>
      <c r="B188" s="22" t="str">
        <f>"01308"</f>
        <v>01308</v>
      </c>
      <c r="C188" s="22" t="str">
        <f t="shared" si="2"/>
        <v>'1308.HK'</v>
      </c>
      <c r="D188" s="22" t="s">
        <v>1285</v>
      </c>
      <c r="E188" s="22" t="s">
        <v>1047</v>
      </c>
      <c r="F188" s="22">
        <v>46889337172.800003</v>
      </c>
      <c r="G188" s="22">
        <v>64</v>
      </c>
      <c r="H188" s="22" t="s">
        <v>1286</v>
      </c>
    </row>
    <row r="189" spans="1:8" x14ac:dyDescent="0.35">
      <c r="A189" s="22" t="s">
        <v>851</v>
      </c>
      <c r="B189" s="22" t="str">
        <f>"02588"</f>
        <v>02588</v>
      </c>
      <c r="C189" s="22" t="str">
        <f t="shared" si="2"/>
        <v>'2588.HK'</v>
      </c>
      <c r="D189" s="22" t="s">
        <v>1287</v>
      </c>
      <c r="E189" s="22" t="s">
        <v>1081</v>
      </c>
      <c r="F189" s="22">
        <v>46463991861.300003</v>
      </c>
      <c r="G189" s="22">
        <v>92</v>
      </c>
      <c r="H189" s="22" t="s">
        <v>1288</v>
      </c>
    </row>
    <row r="190" spans="1:8" x14ac:dyDescent="0.35">
      <c r="A190" s="22" t="s">
        <v>851</v>
      </c>
      <c r="B190" s="22" t="str">
        <f>"02638"</f>
        <v>02638</v>
      </c>
      <c r="C190" s="22" t="str">
        <f t="shared" si="2"/>
        <v>'2638.HK'</v>
      </c>
      <c r="D190" s="22" t="s">
        <v>1289</v>
      </c>
      <c r="E190" s="22" t="s">
        <v>1022</v>
      </c>
      <c r="F190" s="22">
        <v>46390050000</v>
      </c>
      <c r="G190" s="22">
        <v>26</v>
      </c>
      <c r="H190" s="22" t="s">
        <v>1290</v>
      </c>
    </row>
    <row r="191" spans="1:8" x14ac:dyDescent="0.35">
      <c r="A191" s="22" t="s">
        <v>851</v>
      </c>
      <c r="B191" s="22" t="str">
        <f>"00144"</f>
        <v>00144</v>
      </c>
      <c r="C191" s="22" t="str">
        <f t="shared" si="2"/>
        <v>'0144.HK'</v>
      </c>
      <c r="D191" s="22" t="s">
        <v>1291</v>
      </c>
      <c r="E191" s="22" t="s">
        <v>1047</v>
      </c>
      <c r="F191" s="22">
        <v>46359175672.68</v>
      </c>
      <c r="G191" s="22">
        <v>249</v>
      </c>
      <c r="H191" s="22" t="s">
        <v>1292</v>
      </c>
    </row>
    <row r="192" spans="1:8" x14ac:dyDescent="0.35">
      <c r="A192" s="22" t="s">
        <v>851</v>
      </c>
      <c r="B192" s="22" t="str">
        <f>"02883"</f>
        <v>02883</v>
      </c>
      <c r="C192" s="22" t="str">
        <f t="shared" si="2"/>
        <v>'2883.HK'</v>
      </c>
      <c r="D192" s="22" t="s">
        <v>1293</v>
      </c>
      <c r="E192" s="22" t="s">
        <v>1294</v>
      </c>
      <c r="F192" s="22">
        <v>46141294640</v>
      </c>
      <c r="G192" s="22">
        <v>133</v>
      </c>
      <c r="H192" s="22" t="s">
        <v>1295</v>
      </c>
    </row>
    <row r="193" spans="1:8" x14ac:dyDescent="0.35">
      <c r="A193" s="22" t="s">
        <v>851</v>
      </c>
      <c r="B193" s="22" t="str">
        <f>"02380"</f>
        <v>02380</v>
      </c>
      <c r="C193" s="22" t="str">
        <f t="shared" si="2"/>
        <v>'2380.HK'</v>
      </c>
      <c r="D193" s="22" t="s">
        <v>1296</v>
      </c>
      <c r="E193" s="22" t="s">
        <v>1022</v>
      </c>
      <c r="F193" s="22">
        <v>44656245048.629997</v>
      </c>
      <c r="G193" s="22">
        <v>248</v>
      </c>
      <c r="H193" s="22" t="s">
        <v>1297</v>
      </c>
    </row>
    <row r="194" spans="1:8" x14ac:dyDescent="0.35">
      <c r="A194" s="22" t="s">
        <v>851</v>
      </c>
      <c r="B194" s="22" t="str">
        <f>"00247"</f>
        <v>00247</v>
      </c>
      <c r="C194" s="22" t="str">
        <f t="shared" si="2"/>
        <v>'0247.HK'</v>
      </c>
      <c r="D194" s="22" t="s">
        <v>1298</v>
      </c>
      <c r="E194" s="22" t="s">
        <v>924</v>
      </c>
      <c r="F194" s="22">
        <v>44462750482.5</v>
      </c>
      <c r="G194" s="22">
        <v>16</v>
      </c>
      <c r="H194" s="22" t="s">
        <v>1299</v>
      </c>
    </row>
    <row r="195" spans="1:8" x14ac:dyDescent="0.35">
      <c r="A195" s="22" t="s">
        <v>851</v>
      </c>
      <c r="B195" s="22" t="str">
        <f>"01072"</f>
        <v>01072</v>
      </c>
      <c r="C195" s="22" t="str">
        <f t="shared" ref="C195:C258" si="3">CONCATENATE("'",RIGHT(B195,4),".HK'")</f>
        <v>'1072.HK'</v>
      </c>
      <c r="D195" s="22" t="s">
        <v>1300</v>
      </c>
      <c r="E195" s="22" t="s">
        <v>1301</v>
      </c>
      <c r="F195" s="22">
        <v>43413804534.239998</v>
      </c>
      <c r="G195" s="22">
        <v>71</v>
      </c>
      <c r="H195" s="22" t="s">
        <v>1302</v>
      </c>
    </row>
    <row r="196" spans="1:8" x14ac:dyDescent="0.35">
      <c r="A196" s="22" t="s">
        <v>851</v>
      </c>
      <c r="B196" s="22" t="str">
        <f>"01585"</f>
        <v>01585</v>
      </c>
      <c r="C196" s="22" t="str">
        <f t="shared" si="3"/>
        <v>'1585.HK'</v>
      </c>
      <c r="D196" s="22" t="s">
        <v>1303</v>
      </c>
      <c r="E196" s="22" t="s">
        <v>886</v>
      </c>
      <c r="F196" s="22">
        <v>43260856000</v>
      </c>
      <c r="G196" s="22">
        <v>118</v>
      </c>
      <c r="H196" s="22" t="s">
        <v>1304</v>
      </c>
    </row>
    <row r="197" spans="1:8" x14ac:dyDescent="0.35">
      <c r="A197" s="22" t="s">
        <v>851</v>
      </c>
      <c r="B197" s="22" t="str">
        <f>"00780"</f>
        <v>00780</v>
      </c>
      <c r="C197" s="22" t="str">
        <f t="shared" si="3"/>
        <v>'0780.HK'</v>
      </c>
      <c r="D197" s="22" t="s">
        <v>1305</v>
      </c>
      <c r="E197" s="22" t="s">
        <v>897</v>
      </c>
      <c r="F197" s="22">
        <v>43255702709.519997</v>
      </c>
      <c r="G197" s="22">
        <v>51</v>
      </c>
      <c r="H197" s="22" t="s">
        <v>1306</v>
      </c>
    </row>
    <row r="198" spans="1:8" x14ac:dyDescent="0.35">
      <c r="A198" s="22" t="s">
        <v>851</v>
      </c>
      <c r="B198" s="22" t="str">
        <f>"03311"</f>
        <v>03311</v>
      </c>
      <c r="C198" s="22" t="str">
        <f t="shared" si="3"/>
        <v>'3311.HK'</v>
      </c>
      <c r="D198" s="22" t="s">
        <v>1307</v>
      </c>
      <c r="E198" s="22" t="s">
        <v>1078</v>
      </c>
      <c r="F198" s="22">
        <v>42668613177.959999</v>
      </c>
      <c r="G198" s="22">
        <v>157</v>
      </c>
      <c r="H198" s="22" t="s">
        <v>1308</v>
      </c>
    </row>
    <row r="199" spans="1:8" x14ac:dyDescent="0.35">
      <c r="A199" s="22" t="s">
        <v>851</v>
      </c>
      <c r="B199" s="22" t="str">
        <f>"06821"</f>
        <v>06821</v>
      </c>
      <c r="C199" s="22" t="str">
        <f t="shared" si="3"/>
        <v>'6821.HK'</v>
      </c>
      <c r="D199" s="22" t="s">
        <v>1309</v>
      </c>
      <c r="E199" s="22" t="s">
        <v>969</v>
      </c>
      <c r="F199" s="22">
        <v>42585211921.5</v>
      </c>
      <c r="G199" s="22">
        <v>18</v>
      </c>
      <c r="H199" s="22" t="s">
        <v>1310</v>
      </c>
    </row>
    <row r="200" spans="1:8" x14ac:dyDescent="0.35">
      <c r="A200" s="22" t="s">
        <v>851</v>
      </c>
      <c r="B200" s="22" t="str">
        <f>"01359"</f>
        <v>01359</v>
      </c>
      <c r="C200" s="22" t="str">
        <f t="shared" si="3"/>
        <v>'1359.HK'</v>
      </c>
      <c r="D200" s="22" t="s">
        <v>1311</v>
      </c>
      <c r="E200" s="22" t="s">
        <v>964</v>
      </c>
      <c r="F200" s="22">
        <v>41980988661.699997</v>
      </c>
      <c r="G200" s="22">
        <v>516</v>
      </c>
      <c r="H200" s="22" t="s">
        <v>1312</v>
      </c>
    </row>
    <row r="201" spans="1:8" x14ac:dyDescent="0.35">
      <c r="A201" s="22" t="s">
        <v>851</v>
      </c>
      <c r="B201" s="22" t="str">
        <f>"03320"</f>
        <v>03320</v>
      </c>
      <c r="C201" s="22" t="str">
        <f t="shared" si="3"/>
        <v>'3320.HK'</v>
      </c>
      <c r="D201" s="22" t="s">
        <v>1313</v>
      </c>
      <c r="E201" s="22" t="s">
        <v>969</v>
      </c>
      <c r="F201" s="22">
        <v>40961968205.720001</v>
      </c>
      <c r="G201" s="22">
        <v>140</v>
      </c>
      <c r="H201" s="22" t="s">
        <v>1314</v>
      </c>
    </row>
    <row r="202" spans="1:8" x14ac:dyDescent="0.35">
      <c r="A202" s="22" t="s">
        <v>851</v>
      </c>
      <c r="B202" s="22" t="str">
        <f>"00358"</f>
        <v>00358</v>
      </c>
      <c r="C202" s="22" t="str">
        <f t="shared" si="3"/>
        <v>'0358.HK'</v>
      </c>
      <c r="D202" s="22" t="s">
        <v>1315</v>
      </c>
      <c r="E202" s="22" t="s">
        <v>1316</v>
      </c>
      <c r="F202" s="22">
        <v>40860206979</v>
      </c>
      <c r="G202" s="22">
        <v>116</v>
      </c>
      <c r="H202" s="22" t="s">
        <v>1317</v>
      </c>
    </row>
    <row r="203" spans="1:8" x14ac:dyDescent="0.35">
      <c r="A203" s="22" t="s">
        <v>851</v>
      </c>
      <c r="B203" s="22" t="str">
        <f>"03668"</f>
        <v>03668</v>
      </c>
      <c r="C203" s="22" t="str">
        <f t="shared" si="3"/>
        <v>'3668.HK'</v>
      </c>
      <c r="D203" s="22" t="s">
        <v>1318</v>
      </c>
      <c r="E203" s="22" t="s">
        <v>904</v>
      </c>
      <c r="F203" s="22">
        <v>40669534659.599998</v>
      </c>
      <c r="G203" s="22">
        <v>14</v>
      </c>
      <c r="H203" s="22" t="s">
        <v>1319</v>
      </c>
    </row>
    <row r="204" spans="1:8" x14ac:dyDescent="0.35">
      <c r="A204" s="22" t="s">
        <v>851</v>
      </c>
      <c r="B204" s="22" t="str">
        <f>"06865"</f>
        <v>06865</v>
      </c>
      <c r="C204" s="22" t="str">
        <f t="shared" si="3"/>
        <v>'6865.HK'</v>
      </c>
      <c r="D204" s="22" t="s">
        <v>1320</v>
      </c>
      <c r="E204" s="22" t="s">
        <v>1145</v>
      </c>
      <c r="F204" s="22">
        <v>40490413050.82</v>
      </c>
      <c r="G204" s="22">
        <v>106</v>
      </c>
      <c r="H204" s="22" t="s">
        <v>1321</v>
      </c>
    </row>
    <row r="205" spans="1:8" x14ac:dyDescent="0.35">
      <c r="A205" s="22" t="s">
        <v>851</v>
      </c>
      <c r="B205" s="22" t="str">
        <f>"03998"</f>
        <v>03998</v>
      </c>
      <c r="C205" s="22" t="str">
        <f t="shared" si="3"/>
        <v>'3998.HK'</v>
      </c>
      <c r="D205" s="22" t="s">
        <v>1322</v>
      </c>
      <c r="E205" s="22" t="s">
        <v>889</v>
      </c>
      <c r="F205" s="22">
        <v>40423423138.349998</v>
      </c>
      <c r="G205" s="22">
        <v>127</v>
      </c>
      <c r="H205" s="22" t="s">
        <v>1323</v>
      </c>
    </row>
    <row r="206" spans="1:8" x14ac:dyDescent="0.35">
      <c r="A206" s="22" t="s">
        <v>851</v>
      </c>
      <c r="B206" s="22" t="str">
        <f>"00853"</f>
        <v>00853</v>
      </c>
      <c r="C206" s="22" t="str">
        <f t="shared" si="3"/>
        <v>'0853.HK'</v>
      </c>
      <c r="D206" s="22" t="s">
        <v>1324</v>
      </c>
      <c r="E206" s="22" t="s">
        <v>1232</v>
      </c>
      <c r="F206" s="22">
        <v>40291494960.150002</v>
      </c>
      <c r="G206" s="22">
        <v>525</v>
      </c>
      <c r="H206" s="22" t="s">
        <v>1325</v>
      </c>
    </row>
    <row r="207" spans="1:8" x14ac:dyDescent="0.35">
      <c r="A207" s="22" t="s">
        <v>851</v>
      </c>
      <c r="B207" s="22" t="str">
        <f>"09926"</f>
        <v>09926</v>
      </c>
      <c r="C207" s="22" t="str">
        <f t="shared" si="3"/>
        <v>'9926.HK'</v>
      </c>
      <c r="D207" s="22" t="s">
        <v>1326</v>
      </c>
      <c r="E207" s="22" t="s">
        <v>941</v>
      </c>
      <c r="F207" s="22">
        <v>39782004424.800003</v>
      </c>
      <c r="G207" s="22">
        <v>106</v>
      </c>
      <c r="H207" s="22" t="s">
        <v>1327</v>
      </c>
    </row>
    <row r="208" spans="1:8" x14ac:dyDescent="0.35">
      <c r="A208" s="22" t="s">
        <v>851</v>
      </c>
      <c r="B208" s="22" t="str">
        <f>"06689"</f>
        <v>06689</v>
      </c>
      <c r="C208" s="22" t="str">
        <f t="shared" si="3"/>
        <v>'6689.HK'</v>
      </c>
      <c r="D208" s="22" t="s">
        <v>1328</v>
      </c>
      <c r="E208" s="22" t="s">
        <v>1329</v>
      </c>
      <c r="F208" s="22">
        <v>39539400649.199997</v>
      </c>
      <c r="G208" s="22">
        <v>0</v>
      </c>
      <c r="H208" s="22" t="s">
        <v>1330</v>
      </c>
    </row>
    <row r="209" spans="1:8" x14ac:dyDescent="0.35">
      <c r="A209" s="22" t="s">
        <v>851</v>
      </c>
      <c r="B209" s="22" t="str">
        <f>"06110"</f>
        <v>06110</v>
      </c>
      <c r="C209" s="22" t="str">
        <f t="shared" si="3"/>
        <v>'6110.HK'</v>
      </c>
      <c r="D209" s="22" t="s">
        <v>1331</v>
      </c>
      <c r="E209" s="22" t="s">
        <v>1332</v>
      </c>
      <c r="F209" s="22">
        <v>39439772072.639999</v>
      </c>
      <c r="G209" s="22">
        <v>45</v>
      </c>
      <c r="H209" s="22" t="s">
        <v>1333</v>
      </c>
    </row>
    <row r="210" spans="1:8" x14ac:dyDescent="0.35">
      <c r="A210" s="22" t="s">
        <v>851</v>
      </c>
      <c r="B210" s="22" t="str">
        <f>"06881"</f>
        <v>06881</v>
      </c>
      <c r="C210" s="22" t="str">
        <f t="shared" si="3"/>
        <v>'6881.HK'</v>
      </c>
      <c r="D210" s="22" t="s">
        <v>1334</v>
      </c>
      <c r="E210" s="22" t="s">
        <v>1130</v>
      </c>
      <c r="F210" s="22">
        <v>39129891439.5</v>
      </c>
      <c r="G210" s="22">
        <v>257</v>
      </c>
      <c r="H210" s="22" t="s">
        <v>1335</v>
      </c>
    </row>
    <row r="211" spans="1:8" x14ac:dyDescent="0.35">
      <c r="A211" s="22" t="s">
        <v>851</v>
      </c>
      <c r="B211" s="22" t="str">
        <f>"00489"</f>
        <v>00489</v>
      </c>
      <c r="C211" s="22" t="str">
        <f t="shared" si="3"/>
        <v>'0489.HK'</v>
      </c>
      <c r="D211" s="22" t="s">
        <v>1336</v>
      </c>
      <c r="E211" s="22" t="s">
        <v>1109</v>
      </c>
      <c r="F211" s="22">
        <v>38858701200</v>
      </c>
      <c r="G211" s="22">
        <v>346</v>
      </c>
      <c r="H211" s="22" t="s">
        <v>1337</v>
      </c>
    </row>
    <row r="212" spans="1:8" x14ac:dyDescent="0.35">
      <c r="A212" s="22" t="s">
        <v>851</v>
      </c>
      <c r="B212" s="22" t="str">
        <f>"03888"</f>
        <v>03888</v>
      </c>
      <c r="C212" s="22" t="str">
        <f t="shared" si="3"/>
        <v>'3888.HK'</v>
      </c>
      <c r="D212" s="22" t="s">
        <v>1338</v>
      </c>
      <c r="E212" s="22" t="s">
        <v>910</v>
      </c>
      <c r="F212" s="22">
        <v>38757313148.650002</v>
      </c>
      <c r="G212" s="22">
        <v>328</v>
      </c>
      <c r="H212" s="22" t="s">
        <v>1339</v>
      </c>
    </row>
    <row r="213" spans="1:8" x14ac:dyDescent="0.35">
      <c r="A213" s="22" t="s">
        <v>851</v>
      </c>
      <c r="B213" s="22" t="str">
        <f>"01877"</f>
        <v>01877</v>
      </c>
      <c r="C213" s="22" t="str">
        <f t="shared" si="3"/>
        <v>'1877.HK'</v>
      </c>
      <c r="D213" s="22" t="s">
        <v>1340</v>
      </c>
      <c r="E213" s="22" t="s">
        <v>941</v>
      </c>
      <c r="F213" s="22">
        <v>38386252462</v>
      </c>
      <c r="G213" s="22">
        <v>132</v>
      </c>
      <c r="H213" s="22" t="s">
        <v>1341</v>
      </c>
    </row>
    <row r="214" spans="1:8" x14ac:dyDescent="0.35">
      <c r="A214" s="22" t="s">
        <v>851</v>
      </c>
      <c r="B214" s="22" t="str">
        <f>"03996"</f>
        <v>03996</v>
      </c>
      <c r="C214" s="22" t="str">
        <f t="shared" si="3"/>
        <v>'3996.HK'</v>
      </c>
      <c r="D214" s="22" t="s">
        <v>1342</v>
      </c>
      <c r="E214" s="22" t="s">
        <v>1301</v>
      </c>
      <c r="F214" s="22">
        <v>38355870545.120003</v>
      </c>
      <c r="G214" s="22">
        <v>83</v>
      </c>
      <c r="H214" s="22" t="s">
        <v>1343</v>
      </c>
    </row>
    <row r="215" spans="1:8" x14ac:dyDescent="0.35">
      <c r="A215" s="22" t="s">
        <v>851</v>
      </c>
      <c r="B215" s="22" t="str">
        <f>"06199"</f>
        <v>06199</v>
      </c>
      <c r="C215" s="22" t="str">
        <f t="shared" si="3"/>
        <v>'6199.HK'</v>
      </c>
      <c r="D215" s="22" t="s">
        <v>1344</v>
      </c>
      <c r="E215" s="22" t="s">
        <v>858</v>
      </c>
      <c r="F215" s="22">
        <v>38220682469.279999</v>
      </c>
      <c r="G215" s="22">
        <v>10</v>
      </c>
      <c r="H215" s="22" t="s">
        <v>1345</v>
      </c>
    </row>
    <row r="216" spans="1:8" x14ac:dyDescent="0.35">
      <c r="A216" s="22" t="s">
        <v>851</v>
      </c>
      <c r="B216" s="22" t="str">
        <f>"01908"</f>
        <v>01908</v>
      </c>
      <c r="C216" s="22" t="str">
        <f t="shared" si="3"/>
        <v>'1908.HK'</v>
      </c>
      <c r="D216" s="22" t="s">
        <v>1346</v>
      </c>
      <c r="E216" s="22" t="s">
        <v>924</v>
      </c>
      <c r="F216" s="22">
        <v>37674480493</v>
      </c>
      <c r="G216" s="22">
        <v>51</v>
      </c>
      <c r="H216" s="22" t="s">
        <v>1347</v>
      </c>
    </row>
    <row r="217" spans="1:8" x14ac:dyDescent="0.35">
      <c r="A217" s="22" t="s">
        <v>851</v>
      </c>
      <c r="B217" s="22" t="str">
        <f>"00874"</f>
        <v>00874</v>
      </c>
      <c r="C217" s="22" t="str">
        <f t="shared" si="3"/>
        <v>'0874.HK'</v>
      </c>
      <c r="D217" s="22" t="s">
        <v>1348</v>
      </c>
      <c r="E217" s="22" t="s">
        <v>1349</v>
      </c>
      <c r="F217" s="22">
        <v>37555770921.900002</v>
      </c>
      <c r="G217" s="22">
        <v>288</v>
      </c>
      <c r="H217" s="22" t="s">
        <v>1350</v>
      </c>
    </row>
    <row r="218" spans="1:8" x14ac:dyDescent="0.35">
      <c r="A218" s="22" t="s">
        <v>851</v>
      </c>
      <c r="B218" s="22" t="str">
        <f>"02282"</f>
        <v>02282</v>
      </c>
      <c r="C218" s="22" t="str">
        <f t="shared" si="3"/>
        <v>'2282.HK'</v>
      </c>
      <c r="D218" s="22" t="s">
        <v>1351</v>
      </c>
      <c r="E218" s="22" t="s">
        <v>961</v>
      </c>
      <c r="F218" s="22">
        <v>37012000009.739998</v>
      </c>
      <c r="G218" s="22">
        <v>94</v>
      </c>
      <c r="H218" s="22" t="s">
        <v>1352</v>
      </c>
    </row>
    <row r="219" spans="1:8" x14ac:dyDescent="0.35">
      <c r="A219" s="22" t="s">
        <v>851</v>
      </c>
      <c r="B219" s="22" t="str">
        <f>"09898"</f>
        <v>09898</v>
      </c>
      <c r="C219" s="22" t="str">
        <f t="shared" si="3"/>
        <v>'9898.HK'</v>
      </c>
      <c r="D219" s="22" t="s">
        <v>1353</v>
      </c>
      <c r="E219" s="22" t="s">
        <v>853</v>
      </c>
      <c r="F219" s="22">
        <v>36980080000</v>
      </c>
      <c r="G219" s="22">
        <v>15</v>
      </c>
      <c r="H219" s="22" t="s">
        <v>1354</v>
      </c>
    </row>
    <row r="220" spans="1:8" x14ac:dyDescent="0.35">
      <c r="A220" s="22" t="s">
        <v>851</v>
      </c>
      <c r="B220" s="22" t="str">
        <f>"06806"</f>
        <v>06806</v>
      </c>
      <c r="C220" s="22" t="str">
        <f t="shared" si="3"/>
        <v>'6806.HK'</v>
      </c>
      <c r="D220" s="22" t="s">
        <v>1355</v>
      </c>
      <c r="E220" s="22" t="s">
        <v>1130</v>
      </c>
      <c r="F220" s="22">
        <v>36558319057.599998</v>
      </c>
      <c r="G220" s="22">
        <v>68</v>
      </c>
      <c r="H220" s="22" t="s">
        <v>1356</v>
      </c>
    </row>
    <row r="221" spans="1:8" x14ac:dyDescent="0.35">
      <c r="A221" s="22" t="s">
        <v>851</v>
      </c>
      <c r="B221" s="22" t="str">
        <f>"00973"</f>
        <v>00973</v>
      </c>
      <c r="C221" s="22" t="str">
        <f t="shared" si="3"/>
        <v>'0973.HK'</v>
      </c>
      <c r="D221" s="22" t="s">
        <v>1357</v>
      </c>
      <c r="E221" s="22" t="s">
        <v>1002</v>
      </c>
      <c r="F221" s="22">
        <v>36333336318.599998</v>
      </c>
      <c r="G221" s="22">
        <v>18</v>
      </c>
      <c r="H221" s="22" t="s">
        <v>1358</v>
      </c>
    </row>
    <row r="222" spans="1:8" x14ac:dyDescent="0.35">
      <c r="A222" s="22" t="s">
        <v>851</v>
      </c>
      <c r="B222" s="22" t="str">
        <f>"01618"</f>
        <v>01618</v>
      </c>
      <c r="C222" s="22" t="str">
        <f t="shared" si="3"/>
        <v>'1618.HK'</v>
      </c>
      <c r="D222" s="22" t="s">
        <v>1359</v>
      </c>
      <c r="E222" s="22" t="s">
        <v>1078</v>
      </c>
      <c r="F222" s="22">
        <v>36266333547.5</v>
      </c>
      <c r="G222" s="22">
        <v>135</v>
      </c>
      <c r="H222" s="22" t="s">
        <v>1360</v>
      </c>
    </row>
    <row r="223" spans="1:8" x14ac:dyDescent="0.35">
      <c r="A223" s="22" t="s">
        <v>851</v>
      </c>
      <c r="B223" s="22" t="str">
        <f>"06078"</f>
        <v>06078</v>
      </c>
      <c r="C223" s="22" t="str">
        <f t="shared" si="3"/>
        <v>'6078.HK'</v>
      </c>
      <c r="D223" s="22" t="s">
        <v>1361</v>
      </c>
      <c r="E223" s="22" t="s">
        <v>1362</v>
      </c>
      <c r="F223" s="22">
        <v>36170874330</v>
      </c>
      <c r="G223" s="22">
        <v>125</v>
      </c>
      <c r="H223" s="22" t="s">
        <v>1363</v>
      </c>
    </row>
    <row r="224" spans="1:8" x14ac:dyDescent="0.35">
      <c r="A224" s="22" t="s">
        <v>851</v>
      </c>
      <c r="B224" s="22" t="str">
        <f>"01347"</f>
        <v>01347</v>
      </c>
      <c r="C224" s="22" t="str">
        <f t="shared" si="3"/>
        <v>'1347.HK'</v>
      </c>
      <c r="D224" s="22" t="s">
        <v>1364</v>
      </c>
      <c r="E224" s="22" t="s">
        <v>1040</v>
      </c>
      <c r="F224" s="22">
        <v>36128646129.449997</v>
      </c>
      <c r="G224" s="22">
        <v>199</v>
      </c>
      <c r="H224" s="22" t="s">
        <v>1365</v>
      </c>
    </row>
    <row r="225" spans="1:8" x14ac:dyDescent="0.35">
      <c r="A225" s="22" t="s">
        <v>851</v>
      </c>
      <c r="B225" s="22" t="str">
        <f>"00177"</f>
        <v>00177</v>
      </c>
      <c r="C225" s="22" t="str">
        <f t="shared" si="3"/>
        <v>'0177.HK'</v>
      </c>
      <c r="D225" s="22" t="s">
        <v>1366</v>
      </c>
      <c r="E225" s="22" t="s">
        <v>1367</v>
      </c>
      <c r="F225" s="22">
        <v>35969517150</v>
      </c>
      <c r="G225" s="22">
        <v>170</v>
      </c>
      <c r="H225" s="22" t="s">
        <v>1368</v>
      </c>
    </row>
    <row r="226" spans="1:8" x14ac:dyDescent="0.35">
      <c r="A226" s="22" t="s">
        <v>851</v>
      </c>
      <c r="B226" s="22" t="str">
        <f>"03931"</f>
        <v>03931</v>
      </c>
      <c r="C226" s="22" t="str">
        <f t="shared" si="3"/>
        <v>'3931.HK'</v>
      </c>
      <c r="D226" s="22" t="s">
        <v>1369</v>
      </c>
      <c r="E226" s="22" t="s">
        <v>1122</v>
      </c>
      <c r="F226" s="22">
        <v>35446037160</v>
      </c>
      <c r="G226" s="22">
        <v>7</v>
      </c>
      <c r="H226" s="22" t="s">
        <v>1370</v>
      </c>
    </row>
    <row r="227" spans="1:8" x14ac:dyDescent="0.35">
      <c r="A227" s="22" t="s">
        <v>851</v>
      </c>
      <c r="B227" s="22" t="str">
        <f>"00966"</f>
        <v>00966</v>
      </c>
      <c r="C227" s="22" t="str">
        <f t="shared" si="3"/>
        <v>'0966.HK'</v>
      </c>
      <c r="D227" s="22" t="s">
        <v>1371</v>
      </c>
      <c r="E227" s="22" t="s">
        <v>870</v>
      </c>
      <c r="F227" s="22">
        <v>35329202228.540001</v>
      </c>
      <c r="G227" s="22">
        <v>560</v>
      </c>
      <c r="H227" s="22" t="s">
        <v>1372</v>
      </c>
    </row>
    <row r="228" spans="1:8" x14ac:dyDescent="0.35">
      <c r="A228" s="22" t="s">
        <v>851</v>
      </c>
      <c r="B228" s="22" t="str">
        <f>"00412"</f>
        <v>00412</v>
      </c>
      <c r="C228" s="22" t="str">
        <f t="shared" si="3"/>
        <v>'0412.HK'</v>
      </c>
      <c r="D228" s="22" t="s">
        <v>1373</v>
      </c>
      <c r="E228" s="22" t="s">
        <v>964</v>
      </c>
      <c r="F228" s="22">
        <v>34732117498.93</v>
      </c>
      <c r="G228" s="22">
        <v>6</v>
      </c>
      <c r="H228" s="22" t="s">
        <v>1374</v>
      </c>
    </row>
    <row r="229" spans="1:8" x14ac:dyDescent="0.35">
      <c r="A229" s="22" t="s">
        <v>851</v>
      </c>
      <c r="B229" s="22" t="str">
        <f>"02367"</f>
        <v>02367</v>
      </c>
      <c r="C229" s="22" t="str">
        <f t="shared" si="3"/>
        <v>'2367.HK'</v>
      </c>
      <c r="D229" s="22" t="s">
        <v>1375</v>
      </c>
      <c r="E229" s="22" t="s">
        <v>941</v>
      </c>
      <c r="F229" s="22">
        <v>34576250000</v>
      </c>
      <c r="G229" s="22">
        <v>5</v>
      </c>
      <c r="H229" s="22" t="s">
        <v>1376</v>
      </c>
    </row>
    <row r="230" spans="1:8" x14ac:dyDescent="0.35">
      <c r="A230" s="22" t="s">
        <v>851</v>
      </c>
      <c r="B230" s="22" t="str">
        <f>"02689"</f>
        <v>02689</v>
      </c>
      <c r="C230" s="22" t="str">
        <f t="shared" si="3"/>
        <v>'2689.HK'</v>
      </c>
      <c r="D230" s="22" t="s">
        <v>1377</v>
      </c>
      <c r="E230" s="22" t="s">
        <v>1378</v>
      </c>
      <c r="F230" s="22">
        <v>34534745168.959999</v>
      </c>
      <c r="G230" s="22">
        <v>146</v>
      </c>
      <c r="H230" s="22" t="s">
        <v>1379</v>
      </c>
    </row>
    <row r="231" spans="1:8" x14ac:dyDescent="0.35">
      <c r="A231" s="22" t="s">
        <v>851</v>
      </c>
      <c r="B231" s="22" t="str">
        <f>"03698"</f>
        <v>03698</v>
      </c>
      <c r="C231" s="22" t="str">
        <f t="shared" si="3"/>
        <v>'3698.HK'</v>
      </c>
      <c r="D231" s="22" t="s">
        <v>1380</v>
      </c>
      <c r="E231" s="22" t="s">
        <v>858</v>
      </c>
      <c r="F231" s="22">
        <v>34446707003.279999</v>
      </c>
      <c r="G231" s="22">
        <v>52</v>
      </c>
      <c r="H231" s="22" t="s">
        <v>1381</v>
      </c>
    </row>
    <row r="232" spans="1:8" x14ac:dyDescent="0.35">
      <c r="A232" s="22" t="s">
        <v>851</v>
      </c>
      <c r="B232" s="22" t="str">
        <f>"01882"</f>
        <v>01882</v>
      </c>
      <c r="C232" s="22" t="str">
        <f t="shared" si="3"/>
        <v>'1882.HK'</v>
      </c>
      <c r="D232" s="22" t="s">
        <v>1382</v>
      </c>
      <c r="E232" s="22" t="s">
        <v>1224</v>
      </c>
      <c r="F232" s="22">
        <v>34314000000</v>
      </c>
      <c r="G232" s="22">
        <v>90</v>
      </c>
      <c r="H232" s="22" t="s">
        <v>1383</v>
      </c>
    </row>
    <row r="233" spans="1:8" x14ac:dyDescent="0.35">
      <c r="A233" s="22" t="s">
        <v>851</v>
      </c>
      <c r="B233" s="22" t="str">
        <f>"00220"</f>
        <v>00220</v>
      </c>
      <c r="C233" s="22" t="str">
        <f t="shared" si="3"/>
        <v>'0220.HK'</v>
      </c>
      <c r="D233" s="22" t="s">
        <v>1384</v>
      </c>
      <c r="E233" s="22" t="s">
        <v>892</v>
      </c>
      <c r="F233" s="22">
        <v>34209125280</v>
      </c>
      <c r="G233" s="22">
        <v>97</v>
      </c>
      <c r="H233" s="22" t="s">
        <v>1385</v>
      </c>
    </row>
    <row r="234" spans="1:8" x14ac:dyDescent="0.35">
      <c r="A234" s="22" t="s">
        <v>851</v>
      </c>
      <c r="B234" s="22" t="str">
        <f>"00880"</f>
        <v>00880</v>
      </c>
      <c r="C234" s="22" t="str">
        <f t="shared" si="3"/>
        <v>'0880.HK'</v>
      </c>
      <c r="D234" s="22" t="s">
        <v>1386</v>
      </c>
      <c r="E234" s="22" t="s">
        <v>961</v>
      </c>
      <c r="F234" s="22">
        <v>33875611595.82</v>
      </c>
      <c r="G234" s="22">
        <v>211</v>
      </c>
      <c r="H234" s="22" t="s">
        <v>1387</v>
      </c>
    </row>
    <row r="235" spans="1:8" x14ac:dyDescent="0.35">
      <c r="A235" s="22" t="s">
        <v>851</v>
      </c>
      <c r="B235" s="22" t="str">
        <f>"09863"</f>
        <v>09863</v>
      </c>
      <c r="C235" s="22" t="str">
        <f t="shared" si="3"/>
        <v>'9863.HK'</v>
      </c>
      <c r="D235" s="22" t="s">
        <v>1388</v>
      </c>
      <c r="E235" s="22" t="s">
        <v>886</v>
      </c>
      <c r="F235" s="22">
        <v>33652693437.549999</v>
      </c>
      <c r="G235" s="22">
        <v>3</v>
      </c>
      <c r="H235" s="22" t="s">
        <v>1389</v>
      </c>
    </row>
    <row r="236" spans="1:8" x14ac:dyDescent="0.35">
      <c r="A236" s="22" t="s">
        <v>851</v>
      </c>
      <c r="B236" s="22" t="str">
        <f>"02799"</f>
        <v>02799</v>
      </c>
      <c r="C236" s="22" t="str">
        <f t="shared" si="3"/>
        <v>'2799.HK'</v>
      </c>
      <c r="D236" s="22" t="s">
        <v>1390</v>
      </c>
      <c r="E236" s="22" t="s">
        <v>964</v>
      </c>
      <c r="F236" s="22">
        <v>33302371804.505001</v>
      </c>
      <c r="G236" s="22">
        <v>420</v>
      </c>
      <c r="H236" s="22" t="s">
        <v>1391</v>
      </c>
    </row>
    <row r="237" spans="1:8" x14ac:dyDescent="0.35">
      <c r="A237" s="22" t="s">
        <v>851</v>
      </c>
      <c r="B237" s="22" t="str">
        <f>"03948"</f>
        <v>03948</v>
      </c>
      <c r="C237" s="22" t="str">
        <f t="shared" si="3"/>
        <v>'3948.HK'</v>
      </c>
      <c r="D237" s="22" t="s">
        <v>1392</v>
      </c>
      <c r="E237" s="22" t="s">
        <v>904</v>
      </c>
      <c r="F237" s="22">
        <v>33060711120</v>
      </c>
      <c r="G237" s="22">
        <v>128</v>
      </c>
      <c r="H237" s="22" t="s">
        <v>1393</v>
      </c>
    </row>
    <row r="238" spans="1:8" x14ac:dyDescent="0.35">
      <c r="A238" s="22" t="s">
        <v>851</v>
      </c>
      <c r="B238" s="22" t="str">
        <f>"01157"</f>
        <v>01157</v>
      </c>
      <c r="C238" s="22" t="str">
        <f t="shared" si="3"/>
        <v>'1157.HK'</v>
      </c>
      <c r="D238" s="22" t="s">
        <v>1394</v>
      </c>
      <c r="E238" s="22" t="s">
        <v>1395</v>
      </c>
      <c r="F238" s="22">
        <v>32976370496.799999</v>
      </c>
      <c r="G238" s="22">
        <v>145</v>
      </c>
      <c r="H238" s="22" t="s">
        <v>1396</v>
      </c>
    </row>
    <row r="239" spans="1:8" x14ac:dyDescent="0.35">
      <c r="A239" s="22" t="s">
        <v>851</v>
      </c>
      <c r="B239" s="22" t="str">
        <f>"01071"</f>
        <v>01071</v>
      </c>
      <c r="C239" s="22" t="str">
        <f t="shared" si="3"/>
        <v>'1071.HK'</v>
      </c>
      <c r="D239" s="22" t="s">
        <v>1397</v>
      </c>
      <c r="E239" s="22" t="s">
        <v>1022</v>
      </c>
      <c r="F239" s="22">
        <v>32965326438.099998</v>
      </c>
      <c r="G239" s="22">
        <v>235</v>
      </c>
      <c r="H239" s="22" t="s">
        <v>1398</v>
      </c>
    </row>
    <row r="240" spans="1:8" x14ac:dyDescent="0.35">
      <c r="A240" s="22" t="s">
        <v>851</v>
      </c>
      <c r="B240" s="22" t="str">
        <f>"00772"</f>
        <v>00772</v>
      </c>
      <c r="C240" s="22" t="str">
        <f t="shared" si="3"/>
        <v>'0772.HK'</v>
      </c>
      <c r="D240" s="22" t="s">
        <v>1399</v>
      </c>
      <c r="E240" s="22" t="s">
        <v>1400</v>
      </c>
      <c r="F240" s="22">
        <v>32792200869.099998</v>
      </c>
      <c r="G240" s="22">
        <v>229</v>
      </c>
      <c r="H240" s="22" t="s">
        <v>1401</v>
      </c>
    </row>
    <row r="241" spans="1:8" x14ac:dyDescent="0.35">
      <c r="A241" s="22" t="s">
        <v>851</v>
      </c>
      <c r="B241" s="22" t="str">
        <f>"00392"</f>
        <v>00392</v>
      </c>
      <c r="C241" s="22" t="str">
        <f t="shared" si="3"/>
        <v>'0392.HK'</v>
      </c>
      <c r="D241" s="22" t="s">
        <v>1402</v>
      </c>
      <c r="E241" s="22" t="s">
        <v>1031</v>
      </c>
      <c r="F241" s="22">
        <v>32603396977.799999</v>
      </c>
      <c r="G241" s="22">
        <v>538</v>
      </c>
      <c r="H241" s="22" t="s">
        <v>1403</v>
      </c>
    </row>
    <row r="242" spans="1:8" x14ac:dyDescent="0.35">
      <c r="A242" s="22" t="s">
        <v>851</v>
      </c>
      <c r="B242" s="22" t="str">
        <f>"09995"</f>
        <v>09995</v>
      </c>
      <c r="C242" s="22" t="str">
        <f t="shared" si="3"/>
        <v>'9995.HK'</v>
      </c>
      <c r="D242" s="22" t="s">
        <v>1404</v>
      </c>
      <c r="E242" s="22" t="s">
        <v>941</v>
      </c>
      <c r="F242" s="22">
        <v>32574140729.549999</v>
      </c>
      <c r="G242" s="22">
        <v>67</v>
      </c>
      <c r="H242" s="22" t="s">
        <v>1405</v>
      </c>
    </row>
    <row r="243" spans="1:8" x14ac:dyDescent="0.35">
      <c r="A243" s="22" t="s">
        <v>851</v>
      </c>
      <c r="B243" s="22" t="str">
        <f>"02039"</f>
        <v>02039</v>
      </c>
      <c r="C243" s="22" t="str">
        <f t="shared" si="3"/>
        <v>'2039.HK'</v>
      </c>
      <c r="D243" s="22" t="s">
        <v>1406</v>
      </c>
      <c r="E243" s="22" t="s">
        <v>1109</v>
      </c>
      <c r="F243" s="22">
        <v>32085496290.75</v>
      </c>
      <c r="G243" s="22">
        <v>116</v>
      </c>
      <c r="H243" s="22" t="s">
        <v>1407</v>
      </c>
    </row>
    <row r="244" spans="1:8" x14ac:dyDescent="0.35">
      <c r="A244" s="22" t="s">
        <v>851</v>
      </c>
      <c r="B244" s="22" t="str">
        <f>"06060"</f>
        <v>06060</v>
      </c>
      <c r="C244" s="22" t="str">
        <f t="shared" si="3"/>
        <v>'6060.HK'</v>
      </c>
      <c r="D244" s="22" t="s">
        <v>1408</v>
      </c>
      <c r="E244" s="22" t="s">
        <v>870</v>
      </c>
      <c r="F244" s="22">
        <v>31894939930</v>
      </c>
      <c r="G244" s="22">
        <v>174</v>
      </c>
      <c r="H244" s="22" t="s">
        <v>1409</v>
      </c>
    </row>
    <row r="245" spans="1:8" x14ac:dyDescent="0.35">
      <c r="A245" s="22" t="s">
        <v>851</v>
      </c>
      <c r="B245" s="22" t="str">
        <f>"03958"</f>
        <v>03958</v>
      </c>
      <c r="C245" s="22" t="str">
        <f t="shared" si="3"/>
        <v>'3958.HK'</v>
      </c>
      <c r="D245" s="22" t="s">
        <v>1410</v>
      </c>
      <c r="E245" s="22" t="s">
        <v>1130</v>
      </c>
      <c r="F245" s="22">
        <v>31777453392.080002</v>
      </c>
      <c r="G245" s="22">
        <v>132</v>
      </c>
      <c r="H245" s="22" t="s">
        <v>1411</v>
      </c>
    </row>
    <row r="246" spans="1:8" x14ac:dyDescent="0.35">
      <c r="A246" s="22" t="s">
        <v>851</v>
      </c>
      <c r="B246" s="22" t="str">
        <f>"02208"</f>
        <v>02208</v>
      </c>
      <c r="C246" s="22" t="str">
        <f t="shared" si="3"/>
        <v>'2208.HK'</v>
      </c>
      <c r="D246" s="22" t="s">
        <v>1412</v>
      </c>
      <c r="E246" s="22" t="s">
        <v>1301</v>
      </c>
      <c r="F246" s="22">
        <v>31138748558.389999</v>
      </c>
      <c r="G246" s="22">
        <v>116</v>
      </c>
      <c r="H246" s="22" t="s">
        <v>1413</v>
      </c>
    </row>
    <row r="247" spans="1:8" x14ac:dyDescent="0.35">
      <c r="A247" s="22" t="s">
        <v>851</v>
      </c>
      <c r="B247" s="22" t="str">
        <f>"03918"</f>
        <v>03918</v>
      </c>
      <c r="C247" s="22" t="str">
        <f t="shared" si="3"/>
        <v>'3918.HK'</v>
      </c>
      <c r="D247" s="22" t="s">
        <v>1414</v>
      </c>
      <c r="E247" s="22" t="s">
        <v>961</v>
      </c>
      <c r="F247" s="22">
        <v>31113168113.400002</v>
      </c>
      <c r="G247" s="22">
        <v>85</v>
      </c>
      <c r="H247" s="22" t="s">
        <v>1415</v>
      </c>
    </row>
    <row r="248" spans="1:8" x14ac:dyDescent="0.35">
      <c r="A248" s="22" t="s">
        <v>851</v>
      </c>
      <c r="B248" s="22" t="str">
        <f>"01691"</f>
        <v>01691</v>
      </c>
      <c r="C248" s="22" t="str">
        <f t="shared" si="3"/>
        <v>'1691.HK'</v>
      </c>
      <c r="D248" s="22" t="s">
        <v>1416</v>
      </c>
      <c r="E248" s="22" t="s">
        <v>953</v>
      </c>
      <c r="F248" s="22">
        <v>31032157019.759998</v>
      </c>
      <c r="G248" s="22">
        <v>34</v>
      </c>
      <c r="H248" s="22" t="s">
        <v>1417</v>
      </c>
    </row>
    <row r="249" spans="1:8" x14ac:dyDescent="0.35">
      <c r="A249" s="22" t="s">
        <v>851</v>
      </c>
      <c r="B249" s="22" t="str">
        <f>"09698"</f>
        <v>09698</v>
      </c>
      <c r="C249" s="22" t="str">
        <f t="shared" si="3"/>
        <v>'9698.HK'</v>
      </c>
      <c r="D249" s="22" t="s">
        <v>1418</v>
      </c>
      <c r="E249" s="22" t="s">
        <v>1202</v>
      </c>
      <c r="F249" s="22">
        <v>31024985000</v>
      </c>
      <c r="G249" s="22">
        <v>40</v>
      </c>
      <c r="H249" s="22" t="s">
        <v>1419</v>
      </c>
    </row>
    <row r="250" spans="1:8" x14ac:dyDescent="0.35">
      <c r="A250" s="22" t="s">
        <v>851</v>
      </c>
      <c r="B250" s="22" t="str">
        <f>"09922"</f>
        <v>09922</v>
      </c>
      <c r="C250" s="22" t="str">
        <f t="shared" si="3"/>
        <v>'9922.HK'</v>
      </c>
      <c r="D250" s="22" t="s">
        <v>1420</v>
      </c>
      <c r="E250" s="22" t="s">
        <v>981</v>
      </c>
      <c r="F250" s="22">
        <v>30894994625</v>
      </c>
      <c r="G250" s="22">
        <v>156</v>
      </c>
      <c r="H250" s="22" t="s">
        <v>1421</v>
      </c>
    </row>
    <row r="251" spans="1:8" x14ac:dyDescent="0.35">
      <c r="A251" s="22" t="s">
        <v>851</v>
      </c>
      <c r="B251" s="22" t="str">
        <f>"03808"</f>
        <v>03808</v>
      </c>
      <c r="C251" s="22" t="str">
        <f t="shared" si="3"/>
        <v>'3808.HK'</v>
      </c>
      <c r="D251" s="22" t="s">
        <v>1422</v>
      </c>
      <c r="E251" s="22" t="s">
        <v>1109</v>
      </c>
      <c r="F251" s="22">
        <v>30867905530.02</v>
      </c>
      <c r="G251" s="22">
        <v>94</v>
      </c>
      <c r="H251" s="22" t="s">
        <v>1423</v>
      </c>
    </row>
    <row r="252" spans="1:8" x14ac:dyDescent="0.35">
      <c r="A252" s="22" t="s">
        <v>851</v>
      </c>
      <c r="B252" s="22" t="str">
        <f>"02518"</f>
        <v>02518</v>
      </c>
      <c r="C252" s="22" t="str">
        <f t="shared" si="3"/>
        <v>'2518.HK'</v>
      </c>
      <c r="D252" s="22" t="s">
        <v>1424</v>
      </c>
      <c r="E252" s="22" t="s">
        <v>853</v>
      </c>
      <c r="F252" s="22">
        <v>30792625500</v>
      </c>
      <c r="G252" s="22">
        <v>9</v>
      </c>
      <c r="H252" s="22" t="s">
        <v>1425</v>
      </c>
    </row>
    <row r="253" spans="1:8" x14ac:dyDescent="0.35">
      <c r="A253" s="22" t="s">
        <v>851</v>
      </c>
      <c r="B253" s="22" t="str">
        <f>"00586"</f>
        <v>00586</v>
      </c>
      <c r="C253" s="22" t="str">
        <f t="shared" si="3"/>
        <v>'0586.HK'</v>
      </c>
      <c r="D253" s="22" t="s">
        <v>1426</v>
      </c>
      <c r="E253" s="22" t="s">
        <v>1301</v>
      </c>
      <c r="F253" s="22">
        <v>30748226600.639999</v>
      </c>
      <c r="G253" s="22">
        <v>75</v>
      </c>
      <c r="H253" s="22" t="s">
        <v>1427</v>
      </c>
    </row>
    <row r="254" spans="1:8" x14ac:dyDescent="0.35">
      <c r="A254" s="22" t="s">
        <v>851</v>
      </c>
      <c r="B254" s="22" t="str">
        <f>"06993"</f>
        <v>06993</v>
      </c>
      <c r="C254" s="22" t="str">
        <f t="shared" si="3"/>
        <v>'6993.HK'</v>
      </c>
      <c r="D254" s="22" t="s">
        <v>1428</v>
      </c>
      <c r="E254" s="22" t="s">
        <v>1429</v>
      </c>
      <c r="F254" s="22">
        <v>30716536287.439999</v>
      </c>
      <c r="G254" s="22">
        <v>104</v>
      </c>
      <c r="H254" s="22" t="s">
        <v>1430</v>
      </c>
    </row>
    <row r="255" spans="1:8" x14ac:dyDescent="0.35">
      <c r="A255" s="22" t="s">
        <v>851</v>
      </c>
      <c r="B255" s="22" t="str">
        <f>"01999"</f>
        <v>01999</v>
      </c>
      <c r="C255" s="22" t="str">
        <f t="shared" si="3"/>
        <v>'1999.HK'</v>
      </c>
      <c r="D255" s="22" t="s">
        <v>1431</v>
      </c>
      <c r="E255" s="22" t="s">
        <v>1429</v>
      </c>
      <c r="F255" s="22">
        <v>30681043812</v>
      </c>
      <c r="G255" s="22">
        <v>220</v>
      </c>
      <c r="H255" s="22" t="s">
        <v>1432</v>
      </c>
    </row>
    <row r="256" spans="1:8" x14ac:dyDescent="0.35">
      <c r="A256" s="22" t="s">
        <v>851</v>
      </c>
      <c r="B256" s="22" t="str">
        <f>"03618"</f>
        <v>03618</v>
      </c>
      <c r="C256" s="22" t="str">
        <f t="shared" si="3"/>
        <v>'3618.HK'</v>
      </c>
      <c r="D256" s="22" t="s">
        <v>1433</v>
      </c>
      <c r="E256" s="22" t="s">
        <v>858</v>
      </c>
      <c r="F256" s="22">
        <v>30663900000</v>
      </c>
      <c r="G256" s="22">
        <v>362</v>
      </c>
      <c r="H256" s="22" t="s">
        <v>1434</v>
      </c>
    </row>
    <row r="257" spans="1:8" x14ac:dyDescent="0.35">
      <c r="A257" s="22" t="s">
        <v>851</v>
      </c>
      <c r="B257" s="22" t="str">
        <f>"00867"</f>
        <v>00867</v>
      </c>
      <c r="C257" s="22" t="str">
        <f t="shared" si="3"/>
        <v>'0867.HK'</v>
      </c>
      <c r="D257" s="22" t="s">
        <v>1435</v>
      </c>
      <c r="E257" s="22" t="s">
        <v>969</v>
      </c>
      <c r="F257" s="22">
        <v>30551776859.52</v>
      </c>
      <c r="G257" s="22">
        <v>169</v>
      </c>
      <c r="H257" s="22" t="s">
        <v>1436</v>
      </c>
    </row>
    <row r="258" spans="1:8" x14ac:dyDescent="0.35">
      <c r="A258" s="22" t="s">
        <v>851</v>
      </c>
      <c r="B258" s="22" t="str">
        <f>"00123"</f>
        <v>00123</v>
      </c>
      <c r="C258" s="22" t="str">
        <f t="shared" si="3"/>
        <v>'0123.HK'</v>
      </c>
      <c r="D258" s="22" t="s">
        <v>1437</v>
      </c>
      <c r="E258" s="22" t="s">
        <v>924</v>
      </c>
      <c r="F258" s="22">
        <v>30283340530.860001</v>
      </c>
      <c r="G258" s="22">
        <v>99</v>
      </c>
      <c r="H258" s="22" t="s">
        <v>1438</v>
      </c>
    </row>
    <row r="259" spans="1:8" x14ac:dyDescent="0.35">
      <c r="A259" s="22" t="s">
        <v>851</v>
      </c>
      <c r="B259" s="22" t="str">
        <f>"01551"</f>
        <v>01551</v>
      </c>
      <c r="C259" s="22" t="str">
        <f t="shared" ref="C259:C322" si="4">CONCATENATE("'",RIGHT(B259,4),".HK'")</f>
        <v>'1551.HK'</v>
      </c>
      <c r="D259" s="22" t="s">
        <v>1439</v>
      </c>
      <c r="E259" s="22" t="s">
        <v>858</v>
      </c>
      <c r="F259" s="22">
        <v>30231348942.959999</v>
      </c>
      <c r="G259" s="22">
        <v>37</v>
      </c>
      <c r="H259" s="22" t="s">
        <v>1440</v>
      </c>
    </row>
    <row r="260" spans="1:8" x14ac:dyDescent="0.35">
      <c r="A260" s="22" t="s">
        <v>851</v>
      </c>
      <c r="B260" s="22" t="str">
        <f>"01138"</f>
        <v>01138</v>
      </c>
      <c r="C260" s="22" t="str">
        <f t="shared" si="4"/>
        <v>'1138.HK'</v>
      </c>
      <c r="D260" s="22" t="s">
        <v>1441</v>
      </c>
      <c r="E260" s="22" t="s">
        <v>1047</v>
      </c>
      <c r="F260" s="22">
        <v>30103599052.450001</v>
      </c>
      <c r="G260" s="22">
        <v>159</v>
      </c>
      <c r="H260" s="22" t="s">
        <v>1442</v>
      </c>
    </row>
    <row r="261" spans="1:8" x14ac:dyDescent="0.35">
      <c r="A261" s="22" t="s">
        <v>851</v>
      </c>
      <c r="B261" s="22" t="str">
        <f>"01818"</f>
        <v>01818</v>
      </c>
      <c r="C261" s="22" t="str">
        <f t="shared" si="4"/>
        <v>'1818.HK'</v>
      </c>
      <c r="D261" s="22" t="s">
        <v>1443</v>
      </c>
      <c r="E261" s="22" t="s">
        <v>929</v>
      </c>
      <c r="F261" s="22">
        <v>29924097816.599998</v>
      </c>
      <c r="G261" s="22">
        <v>55</v>
      </c>
      <c r="H261" s="22" t="s">
        <v>1444</v>
      </c>
    </row>
    <row r="262" spans="1:8" x14ac:dyDescent="0.35">
      <c r="A262" s="22" t="s">
        <v>851</v>
      </c>
      <c r="B262" s="22" t="str">
        <f>"09992"</f>
        <v>09992</v>
      </c>
      <c r="C262" s="22" t="str">
        <f t="shared" si="4"/>
        <v>'9992.HK'</v>
      </c>
      <c r="D262" s="22" t="s">
        <v>1445</v>
      </c>
      <c r="E262" s="22" t="s">
        <v>1446</v>
      </c>
      <c r="F262" s="22">
        <v>29888702907.5</v>
      </c>
      <c r="G262" s="22">
        <v>141</v>
      </c>
      <c r="H262" s="22" t="s">
        <v>1447</v>
      </c>
    </row>
    <row r="263" spans="1:8" x14ac:dyDescent="0.35">
      <c r="A263" s="22" t="s">
        <v>851</v>
      </c>
      <c r="B263" s="22" t="str">
        <f>"01910"</f>
        <v>01910</v>
      </c>
      <c r="C263" s="22" t="str">
        <f t="shared" si="4"/>
        <v>'1910.HK'</v>
      </c>
      <c r="D263" s="22" t="s">
        <v>1448</v>
      </c>
      <c r="E263" s="22" t="s">
        <v>1065</v>
      </c>
      <c r="F263" s="22">
        <v>29847574846.5</v>
      </c>
      <c r="G263" s="22">
        <v>30</v>
      </c>
      <c r="H263" s="22" t="s">
        <v>1449</v>
      </c>
    </row>
    <row r="264" spans="1:8" x14ac:dyDescent="0.35">
      <c r="A264" s="22" t="s">
        <v>851</v>
      </c>
      <c r="B264" s="22" t="str">
        <f>"01579"</f>
        <v>01579</v>
      </c>
      <c r="C264" s="22" t="str">
        <f t="shared" si="4"/>
        <v>'1579.HK'</v>
      </c>
      <c r="D264" s="22" t="s">
        <v>1450</v>
      </c>
      <c r="E264" s="22" t="s">
        <v>1451</v>
      </c>
      <c r="F264" s="22">
        <v>29679615000</v>
      </c>
      <c r="G264" s="22">
        <v>392</v>
      </c>
      <c r="H264" s="22" t="s">
        <v>1452</v>
      </c>
    </row>
    <row r="265" spans="1:8" x14ac:dyDescent="0.35">
      <c r="A265" s="22" t="s">
        <v>851</v>
      </c>
      <c r="B265" s="22" t="str">
        <f>"02252"</f>
        <v>02252</v>
      </c>
      <c r="C265" s="22" t="str">
        <f t="shared" si="4"/>
        <v>'2252.HK'</v>
      </c>
      <c r="D265" s="22" t="s">
        <v>1453</v>
      </c>
      <c r="E265" s="22" t="s">
        <v>1232</v>
      </c>
      <c r="F265" s="22">
        <v>29668479069.450001</v>
      </c>
      <c r="G265" s="22">
        <v>23</v>
      </c>
      <c r="H265" s="22" t="s">
        <v>1454</v>
      </c>
    </row>
    <row r="266" spans="1:8" x14ac:dyDescent="0.35">
      <c r="A266" s="22" t="s">
        <v>851</v>
      </c>
      <c r="B266" s="22" t="str">
        <f>"01313"</f>
        <v>01313</v>
      </c>
      <c r="C266" s="22" t="str">
        <f t="shared" si="4"/>
        <v>'1313.HK'</v>
      </c>
      <c r="D266" s="22" t="s">
        <v>1455</v>
      </c>
      <c r="E266" s="22" t="s">
        <v>1016</v>
      </c>
      <c r="F266" s="22">
        <v>29537826965.91</v>
      </c>
      <c r="G266" s="22">
        <v>131</v>
      </c>
      <c r="H266" s="22" t="s">
        <v>1456</v>
      </c>
    </row>
    <row r="267" spans="1:8" x14ac:dyDescent="0.35">
      <c r="A267" s="22" t="s">
        <v>851</v>
      </c>
      <c r="B267" s="22" t="str">
        <f>"02096"</f>
        <v>02096</v>
      </c>
      <c r="C267" s="22" t="str">
        <f t="shared" si="4"/>
        <v>'2096.HK'</v>
      </c>
      <c r="D267" s="22" t="s">
        <v>1457</v>
      </c>
      <c r="E267" s="22" t="s">
        <v>969</v>
      </c>
      <c r="F267" s="22">
        <v>29370557862.720001</v>
      </c>
      <c r="G267" s="22">
        <v>34</v>
      </c>
      <c r="H267" s="22" t="s">
        <v>1458</v>
      </c>
    </row>
    <row r="268" spans="1:8" x14ac:dyDescent="0.35">
      <c r="A268" s="22" t="s">
        <v>851</v>
      </c>
      <c r="B268" s="22" t="str">
        <f>"02669"</f>
        <v>02669</v>
      </c>
      <c r="C268" s="22" t="str">
        <f t="shared" si="4"/>
        <v>'2669.HK'</v>
      </c>
      <c r="D268" s="22" t="s">
        <v>1459</v>
      </c>
      <c r="E268" s="22" t="s">
        <v>1104</v>
      </c>
      <c r="F268" s="22">
        <v>28924372048</v>
      </c>
      <c r="G268" s="22">
        <v>167</v>
      </c>
      <c r="H268" s="22" t="s">
        <v>1460</v>
      </c>
    </row>
    <row r="269" spans="1:8" x14ac:dyDescent="0.35">
      <c r="A269" s="22" t="s">
        <v>851</v>
      </c>
      <c r="B269" s="22" t="str">
        <f>"03900"</f>
        <v>03900</v>
      </c>
      <c r="C269" s="22" t="str">
        <f t="shared" si="4"/>
        <v>'3900.HK'</v>
      </c>
      <c r="D269" s="22" t="s">
        <v>1461</v>
      </c>
      <c r="E269" s="22" t="s">
        <v>924</v>
      </c>
      <c r="F269" s="22">
        <v>28864785066</v>
      </c>
      <c r="G269" s="22">
        <v>374</v>
      </c>
      <c r="H269" s="22" t="s">
        <v>1462</v>
      </c>
    </row>
    <row r="270" spans="1:8" x14ac:dyDescent="0.35">
      <c r="A270" s="22" t="s">
        <v>851</v>
      </c>
      <c r="B270" s="22" t="str">
        <f>"09668"</f>
        <v>09668</v>
      </c>
      <c r="C270" s="22" t="str">
        <f t="shared" si="4"/>
        <v>'9668.HK'</v>
      </c>
      <c r="D270" s="22" t="s">
        <v>1463</v>
      </c>
      <c r="E270" s="22" t="s">
        <v>858</v>
      </c>
      <c r="F270" s="22">
        <v>28774440000</v>
      </c>
      <c r="G270" s="22">
        <v>11</v>
      </c>
      <c r="H270" s="22" t="s">
        <v>1464</v>
      </c>
    </row>
    <row r="271" spans="1:8" x14ac:dyDescent="0.35">
      <c r="A271" s="22" t="s">
        <v>851</v>
      </c>
      <c r="B271" s="22" t="str">
        <f>"03331"</f>
        <v>03331</v>
      </c>
      <c r="C271" s="22" t="str">
        <f t="shared" si="4"/>
        <v>'3331.HK'</v>
      </c>
      <c r="D271" s="22" t="s">
        <v>1465</v>
      </c>
      <c r="E271" s="22" t="s">
        <v>1283</v>
      </c>
      <c r="F271" s="22">
        <v>28637953877.400002</v>
      </c>
      <c r="G271" s="22">
        <v>139</v>
      </c>
      <c r="H271" s="22" t="s">
        <v>1466</v>
      </c>
    </row>
    <row r="272" spans="1:8" x14ac:dyDescent="0.35">
      <c r="A272" s="22" t="s">
        <v>851</v>
      </c>
      <c r="B272" s="22" t="str">
        <f>"06660"</f>
        <v>06660</v>
      </c>
      <c r="C272" s="22" t="str">
        <f t="shared" si="4"/>
        <v>'6660.HK'</v>
      </c>
      <c r="D272" s="22" t="s">
        <v>1467</v>
      </c>
      <c r="E272" s="22" t="s">
        <v>969</v>
      </c>
      <c r="F272" s="22">
        <v>28581077336.400002</v>
      </c>
      <c r="H272" s="22" t="s">
        <v>1468</v>
      </c>
    </row>
    <row r="273" spans="1:8" x14ac:dyDescent="0.35">
      <c r="A273" s="22" t="s">
        <v>851</v>
      </c>
      <c r="B273" s="22" t="str">
        <f>"00148"</f>
        <v>00148</v>
      </c>
      <c r="C273" s="22" t="str">
        <f t="shared" si="4"/>
        <v>'0148.HK'</v>
      </c>
      <c r="D273" s="22" t="s">
        <v>1469</v>
      </c>
      <c r="E273" s="22" t="s">
        <v>1224</v>
      </c>
      <c r="F273" s="22">
        <v>28218749681.200001</v>
      </c>
      <c r="G273" s="22">
        <v>108</v>
      </c>
      <c r="H273" s="22" t="s">
        <v>1470</v>
      </c>
    </row>
    <row r="274" spans="1:8" x14ac:dyDescent="0.35">
      <c r="A274" s="22" t="s">
        <v>851</v>
      </c>
      <c r="B274" s="22" t="str">
        <f>"02727"</f>
        <v>02727</v>
      </c>
      <c r="C274" s="22" t="str">
        <f t="shared" si="4"/>
        <v>'2727.HK'</v>
      </c>
      <c r="D274" s="22" t="s">
        <v>1471</v>
      </c>
      <c r="E274" s="22" t="s">
        <v>1301</v>
      </c>
      <c r="F274" s="22">
        <v>28199454456.52</v>
      </c>
      <c r="G274" s="22">
        <v>114</v>
      </c>
      <c r="H274" s="22" t="s">
        <v>1472</v>
      </c>
    </row>
    <row r="275" spans="1:8" x14ac:dyDescent="0.35">
      <c r="A275" s="22" t="s">
        <v>851</v>
      </c>
      <c r="B275" s="22" t="str">
        <f>"02357"</f>
        <v>02357</v>
      </c>
      <c r="C275" s="22" t="str">
        <f t="shared" si="4"/>
        <v>'2357.HK'</v>
      </c>
      <c r="D275" s="22" t="s">
        <v>1473</v>
      </c>
      <c r="E275" s="22" t="s">
        <v>1474</v>
      </c>
      <c r="F275" s="22">
        <v>27992136038.459999</v>
      </c>
      <c r="G275" s="22">
        <v>79</v>
      </c>
      <c r="H275" s="22" t="s">
        <v>1475</v>
      </c>
    </row>
    <row r="276" spans="1:8" x14ac:dyDescent="0.35">
      <c r="A276" s="22" t="s">
        <v>851</v>
      </c>
      <c r="B276" s="22" t="str">
        <f>"00008"</f>
        <v>00008</v>
      </c>
      <c r="C276" s="22" t="str">
        <f t="shared" si="4"/>
        <v>'0008.HK'</v>
      </c>
      <c r="D276" s="22" t="s">
        <v>1476</v>
      </c>
      <c r="E276" s="22" t="s">
        <v>865</v>
      </c>
      <c r="F276" s="22">
        <v>27940094078.889999</v>
      </c>
      <c r="G276" s="22">
        <v>48</v>
      </c>
      <c r="H276" s="22" t="s">
        <v>1477</v>
      </c>
    </row>
    <row r="277" spans="1:8" x14ac:dyDescent="0.35">
      <c r="A277" s="22" t="s">
        <v>851</v>
      </c>
      <c r="B277" s="22" t="str">
        <f>"03969"</f>
        <v>03969</v>
      </c>
      <c r="C277" s="22" t="str">
        <f t="shared" si="4"/>
        <v>'3969.HK'</v>
      </c>
      <c r="D277" s="22" t="s">
        <v>1478</v>
      </c>
      <c r="E277" s="22" t="s">
        <v>1202</v>
      </c>
      <c r="F277" s="22">
        <v>27109936640</v>
      </c>
      <c r="G277" s="22">
        <v>135</v>
      </c>
      <c r="H277" s="22" t="s">
        <v>1479</v>
      </c>
    </row>
    <row r="278" spans="1:8" x14ac:dyDescent="0.35">
      <c r="A278" s="22" t="s">
        <v>851</v>
      </c>
      <c r="B278" s="22" t="str">
        <f>"06049"</f>
        <v>06049</v>
      </c>
      <c r="C278" s="22" t="str">
        <f t="shared" si="4"/>
        <v>'6049.HK'</v>
      </c>
      <c r="D278" s="22" t="s">
        <v>1480</v>
      </c>
      <c r="E278" s="22" t="s">
        <v>1104</v>
      </c>
      <c r="F278" s="22">
        <v>27085669930</v>
      </c>
      <c r="G278" s="22">
        <v>198</v>
      </c>
      <c r="H278" s="22" t="s">
        <v>1481</v>
      </c>
    </row>
    <row r="279" spans="1:8" x14ac:dyDescent="0.35">
      <c r="A279" s="22" t="s">
        <v>851</v>
      </c>
      <c r="B279" s="22" t="str">
        <f>"01888"</f>
        <v>01888</v>
      </c>
      <c r="C279" s="22" t="str">
        <f t="shared" si="4"/>
        <v>'1888.HK'</v>
      </c>
      <c r="D279" s="22" t="s">
        <v>1482</v>
      </c>
      <c r="E279" s="22" t="s">
        <v>1224</v>
      </c>
      <c r="F279" s="22">
        <v>26956800000</v>
      </c>
      <c r="G279" s="22">
        <v>102</v>
      </c>
      <c r="H279" s="22" t="s">
        <v>1483</v>
      </c>
    </row>
    <row r="280" spans="1:8" x14ac:dyDescent="0.35">
      <c r="A280" s="22" t="s">
        <v>851</v>
      </c>
      <c r="B280" s="22" t="str">
        <f>"09896"</f>
        <v>09896</v>
      </c>
      <c r="C280" s="22" t="str">
        <f t="shared" si="4"/>
        <v>'9896.HK'</v>
      </c>
      <c r="D280" s="22" t="s">
        <v>1484</v>
      </c>
      <c r="E280" s="22" t="s">
        <v>1485</v>
      </c>
      <c r="F280" s="22">
        <v>26796765638.25</v>
      </c>
      <c r="G280" s="22">
        <v>4</v>
      </c>
      <c r="H280" s="22" t="s">
        <v>1486</v>
      </c>
    </row>
    <row r="281" spans="1:8" x14ac:dyDescent="0.35">
      <c r="A281" s="22" t="s">
        <v>851</v>
      </c>
      <c r="B281" s="22" t="str">
        <f>"00014"</f>
        <v>00014</v>
      </c>
      <c r="C281" s="22" t="str">
        <f t="shared" si="4"/>
        <v>'0014.HK'</v>
      </c>
      <c r="D281" s="22" t="s">
        <v>1487</v>
      </c>
      <c r="E281" s="22" t="s">
        <v>1028</v>
      </c>
      <c r="F281" s="22">
        <v>26702213798</v>
      </c>
      <c r="G281" s="22">
        <v>51</v>
      </c>
      <c r="H281" s="22" t="s">
        <v>1488</v>
      </c>
    </row>
    <row r="282" spans="1:8" x14ac:dyDescent="0.35">
      <c r="A282" s="22" t="s">
        <v>851</v>
      </c>
      <c r="B282" s="22" t="str">
        <f>"00576"</f>
        <v>00576</v>
      </c>
      <c r="C282" s="22" t="str">
        <f t="shared" si="4"/>
        <v>'0576.HK'</v>
      </c>
      <c r="D282" s="22" t="s">
        <v>1489</v>
      </c>
      <c r="E282" s="22" t="s">
        <v>1367</v>
      </c>
      <c r="F282" s="22">
        <v>26666723030</v>
      </c>
      <c r="G282" s="22">
        <v>124</v>
      </c>
      <c r="H282" s="22" t="s">
        <v>1490</v>
      </c>
    </row>
    <row r="283" spans="1:8" x14ac:dyDescent="0.35">
      <c r="A283" s="22" t="s">
        <v>851</v>
      </c>
      <c r="B283" s="22" t="str">
        <f>"00659"</f>
        <v>00659</v>
      </c>
      <c r="C283" s="22" t="str">
        <f t="shared" si="4"/>
        <v>'0659.HK'</v>
      </c>
      <c r="D283" s="22" t="s">
        <v>1491</v>
      </c>
      <c r="E283" s="22" t="s">
        <v>958</v>
      </c>
      <c r="F283" s="22">
        <v>26590909373.200001</v>
      </c>
      <c r="G283" s="22">
        <v>41</v>
      </c>
      <c r="H283" s="22" t="s">
        <v>1492</v>
      </c>
    </row>
    <row r="284" spans="1:8" x14ac:dyDescent="0.35">
      <c r="A284" s="22" t="s">
        <v>851</v>
      </c>
      <c r="B284" s="22" t="str">
        <f>"00694"</f>
        <v>00694</v>
      </c>
      <c r="C284" s="22" t="str">
        <f t="shared" si="4"/>
        <v>'0694.HK'</v>
      </c>
      <c r="D284" s="22" t="s">
        <v>1493</v>
      </c>
      <c r="E284" s="22" t="s">
        <v>1081</v>
      </c>
      <c r="F284" s="22">
        <v>26559238066.599998</v>
      </c>
      <c r="G284" s="22">
        <v>182</v>
      </c>
      <c r="H284" s="22" t="s">
        <v>1494</v>
      </c>
    </row>
    <row r="285" spans="1:8" x14ac:dyDescent="0.35">
      <c r="A285" s="22" t="s">
        <v>851</v>
      </c>
      <c r="B285" s="22" t="str">
        <f>"01385"</f>
        <v>01385</v>
      </c>
      <c r="C285" s="22" t="str">
        <f t="shared" si="4"/>
        <v>'1385.HK'</v>
      </c>
      <c r="D285" s="22" t="s">
        <v>1495</v>
      </c>
      <c r="E285" s="22" t="s">
        <v>1040</v>
      </c>
      <c r="F285" s="22">
        <v>26500503425</v>
      </c>
      <c r="G285" s="22">
        <v>24</v>
      </c>
      <c r="H285" s="22" t="s">
        <v>1496</v>
      </c>
    </row>
    <row r="286" spans="1:8" x14ac:dyDescent="0.35">
      <c r="A286" s="22" t="s">
        <v>851</v>
      </c>
      <c r="B286" s="22" t="str">
        <f>"03360"</f>
        <v>03360</v>
      </c>
      <c r="C286" s="22" t="str">
        <f t="shared" si="4"/>
        <v>'3360.HK'</v>
      </c>
      <c r="D286" s="22" t="s">
        <v>1497</v>
      </c>
      <c r="E286" s="22" t="s">
        <v>1498</v>
      </c>
      <c r="F286" s="22">
        <v>26453771117.950001</v>
      </c>
      <c r="G286" s="22">
        <v>80</v>
      </c>
      <c r="H286" s="22" t="s">
        <v>1499</v>
      </c>
    </row>
    <row r="287" spans="1:8" x14ac:dyDescent="0.35">
      <c r="A287" s="22" t="s">
        <v>851</v>
      </c>
      <c r="B287" s="22" t="str">
        <f>"03660"</f>
        <v>03660</v>
      </c>
      <c r="C287" s="22" t="str">
        <f t="shared" si="4"/>
        <v>'3660.HK'</v>
      </c>
      <c r="D287" s="22" t="s">
        <v>1500</v>
      </c>
      <c r="E287" s="22" t="s">
        <v>1498</v>
      </c>
      <c r="F287" s="22">
        <v>26146250000</v>
      </c>
      <c r="H287" s="22" t="s">
        <v>1501</v>
      </c>
    </row>
    <row r="288" spans="1:8" x14ac:dyDescent="0.35">
      <c r="A288" s="22" t="s">
        <v>851</v>
      </c>
      <c r="B288" s="22" t="str">
        <f>"06808"</f>
        <v>06808</v>
      </c>
      <c r="C288" s="22" t="str">
        <f t="shared" si="4"/>
        <v>'6808.HK'</v>
      </c>
      <c r="D288" s="22" t="s">
        <v>1502</v>
      </c>
      <c r="E288" s="22" t="s">
        <v>1503</v>
      </c>
      <c r="F288" s="22">
        <v>26138790878</v>
      </c>
      <c r="G288" s="22">
        <v>92</v>
      </c>
      <c r="H288" s="22" t="s">
        <v>1504</v>
      </c>
    </row>
    <row r="289" spans="1:8" x14ac:dyDescent="0.35">
      <c r="A289" s="22" t="s">
        <v>851</v>
      </c>
      <c r="B289" s="22" t="str">
        <f>"02128"</f>
        <v>02128</v>
      </c>
      <c r="C289" s="22" t="str">
        <f t="shared" si="4"/>
        <v>'2128.HK'</v>
      </c>
      <c r="D289" s="22" t="s">
        <v>1505</v>
      </c>
      <c r="E289" s="22" t="s">
        <v>1016</v>
      </c>
      <c r="F289" s="22">
        <v>25843145272</v>
      </c>
      <c r="G289" s="22">
        <v>180</v>
      </c>
      <c r="H289" s="22" t="s">
        <v>1506</v>
      </c>
    </row>
    <row r="290" spans="1:8" x14ac:dyDescent="0.35">
      <c r="A290" s="22" t="s">
        <v>851</v>
      </c>
      <c r="B290" s="22" t="str">
        <f>"00683"</f>
        <v>00683</v>
      </c>
      <c r="C290" s="22" t="str">
        <f t="shared" si="4"/>
        <v>'0683.HK'</v>
      </c>
      <c r="D290" s="22" t="s">
        <v>1507</v>
      </c>
      <c r="E290" s="22" t="s">
        <v>924</v>
      </c>
      <c r="F290" s="22">
        <v>25572006927.360001</v>
      </c>
      <c r="G290" s="22">
        <v>109</v>
      </c>
      <c r="H290" s="22" t="s">
        <v>1508</v>
      </c>
    </row>
    <row r="291" spans="1:8" x14ac:dyDescent="0.35">
      <c r="A291" s="22" t="s">
        <v>851</v>
      </c>
      <c r="B291" s="22" t="str">
        <f>"00023"</f>
        <v>00023</v>
      </c>
      <c r="C291" s="22" t="str">
        <f t="shared" si="4"/>
        <v>'0023.HK'</v>
      </c>
      <c r="D291" s="22" t="s">
        <v>1509</v>
      </c>
      <c r="E291" s="22" t="s">
        <v>858</v>
      </c>
      <c r="F291" s="22">
        <v>25563193332</v>
      </c>
      <c r="G291" s="22">
        <v>63</v>
      </c>
      <c r="H291" s="22" t="s">
        <v>1510</v>
      </c>
    </row>
    <row r="292" spans="1:8" x14ac:dyDescent="0.35">
      <c r="A292" s="22" t="s">
        <v>851</v>
      </c>
      <c r="B292" s="22" t="str">
        <f>"09969"</f>
        <v>09969</v>
      </c>
      <c r="C292" s="22" t="str">
        <f t="shared" si="4"/>
        <v>'9969.HK'</v>
      </c>
      <c r="D292" s="22" t="s">
        <v>1511</v>
      </c>
      <c r="E292" s="22" t="s">
        <v>941</v>
      </c>
      <c r="F292" s="22">
        <v>25370942479.759998</v>
      </c>
      <c r="G292" s="22">
        <v>39</v>
      </c>
      <c r="H292" s="22" t="s">
        <v>1512</v>
      </c>
    </row>
    <row r="293" spans="1:8" x14ac:dyDescent="0.35">
      <c r="A293" s="22" t="s">
        <v>851</v>
      </c>
      <c r="B293" s="22" t="str">
        <f>"00636"</f>
        <v>00636</v>
      </c>
      <c r="C293" s="22" t="str">
        <f t="shared" si="4"/>
        <v>'0636.HK'</v>
      </c>
      <c r="D293" s="22" t="s">
        <v>1513</v>
      </c>
      <c r="E293" s="22" t="s">
        <v>974</v>
      </c>
      <c r="F293" s="22">
        <v>25303947788</v>
      </c>
      <c r="G293" s="22">
        <v>57</v>
      </c>
      <c r="H293" s="22" t="s">
        <v>1514</v>
      </c>
    </row>
    <row r="294" spans="1:8" x14ac:dyDescent="0.35">
      <c r="A294" s="22" t="s">
        <v>851</v>
      </c>
      <c r="B294" s="22" t="str">
        <f>"00631"</f>
        <v>00631</v>
      </c>
      <c r="C294" s="22" t="str">
        <f t="shared" si="4"/>
        <v>'0631.HK'</v>
      </c>
      <c r="D294" s="22" t="s">
        <v>1515</v>
      </c>
      <c r="E294" s="22" t="s">
        <v>1395</v>
      </c>
      <c r="F294" s="22">
        <v>25303577072</v>
      </c>
      <c r="G294" s="22">
        <v>48</v>
      </c>
      <c r="H294" s="22" t="s">
        <v>1516</v>
      </c>
    </row>
    <row r="295" spans="1:8" x14ac:dyDescent="0.35">
      <c r="A295" s="22" t="s">
        <v>851</v>
      </c>
      <c r="B295" s="22" t="str">
        <f>"06198"</f>
        <v>06198</v>
      </c>
      <c r="C295" s="22" t="str">
        <f t="shared" si="4"/>
        <v>'6198.HK'</v>
      </c>
      <c r="D295" s="22" t="s">
        <v>1517</v>
      </c>
      <c r="E295" s="22" t="s">
        <v>1047</v>
      </c>
      <c r="F295" s="22">
        <v>24990735000</v>
      </c>
      <c r="G295" s="22">
        <v>116</v>
      </c>
      <c r="H295" s="22" t="s">
        <v>1518</v>
      </c>
    </row>
    <row r="296" spans="1:8" x14ac:dyDescent="0.35">
      <c r="A296" s="22" t="s">
        <v>851</v>
      </c>
      <c r="B296" s="22" t="str">
        <f>"09985"</f>
        <v>09985</v>
      </c>
      <c r="C296" s="22" t="str">
        <f t="shared" si="4"/>
        <v>'9985.HK'</v>
      </c>
      <c r="D296" s="22" t="s">
        <v>1519</v>
      </c>
      <c r="E296" s="22" t="s">
        <v>1205</v>
      </c>
      <c r="F296" s="22">
        <v>24828144000</v>
      </c>
      <c r="G296" s="22">
        <v>2</v>
      </c>
      <c r="H296" s="22" t="s">
        <v>1520</v>
      </c>
    </row>
    <row r="297" spans="1:8" x14ac:dyDescent="0.35">
      <c r="A297" s="22" t="s">
        <v>851</v>
      </c>
      <c r="B297" s="22" t="str">
        <f>"00425"</f>
        <v>00425</v>
      </c>
      <c r="C297" s="22" t="str">
        <f t="shared" si="4"/>
        <v>'0425.HK'</v>
      </c>
      <c r="D297" s="22" t="s">
        <v>1521</v>
      </c>
      <c r="E297" s="22" t="s">
        <v>1122</v>
      </c>
      <c r="F297" s="22">
        <v>24805194308.650002</v>
      </c>
      <c r="G297" s="22">
        <v>86</v>
      </c>
      <c r="H297" s="22" t="s">
        <v>1522</v>
      </c>
    </row>
    <row r="298" spans="1:8" x14ac:dyDescent="0.35">
      <c r="A298" s="22" t="s">
        <v>851</v>
      </c>
      <c r="B298" s="22" t="str">
        <f>"01114"</f>
        <v>01114</v>
      </c>
      <c r="C298" s="22" t="str">
        <f t="shared" si="4"/>
        <v>'1114.HK'</v>
      </c>
      <c r="D298" s="22" t="s">
        <v>1523</v>
      </c>
      <c r="E298" s="22" t="s">
        <v>886</v>
      </c>
      <c r="F298" s="22">
        <v>24721820001.200001</v>
      </c>
      <c r="G298" s="22">
        <v>85</v>
      </c>
      <c r="H298" s="22" t="s">
        <v>1524</v>
      </c>
    </row>
    <row r="299" spans="1:8" x14ac:dyDescent="0.35">
      <c r="A299" s="22" t="s">
        <v>851</v>
      </c>
      <c r="B299" s="22" t="str">
        <f>"02245"</f>
        <v>02245</v>
      </c>
      <c r="C299" s="22" t="str">
        <f t="shared" si="4"/>
        <v>'2245.HK'</v>
      </c>
      <c r="D299" s="22" t="s">
        <v>1525</v>
      </c>
      <c r="E299" s="22" t="s">
        <v>1060</v>
      </c>
      <c r="F299" s="22">
        <v>24619081600</v>
      </c>
      <c r="H299" s="22" t="s">
        <v>1526</v>
      </c>
    </row>
    <row r="300" spans="1:8" x14ac:dyDescent="0.35">
      <c r="A300" s="22" t="s">
        <v>851</v>
      </c>
      <c r="B300" s="22" t="str">
        <f>"00991"</f>
        <v>00991</v>
      </c>
      <c r="C300" s="22" t="str">
        <f t="shared" si="4"/>
        <v>'0991.HK'</v>
      </c>
      <c r="D300" s="22" t="s">
        <v>1527</v>
      </c>
      <c r="E300" s="22" t="s">
        <v>1022</v>
      </c>
      <c r="F300" s="22">
        <v>24613924970.32</v>
      </c>
      <c r="G300" s="22">
        <v>93</v>
      </c>
      <c r="H300" s="22" t="s">
        <v>1528</v>
      </c>
    </row>
    <row r="301" spans="1:8" x14ac:dyDescent="0.35">
      <c r="A301" s="22" t="s">
        <v>851</v>
      </c>
      <c r="B301" s="22" t="str">
        <f>"01833"</f>
        <v>01833</v>
      </c>
      <c r="C301" s="22" t="str">
        <f t="shared" si="4"/>
        <v>'1833.HK'</v>
      </c>
      <c r="D301" s="22" t="s">
        <v>1529</v>
      </c>
      <c r="E301" s="22" t="s">
        <v>1362</v>
      </c>
      <c r="F301" s="22">
        <v>24613883800</v>
      </c>
      <c r="G301" s="22">
        <v>246</v>
      </c>
      <c r="H301" s="22" t="s">
        <v>1530</v>
      </c>
    </row>
    <row r="302" spans="1:8" x14ac:dyDescent="0.35">
      <c r="A302" s="22" t="s">
        <v>851</v>
      </c>
      <c r="B302" s="22" t="str">
        <f>"09688"</f>
        <v>09688</v>
      </c>
      <c r="C302" s="22" t="str">
        <f t="shared" si="4"/>
        <v>'9688.HK'</v>
      </c>
      <c r="D302" s="22" t="s">
        <v>1531</v>
      </c>
      <c r="E302" s="22" t="s">
        <v>941</v>
      </c>
      <c r="F302" s="22">
        <v>24575094493</v>
      </c>
      <c r="G302" s="22">
        <v>32</v>
      </c>
      <c r="H302" s="22" t="s">
        <v>1532</v>
      </c>
    </row>
    <row r="303" spans="1:8" x14ac:dyDescent="0.35">
      <c r="A303" s="22" t="s">
        <v>851</v>
      </c>
      <c r="B303" s="22" t="str">
        <f>"01513"</f>
        <v>01513</v>
      </c>
      <c r="C303" s="22" t="str">
        <f t="shared" si="4"/>
        <v>'1513.HK'</v>
      </c>
      <c r="D303" s="22" t="s">
        <v>1533</v>
      </c>
      <c r="E303" s="22" t="s">
        <v>969</v>
      </c>
      <c r="F303" s="22">
        <v>24558258033.75</v>
      </c>
      <c r="G303" s="22">
        <v>155</v>
      </c>
      <c r="H303" s="22" t="s">
        <v>1534</v>
      </c>
    </row>
    <row r="304" spans="1:8" x14ac:dyDescent="0.35">
      <c r="A304" s="22" t="s">
        <v>851</v>
      </c>
      <c r="B304" s="22" t="str">
        <f>"06178"</f>
        <v>06178</v>
      </c>
      <c r="C304" s="22" t="str">
        <f t="shared" si="4"/>
        <v>'6178.HK'</v>
      </c>
      <c r="D304" s="22" t="s">
        <v>1535</v>
      </c>
      <c r="E304" s="22" t="s">
        <v>1130</v>
      </c>
      <c r="F304" s="22">
        <v>24298850857.529999</v>
      </c>
      <c r="G304" s="22">
        <v>99</v>
      </c>
      <c r="H304" s="22" t="s">
        <v>1536</v>
      </c>
    </row>
    <row r="305" spans="1:8" x14ac:dyDescent="0.35">
      <c r="A305" s="22" t="s">
        <v>851</v>
      </c>
      <c r="B305" s="22" t="str">
        <f>"00839"</f>
        <v>00839</v>
      </c>
      <c r="C305" s="22" t="str">
        <f t="shared" si="4"/>
        <v>'0839.HK'</v>
      </c>
      <c r="D305" s="22" t="s">
        <v>1537</v>
      </c>
      <c r="E305" s="22" t="s">
        <v>1270</v>
      </c>
      <c r="F305" s="22">
        <v>23807642396.130001</v>
      </c>
      <c r="G305" s="22">
        <v>100</v>
      </c>
      <c r="H305" s="22" t="s">
        <v>1538</v>
      </c>
    </row>
    <row r="306" spans="1:8" x14ac:dyDescent="0.35">
      <c r="A306" s="22" t="s">
        <v>851</v>
      </c>
      <c r="B306" s="22" t="str">
        <f>"09877"</f>
        <v>09877</v>
      </c>
      <c r="C306" s="22" t="str">
        <f t="shared" si="4"/>
        <v>'9877.HK'</v>
      </c>
      <c r="D306" s="22" t="s">
        <v>1539</v>
      </c>
      <c r="E306" s="22" t="s">
        <v>1232</v>
      </c>
      <c r="F306" s="22">
        <v>23736818801</v>
      </c>
      <c r="G306" s="22">
        <v>1</v>
      </c>
      <c r="H306" s="22" t="s">
        <v>1540</v>
      </c>
    </row>
    <row r="307" spans="1:8" x14ac:dyDescent="0.35">
      <c r="A307" s="22" t="s">
        <v>851</v>
      </c>
      <c r="B307" s="22" t="str">
        <f>"00069"</f>
        <v>00069</v>
      </c>
      <c r="C307" s="22" t="str">
        <f t="shared" si="4"/>
        <v>'0069.HK'</v>
      </c>
      <c r="D307" s="22" t="s">
        <v>1541</v>
      </c>
      <c r="E307" s="22" t="s">
        <v>1070</v>
      </c>
      <c r="F307" s="22">
        <v>23664465369.599998</v>
      </c>
      <c r="G307" s="22">
        <v>45</v>
      </c>
      <c r="H307" s="22" t="s">
        <v>1542</v>
      </c>
    </row>
    <row r="308" spans="1:8" x14ac:dyDescent="0.35">
      <c r="A308" s="22" t="s">
        <v>851</v>
      </c>
      <c r="B308" s="22" t="str">
        <f>"01216"</f>
        <v>01216</v>
      </c>
      <c r="C308" s="22" t="str">
        <f t="shared" si="4"/>
        <v>'1216.HK'</v>
      </c>
      <c r="D308" s="22" t="s">
        <v>1543</v>
      </c>
      <c r="E308" s="22" t="s">
        <v>858</v>
      </c>
      <c r="F308" s="22">
        <v>23391886926.080002</v>
      </c>
      <c r="G308" s="22">
        <v>22</v>
      </c>
      <c r="H308" s="22" t="s">
        <v>1544</v>
      </c>
    </row>
    <row r="309" spans="1:8" x14ac:dyDescent="0.35">
      <c r="A309" s="22" t="s">
        <v>851</v>
      </c>
      <c r="B309" s="22" t="str">
        <f>"06190"</f>
        <v>06190</v>
      </c>
      <c r="C309" s="22" t="str">
        <f t="shared" si="4"/>
        <v>'6190.HK'</v>
      </c>
      <c r="D309" s="22" t="s">
        <v>1545</v>
      </c>
      <c r="E309" s="22" t="s">
        <v>858</v>
      </c>
      <c r="F309" s="22">
        <v>23110725120</v>
      </c>
      <c r="G309" s="22">
        <v>7</v>
      </c>
      <c r="H309" s="22" t="s">
        <v>1546</v>
      </c>
    </row>
    <row r="310" spans="1:8" x14ac:dyDescent="0.35">
      <c r="A310" s="22" t="s">
        <v>851</v>
      </c>
      <c r="B310" s="22" t="str">
        <f>"00817"</f>
        <v>00817</v>
      </c>
      <c r="C310" s="22" t="str">
        <f t="shared" si="4"/>
        <v>'0817.HK'</v>
      </c>
      <c r="D310" s="22" t="s">
        <v>1547</v>
      </c>
      <c r="E310" s="22" t="s">
        <v>924</v>
      </c>
      <c r="F310" s="22">
        <v>23034937737.759998</v>
      </c>
      <c r="G310" s="22">
        <v>423</v>
      </c>
      <c r="H310" s="22" t="s">
        <v>1548</v>
      </c>
    </row>
    <row r="311" spans="1:8" x14ac:dyDescent="0.35">
      <c r="A311" s="22" t="s">
        <v>851</v>
      </c>
      <c r="B311" s="22" t="str">
        <f>"00522"</f>
        <v>00522</v>
      </c>
      <c r="C311" s="22" t="str">
        <f t="shared" si="4"/>
        <v>'0522.HK'</v>
      </c>
      <c r="D311" s="22" t="s">
        <v>1549</v>
      </c>
      <c r="E311" s="22" t="s">
        <v>1040</v>
      </c>
      <c r="F311" s="22">
        <v>23017593539.75</v>
      </c>
      <c r="G311" s="22">
        <v>92</v>
      </c>
      <c r="H311" s="22" t="s">
        <v>1550</v>
      </c>
    </row>
    <row r="312" spans="1:8" x14ac:dyDescent="0.35">
      <c r="A312" s="22" t="s">
        <v>851</v>
      </c>
      <c r="B312" s="22" t="str">
        <f>"01368"</f>
        <v>01368</v>
      </c>
      <c r="C312" s="22" t="str">
        <f t="shared" si="4"/>
        <v>'1368.HK'</v>
      </c>
      <c r="D312" s="22" t="s">
        <v>1551</v>
      </c>
      <c r="E312" s="22" t="s">
        <v>1552</v>
      </c>
      <c r="F312" s="22">
        <v>22939437230.099998</v>
      </c>
      <c r="G312" s="22">
        <v>82</v>
      </c>
      <c r="H312" s="22" t="s">
        <v>1553</v>
      </c>
    </row>
    <row r="313" spans="1:8" x14ac:dyDescent="0.35">
      <c r="A313" s="22" t="s">
        <v>851</v>
      </c>
      <c r="B313" s="22" t="str">
        <f>"00754"</f>
        <v>00754</v>
      </c>
      <c r="C313" s="22" t="str">
        <f t="shared" si="4"/>
        <v>'0754.HK'</v>
      </c>
      <c r="D313" s="22" t="s">
        <v>1554</v>
      </c>
      <c r="E313" s="22" t="s">
        <v>924</v>
      </c>
      <c r="F313" s="22">
        <v>22669049328.330002</v>
      </c>
      <c r="G313" s="22">
        <v>76</v>
      </c>
      <c r="H313" s="22" t="s">
        <v>1555</v>
      </c>
    </row>
    <row r="314" spans="1:8" x14ac:dyDescent="0.35">
      <c r="A314" s="22" t="s">
        <v>851</v>
      </c>
      <c r="B314" s="22" t="str">
        <f>"06127"</f>
        <v>06127</v>
      </c>
      <c r="C314" s="22" t="str">
        <f t="shared" si="4"/>
        <v>'6127.HK'</v>
      </c>
      <c r="D314" s="22" t="s">
        <v>1556</v>
      </c>
      <c r="E314" s="22" t="s">
        <v>941</v>
      </c>
      <c r="F314" s="22">
        <v>22096745385</v>
      </c>
      <c r="G314" s="22">
        <v>39</v>
      </c>
      <c r="H314" s="22" t="s">
        <v>1557</v>
      </c>
    </row>
    <row r="315" spans="1:8" x14ac:dyDescent="0.35">
      <c r="A315" s="22" t="s">
        <v>851</v>
      </c>
      <c r="B315" s="22" t="str">
        <f>"01268"</f>
        <v>01268</v>
      </c>
      <c r="C315" s="22" t="str">
        <f t="shared" si="4"/>
        <v>'1268.HK'</v>
      </c>
      <c r="D315" s="22" t="s">
        <v>1558</v>
      </c>
      <c r="E315" s="22" t="s">
        <v>1089</v>
      </c>
      <c r="F315" s="22">
        <v>21905981766.240002</v>
      </c>
      <c r="G315" s="22">
        <v>89</v>
      </c>
      <c r="H315" s="22" t="s">
        <v>1559</v>
      </c>
    </row>
    <row r="316" spans="1:8" x14ac:dyDescent="0.35">
      <c r="A316" s="22" t="s">
        <v>851</v>
      </c>
      <c r="B316" s="22" t="str">
        <f>"00053"</f>
        <v>00053</v>
      </c>
      <c r="C316" s="22" t="str">
        <f t="shared" si="4"/>
        <v>'0053.HK'</v>
      </c>
      <c r="D316" s="22" t="s">
        <v>1560</v>
      </c>
      <c r="E316" s="22" t="s">
        <v>924</v>
      </c>
      <c r="F316" s="22">
        <v>21881916304.5</v>
      </c>
      <c r="G316" s="22">
        <v>17</v>
      </c>
      <c r="H316" s="22" t="s">
        <v>1561</v>
      </c>
    </row>
    <row r="317" spans="1:8" x14ac:dyDescent="0.35">
      <c r="A317" s="22" t="s">
        <v>851</v>
      </c>
      <c r="B317" s="22" t="str">
        <f>"00354"</f>
        <v>00354</v>
      </c>
      <c r="C317" s="22" t="str">
        <f t="shared" si="4"/>
        <v>'0354.HK'</v>
      </c>
      <c r="D317" s="22" t="s">
        <v>1562</v>
      </c>
      <c r="E317" s="22" t="s">
        <v>1202</v>
      </c>
      <c r="F317" s="22">
        <v>21824577777.599998</v>
      </c>
      <c r="G317" s="22">
        <v>95</v>
      </c>
      <c r="H317" s="22" t="s">
        <v>1563</v>
      </c>
    </row>
    <row r="318" spans="1:8" x14ac:dyDescent="0.35">
      <c r="A318" s="22" t="s">
        <v>851</v>
      </c>
      <c r="B318" s="22" t="str">
        <f>"01508"</f>
        <v>01508</v>
      </c>
      <c r="C318" s="22" t="str">
        <f t="shared" si="4"/>
        <v>'1508.HK'</v>
      </c>
      <c r="D318" s="22" t="s">
        <v>1564</v>
      </c>
      <c r="E318" s="22" t="s">
        <v>870</v>
      </c>
      <c r="F318" s="22">
        <v>21664702123.349998</v>
      </c>
      <c r="G318" s="22">
        <v>161</v>
      </c>
      <c r="H318" s="22" t="s">
        <v>1565</v>
      </c>
    </row>
    <row r="319" spans="1:8" x14ac:dyDescent="0.35">
      <c r="A319" s="22" t="s">
        <v>851</v>
      </c>
      <c r="B319" s="22" t="str">
        <f>"00257"</f>
        <v>00257</v>
      </c>
      <c r="C319" s="22" t="str">
        <f t="shared" si="4"/>
        <v>'0257.HK'</v>
      </c>
      <c r="D319" s="22" t="s">
        <v>1566</v>
      </c>
      <c r="E319" s="22" t="s">
        <v>1127</v>
      </c>
      <c r="F319" s="22">
        <v>21623273027.84</v>
      </c>
      <c r="G319" s="22">
        <v>186</v>
      </c>
      <c r="H319" s="22" t="s">
        <v>1567</v>
      </c>
    </row>
    <row r="320" spans="1:8" x14ac:dyDescent="0.35">
      <c r="A320" s="22" t="s">
        <v>851</v>
      </c>
      <c r="B320" s="22" t="str">
        <f>"00013"</f>
        <v>00013</v>
      </c>
      <c r="C320" s="22" t="str">
        <f t="shared" si="4"/>
        <v>'0013.HK'</v>
      </c>
      <c r="D320" s="22" t="s">
        <v>1568</v>
      </c>
      <c r="E320" s="22" t="s">
        <v>969</v>
      </c>
      <c r="F320" s="22">
        <v>21532905966</v>
      </c>
      <c r="G320" s="22">
        <v>0</v>
      </c>
      <c r="H320" s="22" t="s">
        <v>1569</v>
      </c>
    </row>
    <row r="321" spans="1:8" x14ac:dyDescent="0.35">
      <c r="A321" s="22" t="s">
        <v>851</v>
      </c>
      <c r="B321" s="22" t="str">
        <f>"01199"</f>
        <v>01199</v>
      </c>
      <c r="C321" s="22" t="str">
        <f t="shared" si="4"/>
        <v>'1199.HK'</v>
      </c>
      <c r="D321" s="22" t="s">
        <v>1570</v>
      </c>
      <c r="E321" s="22" t="s">
        <v>1047</v>
      </c>
      <c r="F321" s="22">
        <v>21435297016.209999</v>
      </c>
      <c r="G321" s="22">
        <v>119</v>
      </c>
      <c r="H321" s="22" t="s">
        <v>1571</v>
      </c>
    </row>
    <row r="322" spans="1:8" x14ac:dyDescent="0.35">
      <c r="A322" s="22" t="s">
        <v>851</v>
      </c>
      <c r="B322" s="22" t="str">
        <f>"02018"</f>
        <v>02018</v>
      </c>
      <c r="C322" s="22" t="str">
        <f t="shared" si="4"/>
        <v>'2018.HK'</v>
      </c>
      <c r="D322" s="22" t="s">
        <v>1572</v>
      </c>
      <c r="E322" s="22" t="s">
        <v>1075</v>
      </c>
      <c r="F322" s="22">
        <v>21372265000</v>
      </c>
      <c r="G322" s="22">
        <v>239</v>
      </c>
      <c r="H322" s="22" t="s">
        <v>1573</v>
      </c>
    </row>
    <row r="323" spans="1:8" x14ac:dyDescent="0.35">
      <c r="A323" s="22" t="s">
        <v>851</v>
      </c>
      <c r="B323" s="22" t="str">
        <f>"00552"</f>
        <v>00552</v>
      </c>
      <c r="C323" s="22" t="str">
        <f t="shared" ref="C323:C386" si="5">CONCATENATE("'",RIGHT(B323,4),".HK'")</f>
        <v>'0552.HK'</v>
      </c>
      <c r="D323" s="22" t="s">
        <v>1574</v>
      </c>
      <c r="E323" s="22" t="s">
        <v>938</v>
      </c>
      <c r="F323" s="22">
        <v>20847315384</v>
      </c>
      <c r="G323" s="22">
        <v>101</v>
      </c>
      <c r="H323" s="22" t="s">
        <v>1575</v>
      </c>
    </row>
    <row r="324" spans="1:8" x14ac:dyDescent="0.35">
      <c r="A324" s="22" t="s">
        <v>851</v>
      </c>
      <c r="B324" s="22" t="str">
        <f>"09878"</f>
        <v>09878</v>
      </c>
      <c r="C324" s="22" t="str">
        <f t="shared" si="5"/>
        <v>'9878.HK'</v>
      </c>
      <c r="D324" s="22" t="s">
        <v>1576</v>
      </c>
      <c r="E324" s="22" t="s">
        <v>853</v>
      </c>
      <c r="F324" s="22">
        <v>20843212460.849998</v>
      </c>
      <c r="G324" s="22">
        <v>1</v>
      </c>
      <c r="H324" s="22" t="s">
        <v>1577</v>
      </c>
    </row>
    <row r="325" spans="1:8" x14ac:dyDescent="0.35">
      <c r="A325" s="22" t="s">
        <v>851</v>
      </c>
      <c r="B325" s="22" t="str">
        <f>"00347"</f>
        <v>00347</v>
      </c>
      <c r="C325" s="22" t="str">
        <f t="shared" si="5"/>
        <v>'0347.HK'</v>
      </c>
      <c r="D325" s="22" t="s">
        <v>1578</v>
      </c>
      <c r="E325" s="22" t="s">
        <v>1579</v>
      </c>
      <c r="F325" s="22">
        <v>20686644992.200001</v>
      </c>
      <c r="G325" s="22">
        <v>81</v>
      </c>
      <c r="H325" s="22" t="s">
        <v>1580</v>
      </c>
    </row>
    <row r="326" spans="1:8" x14ac:dyDescent="0.35">
      <c r="A326" s="22" t="s">
        <v>851</v>
      </c>
      <c r="B326" s="22" t="str">
        <f>"01030"</f>
        <v>01030</v>
      </c>
      <c r="C326" s="22" t="str">
        <f t="shared" si="5"/>
        <v>'1030.HK'</v>
      </c>
      <c r="D326" s="22" t="s">
        <v>1581</v>
      </c>
      <c r="E326" s="22" t="s">
        <v>924</v>
      </c>
      <c r="F326" s="22">
        <v>20631965241.32</v>
      </c>
      <c r="G326" s="22">
        <v>289</v>
      </c>
      <c r="H326" s="22" t="s">
        <v>1582</v>
      </c>
    </row>
    <row r="327" spans="1:8" x14ac:dyDescent="0.35">
      <c r="A327" s="22" t="s">
        <v>851</v>
      </c>
      <c r="B327" s="22" t="str">
        <f>"01799"</f>
        <v>01799</v>
      </c>
      <c r="C327" s="22" t="str">
        <f t="shared" si="5"/>
        <v>'1799.HK'</v>
      </c>
      <c r="D327" s="22" t="s">
        <v>1583</v>
      </c>
      <c r="E327" s="22" t="s">
        <v>1127</v>
      </c>
      <c r="F327" s="22">
        <v>20534800000</v>
      </c>
      <c r="G327" s="22">
        <v>34</v>
      </c>
      <c r="H327" s="22" t="s">
        <v>1584</v>
      </c>
    </row>
    <row r="328" spans="1:8" x14ac:dyDescent="0.35">
      <c r="A328" s="22" t="s">
        <v>851</v>
      </c>
      <c r="B328" s="22" t="str">
        <f>"09869"</f>
        <v>09869</v>
      </c>
      <c r="C328" s="22" t="str">
        <f t="shared" si="5"/>
        <v>'9869.HK'</v>
      </c>
      <c r="D328" s="22" t="s">
        <v>1585</v>
      </c>
      <c r="E328" s="22" t="s">
        <v>981</v>
      </c>
      <c r="F328" s="22">
        <v>20321100444.959999</v>
      </c>
      <c r="G328" s="22">
        <v>21</v>
      </c>
      <c r="H328" s="22" t="s">
        <v>1586</v>
      </c>
    </row>
    <row r="329" spans="1:8" x14ac:dyDescent="0.35">
      <c r="A329" s="22" t="s">
        <v>851</v>
      </c>
      <c r="B329" s="22" t="str">
        <f>"03396"</f>
        <v>03396</v>
      </c>
      <c r="C329" s="22" t="str">
        <f t="shared" si="5"/>
        <v>'3396.HK'</v>
      </c>
      <c r="D329" s="22" t="s">
        <v>1587</v>
      </c>
      <c r="E329" s="22" t="s">
        <v>1152</v>
      </c>
      <c r="F329" s="22">
        <v>20310710358</v>
      </c>
      <c r="G329" s="22">
        <v>118</v>
      </c>
      <c r="H329" s="22" t="s">
        <v>1588</v>
      </c>
    </row>
    <row r="330" spans="1:8" x14ac:dyDescent="0.35">
      <c r="A330" s="22" t="s">
        <v>851</v>
      </c>
      <c r="B330" s="22" t="str">
        <f>"00371"</f>
        <v>00371</v>
      </c>
      <c r="C330" s="22" t="str">
        <f t="shared" si="5"/>
        <v>'0371.HK'</v>
      </c>
      <c r="D330" s="22" t="s">
        <v>1589</v>
      </c>
      <c r="E330" s="22" t="s">
        <v>1255</v>
      </c>
      <c r="F330" s="22">
        <v>20296252739.419998</v>
      </c>
      <c r="G330" s="22">
        <v>190</v>
      </c>
      <c r="H330" s="22" t="s">
        <v>1590</v>
      </c>
    </row>
    <row r="331" spans="1:8" x14ac:dyDescent="0.35">
      <c r="A331" s="22" t="s">
        <v>851</v>
      </c>
      <c r="B331" s="22" t="str">
        <f>"00467"</f>
        <v>00467</v>
      </c>
      <c r="C331" s="22" t="str">
        <f t="shared" si="5"/>
        <v>'0467.HK'</v>
      </c>
      <c r="D331" s="22" t="s">
        <v>1591</v>
      </c>
      <c r="E331" s="22" t="s">
        <v>883</v>
      </c>
      <c r="F331" s="22">
        <v>20243245165.220001</v>
      </c>
      <c r="G331" s="22">
        <v>18</v>
      </c>
      <c r="H331" s="22" t="s">
        <v>1592</v>
      </c>
    </row>
    <row r="332" spans="1:8" x14ac:dyDescent="0.35">
      <c r="A332" s="22" t="s">
        <v>851</v>
      </c>
      <c r="B332" s="22" t="str">
        <f>"01530"</f>
        <v>01530</v>
      </c>
      <c r="C332" s="22" t="str">
        <f t="shared" si="5"/>
        <v>'1530.HK'</v>
      </c>
      <c r="D332" s="22" t="s">
        <v>1593</v>
      </c>
      <c r="E332" s="22" t="s">
        <v>969</v>
      </c>
      <c r="F332" s="22">
        <v>20242416919.599998</v>
      </c>
      <c r="G332" s="22">
        <v>165</v>
      </c>
      <c r="H332" s="22" t="s">
        <v>1594</v>
      </c>
    </row>
    <row r="333" spans="1:8" x14ac:dyDescent="0.35">
      <c r="A333" s="22" t="s">
        <v>851</v>
      </c>
      <c r="B333" s="22" t="str">
        <f>"06699"</f>
        <v>06699</v>
      </c>
      <c r="C333" s="22" t="str">
        <f t="shared" si="5"/>
        <v>'6699.HK'</v>
      </c>
      <c r="D333" s="22" t="s">
        <v>1595</v>
      </c>
      <c r="E333" s="22" t="s">
        <v>1362</v>
      </c>
      <c r="F333" s="22">
        <v>20082512471</v>
      </c>
      <c r="G333" s="22">
        <v>71</v>
      </c>
      <c r="H333" s="22" t="s">
        <v>1596</v>
      </c>
    </row>
    <row r="334" spans="1:8" x14ac:dyDescent="0.35">
      <c r="A334" s="22" t="s">
        <v>851</v>
      </c>
      <c r="B334" s="22" t="str">
        <f>"00136"</f>
        <v>00136</v>
      </c>
      <c r="C334" s="22" t="str">
        <f t="shared" si="5"/>
        <v>'0136.HK'</v>
      </c>
      <c r="D334" s="22" t="s">
        <v>1597</v>
      </c>
      <c r="E334" s="22" t="s">
        <v>1185</v>
      </c>
      <c r="F334" s="22">
        <v>20009295090</v>
      </c>
      <c r="G334" s="22">
        <v>27</v>
      </c>
      <c r="H334" s="22" t="s">
        <v>1598</v>
      </c>
    </row>
    <row r="335" spans="1:8" x14ac:dyDescent="0.35">
      <c r="A335" s="22" t="s">
        <v>851</v>
      </c>
      <c r="B335" s="22" t="str">
        <f>"00189"</f>
        <v>00189</v>
      </c>
      <c r="C335" s="22" t="str">
        <f t="shared" si="5"/>
        <v>'0189.HK'</v>
      </c>
      <c r="D335" s="22" t="s">
        <v>1599</v>
      </c>
      <c r="E335" s="22" t="s">
        <v>1600</v>
      </c>
      <c r="F335" s="22">
        <v>19900077887.650002</v>
      </c>
      <c r="G335" s="22">
        <v>100</v>
      </c>
      <c r="H335" s="22" t="s">
        <v>1601</v>
      </c>
    </row>
    <row r="336" spans="1:8" x14ac:dyDescent="0.35">
      <c r="A336" s="22" t="s">
        <v>851</v>
      </c>
      <c r="B336" s="22" t="str">
        <f>"02285"</f>
        <v>02285</v>
      </c>
      <c r="C336" s="22" t="str">
        <f t="shared" si="5"/>
        <v>'2285.HK'</v>
      </c>
      <c r="D336" s="22" t="s">
        <v>1602</v>
      </c>
      <c r="E336" s="22" t="s">
        <v>953</v>
      </c>
      <c r="F336" s="22">
        <v>19853861845.5</v>
      </c>
      <c r="G336" s="22">
        <v>4</v>
      </c>
      <c r="H336" s="22" t="s">
        <v>1603</v>
      </c>
    </row>
    <row r="337" spans="1:8" x14ac:dyDescent="0.35">
      <c r="A337" s="22" t="s">
        <v>851</v>
      </c>
      <c r="B337" s="22" t="str">
        <f>"03868"</f>
        <v>03868</v>
      </c>
      <c r="C337" s="22" t="str">
        <f t="shared" si="5"/>
        <v>'3868.HK'</v>
      </c>
      <c r="D337" s="22" t="s">
        <v>1604</v>
      </c>
      <c r="E337" s="22" t="s">
        <v>1127</v>
      </c>
      <c r="F337" s="22">
        <v>19791464678.299999</v>
      </c>
      <c r="G337" s="22">
        <v>30</v>
      </c>
      <c r="H337" s="22" t="s">
        <v>1605</v>
      </c>
    </row>
    <row r="338" spans="1:8" x14ac:dyDescent="0.35">
      <c r="A338" s="22" t="s">
        <v>851</v>
      </c>
      <c r="B338" s="22" t="str">
        <f>"00010"</f>
        <v>00010</v>
      </c>
      <c r="C338" s="22" t="str">
        <f t="shared" si="5"/>
        <v>'0010.HK'</v>
      </c>
      <c r="D338" s="22" t="s">
        <v>1606</v>
      </c>
      <c r="E338" s="22" t="s">
        <v>1028</v>
      </c>
      <c r="F338" s="22">
        <v>19770696873.84</v>
      </c>
      <c r="G338" s="22">
        <v>111</v>
      </c>
      <c r="H338" s="22" t="s">
        <v>1607</v>
      </c>
    </row>
    <row r="339" spans="1:8" x14ac:dyDescent="0.35">
      <c r="A339" s="22" t="s">
        <v>851</v>
      </c>
      <c r="B339" s="22" t="str">
        <f>"00416"</f>
        <v>00416</v>
      </c>
      <c r="C339" s="22" t="str">
        <f t="shared" si="5"/>
        <v>'0416.HK'</v>
      </c>
      <c r="D339" s="22" t="s">
        <v>1608</v>
      </c>
      <c r="E339" s="22" t="s">
        <v>858</v>
      </c>
      <c r="F339" s="22">
        <v>19574261957.599998</v>
      </c>
      <c r="G339" s="22">
        <v>27</v>
      </c>
      <c r="H339" s="22" t="s">
        <v>1609</v>
      </c>
    </row>
    <row r="340" spans="1:8" x14ac:dyDescent="0.35">
      <c r="A340" s="22" t="s">
        <v>851</v>
      </c>
      <c r="B340" s="22" t="str">
        <f>"06680"</f>
        <v>06680</v>
      </c>
      <c r="C340" s="22" t="str">
        <f t="shared" si="5"/>
        <v>'6680.HK'</v>
      </c>
      <c r="D340" s="22" t="s">
        <v>1610</v>
      </c>
      <c r="E340" s="22" t="s">
        <v>1060</v>
      </c>
      <c r="F340" s="22">
        <v>19482481603.5</v>
      </c>
      <c r="G340" s="22">
        <v>9</v>
      </c>
      <c r="H340" s="22" t="s">
        <v>1611</v>
      </c>
    </row>
    <row r="341" spans="1:8" x14ac:dyDescent="0.35">
      <c r="A341" s="22" t="s">
        <v>851</v>
      </c>
      <c r="B341" s="22" t="str">
        <f>"01951"</f>
        <v>01951</v>
      </c>
      <c r="C341" s="22" t="str">
        <f t="shared" si="5"/>
        <v>'1951.HK'</v>
      </c>
      <c r="D341" s="22" t="s">
        <v>1612</v>
      </c>
      <c r="E341" s="22" t="s">
        <v>941</v>
      </c>
      <c r="F341" s="22">
        <v>19128081295.200001</v>
      </c>
      <c r="G341" s="22">
        <v>240</v>
      </c>
      <c r="H341" s="22" t="s">
        <v>1613</v>
      </c>
    </row>
    <row r="342" spans="1:8" x14ac:dyDescent="0.35">
      <c r="A342" s="22" t="s">
        <v>851</v>
      </c>
      <c r="B342" s="22" t="str">
        <f>"06698"</f>
        <v>06698</v>
      </c>
      <c r="C342" s="22" t="str">
        <f t="shared" si="5"/>
        <v>'6698.HK'</v>
      </c>
      <c r="D342" s="22" t="s">
        <v>1614</v>
      </c>
      <c r="F342" s="22">
        <v>19110240000</v>
      </c>
      <c r="H342" s="22" t="s">
        <v>1615</v>
      </c>
    </row>
    <row r="343" spans="1:8" x14ac:dyDescent="0.35">
      <c r="A343" s="22" t="s">
        <v>851</v>
      </c>
      <c r="B343" s="22" t="str">
        <f>"00598"</f>
        <v>00598</v>
      </c>
      <c r="C343" s="22" t="str">
        <f t="shared" si="5"/>
        <v>'0598.HK'</v>
      </c>
      <c r="D343" s="22" t="s">
        <v>1616</v>
      </c>
      <c r="E343" s="22" t="s">
        <v>1047</v>
      </c>
      <c r="F343" s="22">
        <v>18829068480</v>
      </c>
      <c r="G343" s="22">
        <v>187</v>
      </c>
      <c r="H343" s="22" t="s">
        <v>1617</v>
      </c>
    </row>
    <row r="344" spans="1:8" x14ac:dyDescent="0.35">
      <c r="A344" s="22" t="s">
        <v>851</v>
      </c>
      <c r="B344" s="22" t="str">
        <f>"02778"</f>
        <v>02778</v>
      </c>
      <c r="C344" s="22" t="str">
        <f t="shared" si="5"/>
        <v>'2778.HK'</v>
      </c>
      <c r="D344" s="22" t="s">
        <v>1618</v>
      </c>
      <c r="F344" s="22">
        <v>18637867840.799999</v>
      </c>
      <c r="G344" s="22">
        <v>69</v>
      </c>
      <c r="H344" s="22" t="s">
        <v>1619</v>
      </c>
    </row>
    <row r="345" spans="1:8" x14ac:dyDescent="0.35">
      <c r="A345" s="22" t="s">
        <v>851</v>
      </c>
      <c r="B345" s="22" t="str">
        <f>"06655"</f>
        <v>06655</v>
      </c>
      <c r="C345" s="22" t="str">
        <f t="shared" si="5"/>
        <v>'6655.HK'</v>
      </c>
      <c r="D345" s="22" t="s">
        <v>1620</v>
      </c>
      <c r="E345" s="22" t="s">
        <v>1016</v>
      </c>
      <c r="F345" s="22">
        <v>18596840713.849998</v>
      </c>
      <c r="G345" s="22">
        <v>5</v>
      </c>
      <c r="H345" s="22" t="s">
        <v>1621</v>
      </c>
    </row>
    <row r="346" spans="1:8" x14ac:dyDescent="0.35">
      <c r="A346" s="22" t="s">
        <v>851</v>
      </c>
      <c r="B346" s="22" t="str">
        <f>"00570"</f>
        <v>00570</v>
      </c>
      <c r="C346" s="22" t="str">
        <f t="shared" si="5"/>
        <v>'0570.HK'</v>
      </c>
      <c r="D346" s="22" t="s">
        <v>1622</v>
      </c>
      <c r="E346" s="22" t="s">
        <v>1349</v>
      </c>
      <c r="F346" s="22">
        <v>18531750815.360001</v>
      </c>
      <c r="G346" s="22">
        <v>131</v>
      </c>
      <c r="H346" s="22" t="s">
        <v>1623</v>
      </c>
    </row>
    <row r="347" spans="1:8" x14ac:dyDescent="0.35">
      <c r="A347" s="22" t="s">
        <v>851</v>
      </c>
      <c r="B347" s="22" t="str">
        <f>"03866"</f>
        <v>03866</v>
      </c>
      <c r="C347" s="22" t="str">
        <f t="shared" si="5"/>
        <v>'3866.HK'</v>
      </c>
      <c r="D347" s="22" t="s">
        <v>1624</v>
      </c>
      <c r="E347" s="22" t="s">
        <v>858</v>
      </c>
      <c r="F347" s="22">
        <v>18450524475.080002</v>
      </c>
      <c r="G347" s="22">
        <v>38</v>
      </c>
      <c r="H347" s="22" t="s">
        <v>1625</v>
      </c>
    </row>
    <row r="348" spans="1:8" x14ac:dyDescent="0.35">
      <c r="A348" s="22" t="s">
        <v>851</v>
      </c>
      <c r="B348" s="22" t="str">
        <f>"02013"</f>
        <v>02013</v>
      </c>
      <c r="C348" s="22" t="str">
        <f t="shared" si="5"/>
        <v>'2013.HK'</v>
      </c>
      <c r="D348" s="22" t="s">
        <v>1626</v>
      </c>
      <c r="E348" s="22" t="s">
        <v>1627</v>
      </c>
      <c r="F348" s="22">
        <v>18355165128</v>
      </c>
      <c r="G348" s="22">
        <v>165</v>
      </c>
      <c r="H348" s="22" t="s">
        <v>1628</v>
      </c>
    </row>
    <row r="349" spans="1:8" x14ac:dyDescent="0.35">
      <c r="A349" s="22" t="s">
        <v>851</v>
      </c>
      <c r="B349" s="22" t="str">
        <f>"00152"</f>
        <v>00152</v>
      </c>
      <c r="C349" s="22" t="str">
        <f t="shared" si="5"/>
        <v>'0152.HK'</v>
      </c>
      <c r="D349" s="22" t="s">
        <v>1629</v>
      </c>
      <c r="E349" s="22" t="s">
        <v>1367</v>
      </c>
      <c r="F349" s="22">
        <v>18290618464.34</v>
      </c>
      <c r="G349" s="22">
        <v>124</v>
      </c>
      <c r="H349" s="22" t="s">
        <v>1630</v>
      </c>
    </row>
    <row r="350" spans="1:8" x14ac:dyDescent="0.35">
      <c r="A350" s="22" t="s">
        <v>851</v>
      </c>
      <c r="B350" s="22" t="str">
        <f>"01252"</f>
        <v>01252</v>
      </c>
      <c r="C350" s="22" t="str">
        <f t="shared" si="5"/>
        <v>'1252.HK'</v>
      </c>
      <c r="D350" s="22" t="s">
        <v>1631</v>
      </c>
      <c r="E350" s="22" t="s">
        <v>1016</v>
      </c>
      <c r="F350" s="22">
        <v>18099814945.52</v>
      </c>
      <c r="G350" s="22">
        <v>9</v>
      </c>
      <c r="H350" s="22" t="s">
        <v>1632</v>
      </c>
    </row>
    <row r="351" spans="1:8" x14ac:dyDescent="0.35">
      <c r="A351" s="22" t="s">
        <v>851</v>
      </c>
      <c r="B351" s="22" t="str">
        <f>"01735"</f>
        <v>01735</v>
      </c>
      <c r="C351" s="22" t="str">
        <f t="shared" si="5"/>
        <v>'1735.HK'</v>
      </c>
      <c r="D351" s="22" t="s">
        <v>1633</v>
      </c>
      <c r="E351" s="22" t="s">
        <v>1634</v>
      </c>
      <c r="F351" s="22">
        <v>18057600000</v>
      </c>
      <c r="G351" s="22">
        <v>3</v>
      </c>
      <c r="H351" s="22" t="s">
        <v>1635</v>
      </c>
    </row>
    <row r="352" spans="1:8" x14ac:dyDescent="0.35">
      <c r="A352" s="22" t="s">
        <v>851</v>
      </c>
      <c r="B352" s="22" t="str">
        <f>"01208"</f>
        <v>01208</v>
      </c>
      <c r="C352" s="22" t="str">
        <f t="shared" si="5"/>
        <v>'1208.HK'</v>
      </c>
      <c r="D352" s="22" t="s">
        <v>1636</v>
      </c>
      <c r="E352" s="22" t="s">
        <v>1316</v>
      </c>
      <c r="F352" s="22">
        <v>17970715844.639999</v>
      </c>
      <c r="G352" s="22">
        <v>37</v>
      </c>
      <c r="H352" s="22" t="s">
        <v>1637</v>
      </c>
    </row>
    <row r="353" spans="1:8" x14ac:dyDescent="0.35">
      <c r="A353" s="22" t="s">
        <v>851</v>
      </c>
      <c r="B353" s="22" t="str">
        <f>"00551"</f>
        <v>00551</v>
      </c>
      <c r="C353" s="22" t="str">
        <f t="shared" si="5"/>
        <v>'0551.HK'</v>
      </c>
      <c r="D353" s="22" t="s">
        <v>1638</v>
      </c>
      <c r="E353" s="22" t="s">
        <v>1552</v>
      </c>
      <c r="F353" s="22">
        <v>17895242244.599998</v>
      </c>
      <c r="G353" s="22">
        <v>51</v>
      </c>
      <c r="H353" s="22" t="s">
        <v>1639</v>
      </c>
    </row>
    <row r="354" spans="1:8" x14ac:dyDescent="0.35">
      <c r="A354" s="22" t="s">
        <v>851</v>
      </c>
      <c r="B354" s="22" t="str">
        <f>"00345"</f>
        <v>00345</v>
      </c>
      <c r="C354" s="22" t="str">
        <f t="shared" si="5"/>
        <v>'0345.HK'</v>
      </c>
      <c r="D354" s="22" t="s">
        <v>1640</v>
      </c>
      <c r="E354" s="22" t="s">
        <v>892</v>
      </c>
      <c r="F354" s="22">
        <v>17304144725.599998</v>
      </c>
      <c r="G354" s="22">
        <v>193</v>
      </c>
      <c r="H354" s="22" t="s">
        <v>1641</v>
      </c>
    </row>
    <row r="355" spans="1:8" x14ac:dyDescent="0.35">
      <c r="A355" s="22" t="s">
        <v>851</v>
      </c>
      <c r="B355" s="22" t="str">
        <f>"02869"</f>
        <v>02869</v>
      </c>
      <c r="C355" s="22" t="str">
        <f t="shared" si="5"/>
        <v>'2869.HK'</v>
      </c>
      <c r="D355" s="22" t="s">
        <v>1642</v>
      </c>
      <c r="E355" s="22" t="s">
        <v>1104</v>
      </c>
      <c r="F355" s="22">
        <v>17289891615.639999</v>
      </c>
      <c r="G355" s="22">
        <v>180</v>
      </c>
      <c r="H355" s="22" t="s">
        <v>1643</v>
      </c>
    </row>
    <row r="356" spans="1:8" x14ac:dyDescent="0.35">
      <c r="A356" s="22" t="s">
        <v>851</v>
      </c>
      <c r="B356" s="22" t="str">
        <f>"01798"</f>
        <v>01798</v>
      </c>
      <c r="C356" s="22" t="str">
        <f t="shared" si="5"/>
        <v>'1798.HK'</v>
      </c>
      <c r="D356" s="22" t="s">
        <v>1644</v>
      </c>
      <c r="E356" s="22" t="s">
        <v>1127</v>
      </c>
      <c r="F356" s="22">
        <v>17238671370</v>
      </c>
      <c r="G356" s="22">
        <v>65</v>
      </c>
      <c r="H356" s="22" t="s">
        <v>1645</v>
      </c>
    </row>
    <row r="357" spans="1:8" x14ac:dyDescent="0.35">
      <c r="A357" s="22" t="s">
        <v>851</v>
      </c>
      <c r="B357" s="22" t="str">
        <f>"01958"</f>
        <v>01958</v>
      </c>
      <c r="C357" s="22" t="str">
        <f t="shared" si="5"/>
        <v>'1958.HK'</v>
      </c>
      <c r="D357" s="22" t="s">
        <v>1646</v>
      </c>
      <c r="E357" s="22" t="s">
        <v>886</v>
      </c>
      <c r="F357" s="22">
        <v>17072670327.66</v>
      </c>
      <c r="G357" s="22">
        <v>152</v>
      </c>
      <c r="H357" s="22" t="s">
        <v>1647</v>
      </c>
    </row>
    <row r="358" spans="1:8" x14ac:dyDescent="0.35">
      <c r="A358" s="22" t="s">
        <v>851</v>
      </c>
      <c r="B358" s="22" t="str">
        <f>"09899"</f>
        <v>09899</v>
      </c>
      <c r="C358" s="22" t="str">
        <f t="shared" si="5"/>
        <v>'9899.HK'</v>
      </c>
      <c r="D358" s="22" t="s">
        <v>1648</v>
      </c>
      <c r="E358" s="22" t="s">
        <v>1185</v>
      </c>
      <c r="F358" s="22">
        <v>16901268980.700001</v>
      </c>
      <c r="G358" s="22">
        <v>9</v>
      </c>
      <c r="H358" s="22" t="s">
        <v>1649</v>
      </c>
    </row>
    <row r="359" spans="1:8" x14ac:dyDescent="0.35">
      <c r="A359" s="22" t="s">
        <v>851</v>
      </c>
      <c r="B359" s="22" t="str">
        <f>"03633"</f>
        <v>03633</v>
      </c>
      <c r="C359" s="22" t="str">
        <f t="shared" si="5"/>
        <v>'3633.HK'</v>
      </c>
      <c r="D359" s="22" t="s">
        <v>1650</v>
      </c>
      <c r="E359" s="22" t="s">
        <v>1031</v>
      </c>
      <c r="F359" s="22">
        <v>16662933083.16</v>
      </c>
      <c r="G359" s="22">
        <v>23</v>
      </c>
      <c r="H359" s="22" t="s">
        <v>1651</v>
      </c>
    </row>
    <row r="360" spans="1:8" x14ac:dyDescent="0.35">
      <c r="A360" s="22" t="s">
        <v>851</v>
      </c>
      <c r="B360" s="22" t="str">
        <f>"02880"</f>
        <v>02880</v>
      </c>
      <c r="C360" s="22" t="str">
        <f t="shared" si="5"/>
        <v>'2880.HK'</v>
      </c>
      <c r="D360" s="22" t="s">
        <v>1652</v>
      </c>
      <c r="E360" s="22" t="s">
        <v>1047</v>
      </c>
      <c r="F360" s="22">
        <v>16551075413.040001</v>
      </c>
      <c r="G360" s="22">
        <v>50</v>
      </c>
      <c r="H360" s="22" t="s">
        <v>1653</v>
      </c>
    </row>
    <row r="361" spans="1:8" x14ac:dyDescent="0.35">
      <c r="A361" s="22" t="s">
        <v>851</v>
      </c>
      <c r="B361" s="22" t="str">
        <f>"06185"</f>
        <v>06185</v>
      </c>
      <c r="C361" s="22" t="str">
        <f t="shared" si="5"/>
        <v>'6185.HK'</v>
      </c>
      <c r="D361" s="22" t="s">
        <v>1654</v>
      </c>
      <c r="E361" s="22" t="s">
        <v>941</v>
      </c>
      <c r="F361" s="22">
        <v>16443045788.549999</v>
      </c>
      <c r="G361" s="22">
        <v>94</v>
      </c>
      <c r="H361" s="22" t="s">
        <v>1655</v>
      </c>
    </row>
    <row r="362" spans="1:8" x14ac:dyDescent="0.35">
      <c r="A362" s="22" t="s">
        <v>851</v>
      </c>
      <c r="B362" s="22" t="str">
        <f>"03990"</f>
        <v>03990</v>
      </c>
      <c r="C362" s="22" t="str">
        <f t="shared" si="5"/>
        <v>'3990.HK'</v>
      </c>
      <c r="D362" s="22" t="s">
        <v>1656</v>
      </c>
      <c r="E362" s="22" t="s">
        <v>924</v>
      </c>
      <c r="F362" s="22">
        <v>16427593355.16</v>
      </c>
      <c r="G362" s="22">
        <v>114</v>
      </c>
      <c r="H362" s="22" t="s">
        <v>1657</v>
      </c>
    </row>
    <row r="363" spans="1:8" x14ac:dyDescent="0.35">
      <c r="A363" s="22" t="s">
        <v>851</v>
      </c>
      <c r="B363" s="22" t="str">
        <f>"01563"</f>
        <v>01563</v>
      </c>
      <c r="C363" s="22" t="str">
        <f t="shared" si="5"/>
        <v>'1563.HK'</v>
      </c>
      <c r="D363" s="22" t="s">
        <v>1658</v>
      </c>
      <c r="E363" s="22" t="s">
        <v>1498</v>
      </c>
      <c r="F363" s="22">
        <v>16384956660</v>
      </c>
      <c r="G363" s="22">
        <v>2</v>
      </c>
      <c r="H363" s="22" t="s">
        <v>1659</v>
      </c>
    </row>
    <row r="364" spans="1:8" x14ac:dyDescent="0.35">
      <c r="A364" s="22" t="s">
        <v>851</v>
      </c>
      <c r="B364" s="22" t="str">
        <f>"00512"</f>
        <v>00512</v>
      </c>
      <c r="C364" s="22" t="str">
        <f t="shared" si="5"/>
        <v>'0512.HK'</v>
      </c>
      <c r="D364" s="22" t="s">
        <v>1660</v>
      </c>
      <c r="E364" s="22" t="s">
        <v>969</v>
      </c>
      <c r="F364" s="22">
        <v>16257035857.84</v>
      </c>
      <c r="G364" s="22">
        <v>71</v>
      </c>
      <c r="H364" s="22" t="s">
        <v>1661</v>
      </c>
    </row>
    <row r="365" spans="1:8" x14ac:dyDescent="0.35">
      <c r="A365" s="22" t="s">
        <v>851</v>
      </c>
      <c r="B365" s="22" t="str">
        <f>"01060"</f>
        <v>01060</v>
      </c>
      <c r="C365" s="22" t="str">
        <f t="shared" si="5"/>
        <v>'1060.HK'</v>
      </c>
      <c r="D365" s="22" t="s">
        <v>1662</v>
      </c>
      <c r="E365" s="22" t="s">
        <v>1185</v>
      </c>
      <c r="F365" s="22">
        <v>16185444093.6</v>
      </c>
      <c r="G365" s="22">
        <v>92</v>
      </c>
      <c r="H365" s="22" t="s">
        <v>1663</v>
      </c>
    </row>
    <row r="366" spans="1:8" x14ac:dyDescent="0.35">
      <c r="A366" s="22" t="s">
        <v>851</v>
      </c>
      <c r="B366" s="22" t="str">
        <f>"00579"</f>
        <v>00579</v>
      </c>
      <c r="C366" s="22" t="str">
        <f t="shared" si="5"/>
        <v>'0579.HK'</v>
      </c>
      <c r="D366" s="22" t="s">
        <v>1664</v>
      </c>
      <c r="E366" s="22" t="s">
        <v>1022</v>
      </c>
      <c r="F366" s="22">
        <v>15911900717.92</v>
      </c>
      <c r="G366" s="22">
        <v>107</v>
      </c>
      <c r="H366" s="22" t="s">
        <v>1665</v>
      </c>
    </row>
    <row r="367" spans="1:8" x14ac:dyDescent="0.35">
      <c r="A367" s="22" t="s">
        <v>851</v>
      </c>
      <c r="B367" s="22" t="str">
        <f>"09993"</f>
        <v>09993</v>
      </c>
      <c r="C367" s="22" t="str">
        <f t="shared" si="5"/>
        <v>'9993.HK'</v>
      </c>
      <c r="D367" s="22" t="s">
        <v>1666</v>
      </c>
      <c r="E367" s="22" t="s">
        <v>924</v>
      </c>
      <c r="F367" s="22">
        <v>15816837570</v>
      </c>
      <c r="G367" s="22">
        <v>12</v>
      </c>
      <c r="H367" s="22" t="s">
        <v>1667</v>
      </c>
    </row>
    <row r="368" spans="1:8" x14ac:dyDescent="0.35">
      <c r="A368" s="22" t="s">
        <v>851</v>
      </c>
      <c r="B368" s="22" t="str">
        <f>"03899"</f>
        <v>03899</v>
      </c>
      <c r="C368" s="22" t="str">
        <f t="shared" si="5"/>
        <v>'3899.HK'</v>
      </c>
      <c r="D368" s="22" t="s">
        <v>1668</v>
      </c>
      <c r="E368" s="22" t="s">
        <v>1294</v>
      </c>
      <c r="F368" s="22">
        <v>15719151307</v>
      </c>
      <c r="G368" s="22">
        <v>123</v>
      </c>
      <c r="H368" s="22" t="s">
        <v>1669</v>
      </c>
    </row>
    <row r="369" spans="1:8" x14ac:dyDescent="0.35">
      <c r="A369" s="22" t="s">
        <v>851</v>
      </c>
      <c r="B369" s="22" t="str">
        <f>"01448"</f>
        <v>01448</v>
      </c>
      <c r="C369" s="22" t="str">
        <f t="shared" si="5"/>
        <v>'1448.HK'</v>
      </c>
      <c r="D369" s="22" t="s">
        <v>1670</v>
      </c>
      <c r="E369" s="22" t="s">
        <v>1671</v>
      </c>
      <c r="F369" s="22">
        <v>15589482195.84</v>
      </c>
      <c r="G369" s="22">
        <v>746</v>
      </c>
      <c r="H369" s="22" t="s">
        <v>1672</v>
      </c>
    </row>
    <row r="370" spans="1:8" x14ac:dyDescent="0.35">
      <c r="A370" s="22" t="s">
        <v>851</v>
      </c>
      <c r="B370" s="22" t="str">
        <f>"02386"</f>
        <v>02386</v>
      </c>
      <c r="C370" s="22" t="str">
        <f t="shared" si="5"/>
        <v>'2386.HK'</v>
      </c>
      <c r="D370" s="22" t="s">
        <v>1673</v>
      </c>
      <c r="E370" s="22" t="s">
        <v>1294</v>
      </c>
      <c r="F370" s="22">
        <v>15586560000</v>
      </c>
      <c r="G370" s="22">
        <v>69</v>
      </c>
      <c r="H370" s="22" t="s">
        <v>1674</v>
      </c>
    </row>
    <row r="371" spans="1:8" x14ac:dyDescent="0.35">
      <c r="A371" s="22" t="s">
        <v>851</v>
      </c>
      <c r="B371" s="22" t="str">
        <f>"09886"</f>
        <v>09886</v>
      </c>
      <c r="C371" s="22" t="str">
        <f t="shared" si="5"/>
        <v>'9886.HK'</v>
      </c>
      <c r="D371" s="22" t="s">
        <v>1675</v>
      </c>
      <c r="E371" s="22" t="s">
        <v>969</v>
      </c>
      <c r="F371" s="22">
        <v>15426938315.5</v>
      </c>
      <c r="G371" s="22">
        <v>2</v>
      </c>
      <c r="H371" s="22" t="s">
        <v>1676</v>
      </c>
    </row>
    <row r="372" spans="1:8" x14ac:dyDescent="0.35">
      <c r="A372" s="22" t="s">
        <v>851</v>
      </c>
      <c r="B372" s="22" t="str">
        <f>"02162"</f>
        <v>02162</v>
      </c>
      <c r="C372" s="22" t="str">
        <f t="shared" si="5"/>
        <v>'2162.HK'</v>
      </c>
      <c r="D372" s="22" t="s">
        <v>1677</v>
      </c>
      <c r="E372" s="22" t="s">
        <v>941</v>
      </c>
      <c r="F372" s="22">
        <v>15329509016.799999</v>
      </c>
      <c r="G372" s="22">
        <v>10</v>
      </c>
      <c r="H372" s="22" t="s">
        <v>1678</v>
      </c>
    </row>
    <row r="373" spans="1:8" x14ac:dyDescent="0.35">
      <c r="A373" s="22" t="s">
        <v>851</v>
      </c>
      <c r="B373" s="22" t="str">
        <f>"02139"</f>
        <v>02139</v>
      </c>
      <c r="C373" s="22" t="str">
        <f t="shared" si="5"/>
        <v>'2139.HK'</v>
      </c>
      <c r="D373" s="22" t="s">
        <v>1679</v>
      </c>
      <c r="E373" s="22" t="s">
        <v>858</v>
      </c>
      <c r="F373" s="22">
        <v>15220489243.299999</v>
      </c>
      <c r="G373" s="22">
        <v>14</v>
      </c>
      <c r="H373" s="22" t="s">
        <v>1680</v>
      </c>
    </row>
    <row r="374" spans="1:8" x14ac:dyDescent="0.35">
      <c r="A374" s="22" t="s">
        <v>851</v>
      </c>
      <c r="B374" s="22" t="str">
        <f>"06088"</f>
        <v>06088</v>
      </c>
      <c r="C374" s="22" t="str">
        <f t="shared" si="5"/>
        <v>'6088.HK'</v>
      </c>
      <c r="D374" s="22" t="s">
        <v>1681</v>
      </c>
      <c r="E374" s="22" t="s">
        <v>938</v>
      </c>
      <c r="F374" s="22">
        <v>15139470885.76</v>
      </c>
      <c r="G374" s="22">
        <v>51</v>
      </c>
      <c r="H374" s="22" t="s">
        <v>1682</v>
      </c>
    </row>
    <row r="375" spans="1:8" x14ac:dyDescent="0.35">
      <c r="A375" s="22" t="s">
        <v>851</v>
      </c>
      <c r="B375" s="22" t="str">
        <f>"02314"</f>
        <v>02314</v>
      </c>
      <c r="C375" s="22" t="str">
        <f t="shared" si="5"/>
        <v>'2314.HK'</v>
      </c>
      <c r="D375" s="22" t="s">
        <v>1683</v>
      </c>
      <c r="E375" s="22" t="s">
        <v>1378</v>
      </c>
      <c r="F375" s="22">
        <v>14997286200</v>
      </c>
      <c r="G375" s="22">
        <v>103</v>
      </c>
      <c r="H375" s="22" t="s">
        <v>1684</v>
      </c>
    </row>
    <row r="376" spans="1:8" x14ac:dyDescent="0.35">
      <c r="A376" s="22" t="s">
        <v>851</v>
      </c>
      <c r="B376" s="22" t="str">
        <f>"00548"</f>
        <v>00548</v>
      </c>
      <c r="C376" s="22" t="str">
        <f t="shared" si="5"/>
        <v>'0548.HK'</v>
      </c>
      <c r="D376" s="22" t="s">
        <v>1685</v>
      </c>
      <c r="E376" s="22" t="s">
        <v>1367</v>
      </c>
      <c r="F376" s="22">
        <v>14960084436.360001</v>
      </c>
      <c r="G376" s="22">
        <v>188</v>
      </c>
      <c r="H376" s="22" t="s">
        <v>1686</v>
      </c>
    </row>
    <row r="377" spans="1:8" x14ac:dyDescent="0.35">
      <c r="A377" s="22" t="s">
        <v>851</v>
      </c>
      <c r="B377" s="22" t="str">
        <f>"00338"</f>
        <v>00338</v>
      </c>
      <c r="C377" s="22" t="str">
        <f t="shared" si="5"/>
        <v>'0338.HK'</v>
      </c>
      <c r="D377" s="22" t="s">
        <v>1687</v>
      </c>
      <c r="E377" s="22" t="s">
        <v>1600</v>
      </c>
      <c r="F377" s="22">
        <v>14720386360</v>
      </c>
      <c r="G377" s="22">
        <v>164</v>
      </c>
      <c r="H377" s="22" t="s">
        <v>1688</v>
      </c>
    </row>
    <row r="378" spans="1:8" x14ac:dyDescent="0.35">
      <c r="A378" s="22" t="s">
        <v>851</v>
      </c>
      <c r="B378" s="22" t="str">
        <f>"01258"</f>
        <v>01258</v>
      </c>
      <c r="C378" s="22" t="str">
        <f t="shared" si="5"/>
        <v>'1258.HK'</v>
      </c>
      <c r="D378" s="22" t="s">
        <v>1689</v>
      </c>
      <c r="E378" s="22" t="s">
        <v>1316</v>
      </c>
      <c r="F378" s="22">
        <v>14657021120</v>
      </c>
      <c r="G378" s="22">
        <v>33</v>
      </c>
      <c r="H378" s="22" t="s">
        <v>1690</v>
      </c>
    </row>
    <row r="379" spans="1:8" x14ac:dyDescent="0.35">
      <c r="A379" s="22" t="s">
        <v>851</v>
      </c>
      <c r="B379" s="22" t="str">
        <f>"01121"</f>
        <v>01121</v>
      </c>
      <c r="C379" s="22" t="str">
        <f t="shared" si="5"/>
        <v>'1121.HK'</v>
      </c>
      <c r="D379" s="22" t="s">
        <v>1691</v>
      </c>
      <c r="E379" s="22" t="s">
        <v>1552</v>
      </c>
      <c r="F379" s="22">
        <v>14603015456.24</v>
      </c>
      <c r="G379" s="22">
        <v>5</v>
      </c>
      <c r="H379" s="22" t="s">
        <v>1692</v>
      </c>
    </row>
    <row r="380" spans="1:8" x14ac:dyDescent="0.35">
      <c r="A380" s="22" t="s">
        <v>851</v>
      </c>
      <c r="B380" s="22" t="str">
        <f>"02005"</f>
        <v>02005</v>
      </c>
      <c r="C380" s="22" t="str">
        <f t="shared" si="5"/>
        <v>'2005.HK'</v>
      </c>
      <c r="D380" s="22" t="s">
        <v>1693</v>
      </c>
      <c r="E380" s="22" t="s">
        <v>969</v>
      </c>
      <c r="F380" s="22">
        <v>14572028586.5</v>
      </c>
      <c r="G380" s="22">
        <v>67</v>
      </c>
      <c r="H380" s="22" t="s">
        <v>1694</v>
      </c>
    </row>
    <row r="381" spans="1:8" x14ac:dyDescent="0.35">
      <c r="A381" s="22" t="s">
        <v>851</v>
      </c>
      <c r="B381" s="22" t="str">
        <f>"00323"</f>
        <v>00323</v>
      </c>
      <c r="C381" s="22" t="str">
        <f t="shared" si="5"/>
        <v>'0323.HK'</v>
      </c>
      <c r="D381" s="22" t="s">
        <v>1695</v>
      </c>
      <c r="E381" s="22" t="s">
        <v>1579</v>
      </c>
      <c r="F381" s="22">
        <v>14462860005.959999</v>
      </c>
      <c r="G381" s="22">
        <v>87</v>
      </c>
      <c r="H381" s="22" t="s">
        <v>1696</v>
      </c>
    </row>
    <row r="382" spans="1:8" x14ac:dyDescent="0.35">
      <c r="A382" s="22" t="s">
        <v>851</v>
      </c>
      <c r="B382" s="22" t="str">
        <f>"00909"</f>
        <v>00909</v>
      </c>
      <c r="C382" s="22" t="str">
        <f t="shared" si="5"/>
        <v>'0909.HK'</v>
      </c>
      <c r="D382" s="22" t="s">
        <v>1697</v>
      </c>
      <c r="E382" s="22" t="s">
        <v>1202</v>
      </c>
      <c r="F382" s="22">
        <v>14402523295.65</v>
      </c>
      <c r="G382" s="22">
        <v>81</v>
      </c>
      <c r="H382" s="22" t="s">
        <v>1698</v>
      </c>
    </row>
    <row r="383" spans="1:8" x14ac:dyDescent="0.35">
      <c r="A383" s="22" t="s">
        <v>851</v>
      </c>
      <c r="B383" s="22" t="str">
        <f>"01992"</f>
        <v>01992</v>
      </c>
      <c r="C383" s="22" t="str">
        <f t="shared" si="5"/>
        <v>'1992.HK'</v>
      </c>
      <c r="D383" s="22" t="s">
        <v>1699</v>
      </c>
      <c r="E383" s="22" t="s">
        <v>1070</v>
      </c>
      <c r="F383" s="22">
        <v>14344157137.08</v>
      </c>
      <c r="G383" s="22">
        <v>21</v>
      </c>
      <c r="H383" s="22" t="s">
        <v>1700</v>
      </c>
    </row>
    <row r="384" spans="1:8" x14ac:dyDescent="0.35">
      <c r="A384" s="22" t="s">
        <v>851</v>
      </c>
      <c r="B384" s="22" t="str">
        <f>"01963"</f>
        <v>01963</v>
      </c>
      <c r="C384" s="22" t="str">
        <f t="shared" si="5"/>
        <v>'1963.HK'</v>
      </c>
      <c r="D384" s="22" t="s">
        <v>1701</v>
      </c>
      <c r="E384" s="22" t="s">
        <v>858</v>
      </c>
      <c r="F384" s="22">
        <v>14280345273.93</v>
      </c>
      <c r="G384" s="22">
        <v>261</v>
      </c>
      <c r="H384" s="22" t="s">
        <v>1702</v>
      </c>
    </row>
    <row r="385" spans="1:8" x14ac:dyDescent="0.35">
      <c r="A385" s="22" t="s">
        <v>851</v>
      </c>
      <c r="B385" s="22" t="str">
        <f>"00314"</f>
        <v>00314</v>
      </c>
      <c r="C385" s="22" t="str">
        <f t="shared" si="5"/>
        <v>'0314.HK'</v>
      </c>
      <c r="D385" s="22" t="s">
        <v>1703</v>
      </c>
      <c r="F385" s="22">
        <v>14192358000</v>
      </c>
      <c r="H385" s="22" t="s">
        <v>1704</v>
      </c>
    </row>
    <row r="386" spans="1:8" x14ac:dyDescent="0.35">
      <c r="A386" s="22" t="s">
        <v>851</v>
      </c>
      <c r="B386" s="22" t="str">
        <f>"02866"</f>
        <v>02866</v>
      </c>
      <c r="C386" s="22" t="str">
        <f t="shared" si="5"/>
        <v>'2866.HK'</v>
      </c>
      <c r="D386" s="22" t="s">
        <v>1705</v>
      </c>
      <c r="E386" s="22" t="s">
        <v>1047</v>
      </c>
      <c r="F386" s="22">
        <v>14129936393.040001</v>
      </c>
      <c r="G386" s="22">
        <v>101</v>
      </c>
      <c r="H386" s="22" t="s">
        <v>1706</v>
      </c>
    </row>
    <row r="387" spans="1:8" x14ac:dyDescent="0.35">
      <c r="A387" s="22" t="s">
        <v>851</v>
      </c>
      <c r="B387" s="22" t="str">
        <f>"00590"</f>
        <v>00590</v>
      </c>
      <c r="C387" s="22" t="str">
        <f t="shared" ref="C387:C450" si="6">CONCATENATE("'",RIGHT(B387,4),".HK'")</f>
        <v>'0590.HK'</v>
      </c>
      <c r="D387" s="22" t="s">
        <v>1707</v>
      </c>
      <c r="E387" s="22" t="s">
        <v>1002</v>
      </c>
      <c r="F387" s="22">
        <v>14119943792.5</v>
      </c>
      <c r="G387" s="22">
        <v>49</v>
      </c>
      <c r="H387" s="22" t="s">
        <v>1708</v>
      </c>
    </row>
    <row r="388" spans="1:8" x14ac:dyDescent="0.35">
      <c r="A388" s="22" t="s">
        <v>851</v>
      </c>
      <c r="B388" s="22" t="str">
        <f>"03319"</f>
        <v>03319</v>
      </c>
      <c r="C388" s="22" t="str">
        <f t="shared" si="6"/>
        <v>'3319.HK'</v>
      </c>
      <c r="D388" s="22" t="s">
        <v>1709</v>
      </c>
      <c r="E388" s="22" t="s">
        <v>1104</v>
      </c>
      <c r="F388" s="22">
        <v>14001207888</v>
      </c>
      <c r="G388" s="22">
        <v>159</v>
      </c>
      <c r="H388" s="22" t="s">
        <v>1710</v>
      </c>
    </row>
    <row r="389" spans="1:8" x14ac:dyDescent="0.35">
      <c r="A389" s="22" t="s">
        <v>851</v>
      </c>
      <c r="B389" s="22" t="str">
        <f>"00697"</f>
        <v>00697</v>
      </c>
      <c r="C389" s="22" t="str">
        <f t="shared" si="6"/>
        <v>'0697.HK'</v>
      </c>
      <c r="D389" s="22" t="s">
        <v>1711</v>
      </c>
      <c r="E389" s="22" t="s">
        <v>964</v>
      </c>
      <c r="F389" s="22">
        <v>13897036220.540001</v>
      </c>
      <c r="G389" s="22">
        <v>19</v>
      </c>
      <c r="H389" s="22" t="s">
        <v>1712</v>
      </c>
    </row>
    <row r="390" spans="1:8" x14ac:dyDescent="0.35">
      <c r="A390" s="22" t="s">
        <v>851</v>
      </c>
      <c r="B390" s="22" t="str">
        <f>"00045"</f>
        <v>00045</v>
      </c>
      <c r="C390" s="22" t="str">
        <f t="shared" si="6"/>
        <v>'0045.HK'</v>
      </c>
      <c r="D390" s="22" t="s">
        <v>1713</v>
      </c>
      <c r="E390" s="22" t="s">
        <v>1070</v>
      </c>
      <c r="F390" s="22">
        <v>13855247330.4</v>
      </c>
      <c r="G390" s="22">
        <v>23</v>
      </c>
      <c r="H390" s="22" t="s">
        <v>1714</v>
      </c>
    </row>
    <row r="391" spans="1:8" x14ac:dyDescent="0.35">
      <c r="A391" s="22" t="s">
        <v>851</v>
      </c>
      <c r="B391" s="22" t="str">
        <f>"02343"</f>
        <v>02343</v>
      </c>
      <c r="C391" s="22" t="str">
        <f t="shared" si="6"/>
        <v>'2343.HK'</v>
      </c>
      <c r="D391" s="22" t="s">
        <v>1715</v>
      </c>
      <c r="E391" s="22" t="s">
        <v>1047</v>
      </c>
      <c r="F391" s="22">
        <v>13784372880.26</v>
      </c>
      <c r="G391" s="22">
        <v>32</v>
      </c>
      <c r="H391" s="22" t="s">
        <v>1716</v>
      </c>
    </row>
    <row r="392" spans="1:8" x14ac:dyDescent="0.35">
      <c r="A392" s="22" t="s">
        <v>851</v>
      </c>
      <c r="B392" s="22" t="str">
        <f>"00956"</f>
        <v>00956</v>
      </c>
      <c r="C392" s="22" t="str">
        <f t="shared" si="6"/>
        <v>'0956.HK'</v>
      </c>
      <c r="D392" s="22" t="s">
        <v>1717</v>
      </c>
      <c r="E392" s="22" t="s">
        <v>1031</v>
      </c>
      <c r="F392" s="22">
        <v>13775536210.17</v>
      </c>
      <c r="G392" s="22">
        <v>112</v>
      </c>
      <c r="H392" s="22" t="s">
        <v>1718</v>
      </c>
    </row>
    <row r="393" spans="1:8" x14ac:dyDescent="0.35">
      <c r="A393" s="22" t="s">
        <v>851</v>
      </c>
      <c r="B393" s="22" t="str">
        <f>"00921"</f>
        <v>00921</v>
      </c>
      <c r="C393" s="22" t="str">
        <f t="shared" si="6"/>
        <v>'0921.HK'</v>
      </c>
      <c r="D393" s="22" t="s">
        <v>1719</v>
      </c>
      <c r="E393" s="22" t="s">
        <v>953</v>
      </c>
      <c r="F393" s="22">
        <v>13736271729.6</v>
      </c>
      <c r="G393" s="22">
        <v>119</v>
      </c>
      <c r="H393" s="22" t="s">
        <v>1720</v>
      </c>
    </row>
    <row r="394" spans="1:8" x14ac:dyDescent="0.35">
      <c r="A394" s="22" t="s">
        <v>851</v>
      </c>
      <c r="B394" s="22" t="str">
        <f>"01907"</f>
        <v>01907</v>
      </c>
      <c r="C394" s="22" t="str">
        <f t="shared" si="6"/>
        <v>'1907.HK'</v>
      </c>
      <c r="D394" s="22" t="s">
        <v>1721</v>
      </c>
      <c r="E394" s="22" t="s">
        <v>1600</v>
      </c>
      <c r="F394" s="22">
        <v>13719837400</v>
      </c>
      <c r="G394" s="22">
        <v>33</v>
      </c>
      <c r="H394" s="22" t="s">
        <v>1722</v>
      </c>
    </row>
    <row r="395" spans="1:8" x14ac:dyDescent="0.35">
      <c r="A395" s="22" t="s">
        <v>851</v>
      </c>
      <c r="B395" s="22" t="str">
        <f>"00200"</f>
        <v>00200</v>
      </c>
      <c r="C395" s="22" t="str">
        <f t="shared" si="6"/>
        <v>'0200.HK'</v>
      </c>
      <c r="D395" s="22" t="s">
        <v>1723</v>
      </c>
      <c r="E395" s="22" t="s">
        <v>961</v>
      </c>
      <c r="F395" s="22">
        <v>13452984906.85</v>
      </c>
      <c r="G395" s="22">
        <v>66</v>
      </c>
      <c r="H395" s="22" t="s">
        <v>1724</v>
      </c>
    </row>
    <row r="396" spans="1:8" x14ac:dyDescent="0.35">
      <c r="A396" s="22" t="s">
        <v>851</v>
      </c>
      <c r="B396" s="22" t="str">
        <f>"02150"</f>
        <v>02150</v>
      </c>
      <c r="C396" s="22" t="str">
        <f t="shared" si="6"/>
        <v>'2150.HK'</v>
      </c>
      <c r="D396" s="22" t="s">
        <v>1725</v>
      </c>
      <c r="E396" s="22" t="s">
        <v>981</v>
      </c>
      <c r="F396" s="22">
        <v>13412286469.540001</v>
      </c>
      <c r="G396" s="22">
        <v>37</v>
      </c>
      <c r="H396" s="22" t="s">
        <v>1726</v>
      </c>
    </row>
    <row r="397" spans="1:8" x14ac:dyDescent="0.35">
      <c r="A397" s="22" t="s">
        <v>851</v>
      </c>
      <c r="B397" s="22" t="str">
        <f>"01458"</f>
        <v>01458</v>
      </c>
      <c r="C397" s="22" t="str">
        <f t="shared" si="6"/>
        <v>'1458.HK'</v>
      </c>
      <c r="D397" s="22" t="s">
        <v>1727</v>
      </c>
      <c r="E397" s="22" t="s">
        <v>1205</v>
      </c>
      <c r="F397" s="22">
        <v>13393249610</v>
      </c>
      <c r="G397" s="22">
        <v>420</v>
      </c>
      <c r="H397" s="22" t="s">
        <v>1728</v>
      </c>
    </row>
    <row r="398" spans="1:8" x14ac:dyDescent="0.35">
      <c r="A398" s="22" t="s">
        <v>851</v>
      </c>
      <c r="B398" s="22" t="str">
        <f>"02172"</f>
        <v>02172</v>
      </c>
      <c r="C398" s="22" t="str">
        <f t="shared" si="6"/>
        <v>'2172.HK'</v>
      </c>
      <c r="D398" s="22" t="s">
        <v>1729</v>
      </c>
      <c r="E398" s="22" t="s">
        <v>1232</v>
      </c>
      <c r="F398" s="22">
        <v>13342870490</v>
      </c>
      <c r="G398" s="22">
        <v>3</v>
      </c>
      <c r="H398" s="22" t="s">
        <v>1730</v>
      </c>
    </row>
    <row r="399" spans="1:8" x14ac:dyDescent="0.35">
      <c r="A399" s="22" t="s">
        <v>851</v>
      </c>
      <c r="B399" s="22" t="str">
        <f>"01516"</f>
        <v>01516</v>
      </c>
      <c r="C399" s="22" t="str">
        <f t="shared" si="6"/>
        <v>'1516.HK'</v>
      </c>
      <c r="D399" s="22" t="s">
        <v>1731</v>
      </c>
      <c r="E399" s="22" t="s">
        <v>1104</v>
      </c>
      <c r="F399" s="22">
        <v>13327839840</v>
      </c>
      <c r="G399" s="22">
        <v>96</v>
      </c>
      <c r="H399" s="22" t="s">
        <v>1732</v>
      </c>
    </row>
    <row r="400" spans="1:8" x14ac:dyDescent="0.35">
      <c r="A400" s="22" t="s">
        <v>851</v>
      </c>
      <c r="B400" s="22" t="str">
        <f>"01316"</f>
        <v>01316</v>
      </c>
      <c r="C400" s="22" t="str">
        <f t="shared" si="6"/>
        <v>'1316.HK'</v>
      </c>
      <c r="D400" s="22" t="s">
        <v>1733</v>
      </c>
      <c r="E400" s="22" t="s">
        <v>1122</v>
      </c>
      <c r="F400" s="22">
        <v>13176577538.25</v>
      </c>
      <c r="G400" s="22">
        <v>105</v>
      </c>
      <c r="H400" s="22" t="s">
        <v>1734</v>
      </c>
    </row>
    <row r="401" spans="1:8" x14ac:dyDescent="0.35">
      <c r="A401" s="22" t="s">
        <v>851</v>
      </c>
      <c r="B401" s="22" t="str">
        <f>"02186"</f>
        <v>02186</v>
      </c>
      <c r="C401" s="22" t="str">
        <f t="shared" si="6"/>
        <v>'2186.HK'</v>
      </c>
      <c r="D401" s="22" t="s">
        <v>1735</v>
      </c>
      <c r="E401" s="22" t="s">
        <v>969</v>
      </c>
      <c r="F401" s="22">
        <v>13169278085.530001</v>
      </c>
      <c r="G401" s="22">
        <v>306</v>
      </c>
      <c r="H401" s="22" t="s">
        <v>1736</v>
      </c>
    </row>
    <row r="402" spans="1:8" x14ac:dyDescent="0.35">
      <c r="A402" s="22" t="s">
        <v>851</v>
      </c>
      <c r="B402" s="22" t="str">
        <f>"00667"</f>
        <v>00667</v>
      </c>
      <c r="C402" s="22" t="str">
        <f t="shared" si="6"/>
        <v>'0667.HK'</v>
      </c>
      <c r="D402" s="22" t="s">
        <v>1737</v>
      </c>
      <c r="E402" s="22" t="s">
        <v>1270</v>
      </c>
      <c r="F402" s="22">
        <v>13162164027.1</v>
      </c>
      <c r="G402" s="22">
        <v>62</v>
      </c>
      <c r="H402" s="22" t="s">
        <v>1738</v>
      </c>
    </row>
    <row r="403" spans="1:8" x14ac:dyDescent="0.35">
      <c r="A403" s="22" t="s">
        <v>851</v>
      </c>
      <c r="B403" s="22" t="str">
        <f>"01606"</f>
        <v>01606</v>
      </c>
      <c r="C403" s="22" t="str">
        <f t="shared" si="6"/>
        <v>'1606.HK'</v>
      </c>
      <c r="D403" s="22" t="s">
        <v>1739</v>
      </c>
      <c r="E403" s="22" t="s">
        <v>1498</v>
      </c>
      <c r="F403" s="22">
        <v>13148075200</v>
      </c>
      <c r="G403" s="22">
        <v>53</v>
      </c>
      <c r="H403" s="22" t="s">
        <v>1740</v>
      </c>
    </row>
    <row r="404" spans="1:8" x14ac:dyDescent="0.35">
      <c r="A404" s="22" t="s">
        <v>851</v>
      </c>
      <c r="B404" s="22" t="str">
        <f>"00336"</f>
        <v>00336</v>
      </c>
      <c r="C404" s="22" t="str">
        <f t="shared" si="6"/>
        <v>'0336.HK'</v>
      </c>
      <c r="D404" s="22" t="s">
        <v>1741</v>
      </c>
      <c r="E404" s="22" t="s">
        <v>1451</v>
      </c>
      <c r="F404" s="22">
        <v>13145802385.32</v>
      </c>
      <c r="G404" s="22">
        <v>98</v>
      </c>
      <c r="H404" s="22" t="s">
        <v>1742</v>
      </c>
    </row>
    <row r="405" spans="1:8" x14ac:dyDescent="0.35">
      <c r="A405" s="22" t="s">
        <v>851</v>
      </c>
      <c r="B405" s="22" t="str">
        <f>"02255"</f>
        <v>02255</v>
      </c>
      <c r="C405" s="22" t="str">
        <f t="shared" si="6"/>
        <v>'2255.HK'</v>
      </c>
      <c r="D405" s="22" t="s">
        <v>1743</v>
      </c>
      <c r="E405" s="22" t="s">
        <v>1744</v>
      </c>
      <c r="F405" s="22">
        <v>13063543220</v>
      </c>
      <c r="G405" s="22">
        <v>26</v>
      </c>
      <c r="H405" s="22" t="s">
        <v>1745</v>
      </c>
    </row>
    <row r="406" spans="1:8" x14ac:dyDescent="0.35">
      <c r="A406" s="22" t="s">
        <v>851</v>
      </c>
      <c r="B406" s="22" t="str">
        <f>"00041"</f>
        <v>00041</v>
      </c>
      <c r="C406" s="22" t="str">
        <f t="shared" si="6"/>
        <v>'0041.HK'</v>
      </c>
      <c r="D406" s="22" t="s">
        <v>1746</v>
      </c>
      <c r="E406" s="22" t="s">
        <v>1028</v>
      </c>
      <c r="F406" s="22">
        <v>12995431736.1</v>
      </c>
      <c r="G406" s="22">
        <v>31</v>
      </c>
      <c r="H406" s="22" t="s">
        <v>1747</v>
      </c>
    </row>
    <row r="407" spans="1:8" x14ac:dyDescent="0.35">
      <c r="A407" s="22" t="s">
        <v>851</v>
      </c>
      <c r="B407" s="22" t="str">
        <f>"01196"</f>
        <v>01196</v>
      </c>
      <c r="C407" s="22" t="str">
        <f t="shared" si="6"/>
        <v>'1196.HK'</v>
      </c>
      <c r="D407" s="22" t="s">
        <v>1748</v>
      </c>
      <c r="E407" s="22" t="s">
        <v>1301</v>
      </c>
      <c r="F407" s="22">
        <v>12894353426</v>
      </c>
      <c r="G407" s="22">
        <v>14</v>
      </c>
      <c r="H407" s="22" t="s">
        <v>1749</v>
      </c>
    </row>
    <row r="408" spans="1:8" x14ac:dyDescent="0.35">
      <c r="A408" s="22" t="s">
        <v>851</v>
      </c>
      <c r="B408" s="22" t="str">
        <f>"00303"</f>
        <v>00303</v>
      </c>
      <c r="C408" s="22" t="str">
        <f t="shared" si="6"/>
        <v>'0303.HK'</v>
      </c>
      <c r="D408" s="22" t="s">
        <v>1750</v>
      </c>
      <c r="E408" s="22" t="s">
        <v>938</v>
      </c>
      <c r="F408" s="22">
        <v>12887825766</v>
      </c>
      <c r="G408" s="22">
        <v>97</v>
      </c>
      <c r="H408" s="22" t="s">
        <v>1751</v>
      </c>
    </row>
    <row r="409" spans="1:8" x14ac:dyDescent="0.35">
      <c r="A409" s="22" t="s">
        <v>851</v>
      </c>
      <c r="B409" s="22" t="str">
        <f>"02121"</f>
        <v>02121</v>
      </c>
      <c r="C409" s="22" t="str">
        <f t="shared" si="6"/>
        <v>'2121.HK'</v>
      </c>
      <c r="D409" s="22" t="s">
        <v>1752</v>
      </c>
      <c r="E409" s="22" t="s">
        <v>910</v>
      </c>
      <c r="F409" s="22">
        <v>12836046032.1</v>
      </c>
      <c r="G409" s="22">
        <v>11</v>
      </c>
      <c r="H409" s="22" t="s">
        <v>1753</v>
      </c>
    </row>
    <row r="410" spans="1:8" x14ac:dyDescent="0.35">
      <c r="A410" s="22" t="s">
        <v>851</v>
      </c>
      <c r="B410" s="22" t="str">
        <f>"00639"</f>
        <v>00639</v>
      </c>
      <c r="C410" s="22" t="str">
        <f t="shared" si="6"/>
        <v>'0639.HK'</v>
      </c>
      <c r="D410" s="22" t="s">
        <v>1754</v>
      </c>
      <c r="E410" s="22" t="s">
        <v>904</v>
      </c>
      <c r="F410" s="22">
        <v>12730631361.84</v>
      </c>
      <c r="G410" s="22">
        <v>93</v>
      </c>
      <c r="H410" s="22" t="s">
        <v>1755</v>
      </c>
    </row>
    <row r="411" spans="1:8" x14ac:dyDescent="0.35">
      <c r="A411" s="22" t="s">
        <v>851</v>
      </c>
      <c r="B411" s="22" t="str">
        <f>"01083"</f>
        <v>01083</v>
      </c>
      <c r="C411" s="22" t="str">
        <f t="shared" si="6"/>
        <v>'1083.HK'</v>
      </c>
      <c r="D411" s="22" t="s">
        <v>1756</v>
      </c>
      <c r="E411" s="22" t="s">
        <v>1031</v>
      </c>
      <c r="F411" s="22">
        <v>12676014396.139999</v>
      </c>
      <c r="G411" s="22">
        <v>77</v>
      </c>
      <c r="H411" s="22" t="s">
        <v>1757</v>
      </c>
    </row>
    <row r="412" spans="1:8" x14ac:dyDescent="0.35">
      <c r="A412" s="22" t="s">
        <v>851</v>
      </c>
      <c r="B412" s="22" t="str">
        <f>"01675"</f>
        <v>01675</v>
      </c>
      <c r="C412" s="22" t="str">
        <f t="shared" si="6"/>
        <v>'1675.HK'</v>
      </c>
      <c r="D412" s="22" t="s">
        <v>1758</v>
      </c>
      <c r="E412" s="22" t="s">
        <v>910</v>
      </c>
      <c r="F412" s="22">
        <v>12631345453.6</v>
      </c>
      <c r="G412" s="22">
        <v>18</v>
      </c>
      <c r="H412" s="22" t="s">
        <v>1759</v>
      </c>
    </row>
    <row r="413" spans="1:8" x14ac:dyDescent="0.35">
      <c r="A413" s="22" t="s">
        <v>851</v>
      </c>
      <c r="B413" s="22" t="str">
        <f>"00564"</f>
        <v>00564</v>
      </c>
      <c r="C413" s="22" t="str">
        <f t="shared" si="6"/>
        <v>'0564.HK'</v>
      </c>
      <c r="D413" s="22" t="s">
        <v>1760</v>
      </c>
      <c r="E413" s="22" t="s">
        <v>1122</v>
      </c>
      <c r="F413" s="22">
        <v>12575024886.9</v>
      </c>
      <c r="G413" s="22">
        <v>57</v>
      </c>
      <c r="H413" s="22" t="s">
        <v>1761</v>
      </c>
    </row>
    <row r="414" spans="1:8" x14ac:dyDescent="0.35">
      <c r="A414" s="22" t="s">
        <v>851</v>
      </c>
      <c r="B414" s="22" t="str">
        <f>"00778"</f>
        <v>00778</v>
      </c>
      <c r="C414" s="22" t="str">
        <f t="shared" si="6"/>
        <v>'0778.HK'</v>
      </c>
      <c r="D414" s="22" t="s">
        <v>1762</v>
      </c>
      <c r="F414" s="22">
        <v>12502162583.48</v>
      </c>
      <c r="G414" s="22">
        <v>109</v>
      </c>
      <c r="H414" s="22" t="s">
        <v>1763</v>
      </c>
    </row>
    <row r="415" spans="1:8" x14ac:dyDescent="0.35">
      <c r="A415" s="22" t="s">
        <v>851</v>
      </c>
      <c r="B415" s="22" t="str">
        <f>"02157"</f>
        <v>02157</v>
      </c>
      <c r="C415" s="22" t="str">
        <f t="shared" si="6"/>
        <v>'2157.HK'</v>
      </c>
      <c r="D415" s="22" t="s">
        <v>1764</v>
      </c>
      <c r="E415" s="22" t="s">
        <v>941</v>
      </c>
      <c r="F415" s="22">
        <v>12429241836.620001</v>
      </c>
      <c r="G415" s="22">
        <v>4</v>
      </c>
      <c r="H415" s="22" t="s">
        <v>1765</v>
      </c>
    </row>
    <row r="416" spans="1:8" x14ac:dyDescent="0.35">
      <c r="A416" s="22" t="s">
        <v>851</v>
      </c>
      <c r="B416" s="22" t="str">
        <f>"00081"</f>
        <v>00081</v>
      </c>
      <c r="C416" s="22" t="str">
        <f t="shared" si="6"/>
        <v>'0081.HK'</v>
      </c>
      <c r="D416" s="22" t="s">
        <v>1766</v>
      </c>
      <c r="E416" s="22" t="s">
        <v>924</v>
      </c>
      <c r="F416" s="22">
        <v>12386624067.360001</v>
      </c>
      <c r="G416" s="22">
        <v>133</v>
      </c>
      <c r="H416" s="22" t="s">
        <v>1767</v>
      </c>
    </row>
    <row r="417" spans="1:8" x14ac:dyDescent="0.35">
      <c r="A417" s="22" t="s">
        <v>851</v>
      </c>
      <c r="B417" s="22" t="str">
        <f>"02179"</f>
        <v>02179</v>
      </c>
      <c r="C417" s="22" t="str">
        <f t="shared" si="6"/>
        <v>'2179.HK'</v>
      </c>
      <c r="D417" s="22" t="s">
        <v>1768</v>
      </c>
      <c r="E417" s="22" t="s">
        <v>941</v>
      </c>
      <c r="F417" s="22">
        <v>12315556500</v>
      </c>
      <c r="G417" s="22">
        <v>2</v>
      </c>
      <c r="H417" s="22" t="s">
        <v>1769</v>
      </c>
    </row>
    <row r="418" spans="1:8" x14ac:dyDescent="0.35">
      <c r="A418" s="22" t="s">
        <v>851</v>
      </c>
      <c r="B418" s="22" t="str">
        <f>"09979"</f>
        <v>09979</v>
      </c>
      <c r="C418" s="22" t="str">
        <f t="shared" si="6"/>
        <v>'9979.HK'</v>
      </c>
      <c r="D418" s="22" t="s">
        <v>1770</v>
      </c>
      <c r="E418" s="22" t="s">
        <v>1104</v>
      </c>
      <c r="F418" s="22">
        <v>12301200000</v>
      </c>
      <c r="G418" s="22">
        <v>28</v>
      </c>
      <c r="H418" s="22" t="s">
        <v>1771</v>
      </c>
    </row>
    <row r="419" spans="1:8" x14ac:dyDescent="0.35">
      <c r="A419" s="22" t="s">
        <v>851</v>
      </c>
      <c r="B419" s="22" t="str">
        <f>"00546"</f>
        <v>00546</v>
      </c>
      <c r="C419" s="22" t="str">
        <f t="shared" si="6"/>
        <v>'0546.HK'</v>
      </c>
      <c r="D419" s="22" t="s">
        <v>1772</v>
      </c>
      <c r="E419" s="22" t="s">
        <v>1451</v>
      </c>
      <c r="F419" s="22">
        <v>12223226158.34</v>
      </c>
      <c r="G419" s="22">
        <v>131</v>
      </c>
      <c r="H419" s="22" t="s">
        <v>1773</v>
      </c>
    </row>
    <row r="420" spans="1:8" x14ac:dyDescent="0.35">
      <c r="A420" s="22" t="s">
        <v>851</v>
      </c>
      <c r="B420" s="22" t="str">
        <f>"00604"</f>
        <v>00604</v>
      </c>
      <c r="C420" s="22" t="str">
        <f t="shared" si="6"/>
        <v>'0604.HK'</v>
      </c>
      <c r="D420" s="22" t="s">
        <v>1774</v>
      </c>
      <c r="E420" s="22" t="s">
        <v>924</v>
      </c>
      <c r="F420" s="22">
        <v>12191346567.549999</v>
      </c>
      <c r="G420" s="22">
        <v>122</v>
      </c>
      <c r="H420" s="22" t="s">
        <v>1775</v>
      </c>
    </row>
    <row r="421" spans="1:8" x14ac:dyDescent="0.35">
      <c r="A421" s="22" t="s">
        <v>851</v>
      </c>
      <c r="B421" s="22" t="str">
        <f>"01302"</f>
        <v>01302</v>
      </c>
      <c r="C421" s="22" t="str">
        <f t="shared" si="6"/>
        <v>'1302.HK'</v>
      </c>
      <c r="D421" s="22" t="s">
        <v>1776</v>
      </c>
      <c r="E421" s="22" t="s">
        <v>1232</v>
      </c>
      <c r="F421" s="22">
        <v>11991778736</v>
      </c>
      <c r="G421" s="22">
        <v>129</v>
      </c>
      <c r="H421" s="22" t="s">
        <v>1777</v>
      </c>
    </row>
    <row r="422" spans="1:8" x14ac:dyDescent="0.35">
      <c r="A422" s="22" t="s">
        <v>851</v>
      </c>
      <c r="B422" s="22" t="str">
        <f>"02145"</f>
        <v>02145</v>
      </c>
      <c r="C422" s="22" t="str">
        <f t="shared" si="6"/>
        <v>'2145.HK'</v>
      </c>
      <c r="D422" s="22" t="s">
        <v>1778</v>
      </c>
      <c r="F422" s="22">
        <v>11908800000</v>
      </c>
      <c r="H422" s="22" t="s">
        <v>1779</v>
      </c>
    </row>
    <row r="423" spans="1:8" x14ac:dyDescent="0.35">
      <c r="A423" s="22" t="s">
        <v>851</v>
      </c>
      <c r="B423" s="22" t="str">
        <f>"01811"</f>
        <v>01811</v>
      </c>
      <c r="C423" s="22" t="str">
        <f t="shared" si="6"/>
        <v>'1811.HK'</v>
      </c>
      <c r="D423" s="22" t="s">
        <v>1780</v>
      </c>
      <c r="E423" s="22" t="s">
        <v>1127</v>
      </c>
      <c r="F423" s="22">
        <v>11885582480</v>
      </c>
      <c r="G423" s="22">
        <v>99</v>
      </c>
      <c r="H423" s="22" t="s">
        <v>1781</v>
      </c>
    </row>
    <row r="424" spans="1:8" x14ac:dyDescent="0.35">
      <c r="A424" s="22" t="s">
        <v>851</v>
      </c>
      <c r="B424" s="22" t="str">
        <f>"01578"</f>
        <v>01578</v>
      </c>
      <c r="C424" s="22" t="str">
        <f t="shared" si="6"/>
        <v>'1578.HK'</v>
      </c>
      <c r="D424" s="22" t="s">
        <v>1782</v>
      </c>
      <c r="E424" s="22" t="s">
        <v>858</v>
      </c>
      <c r="F424" s="22">
        <v>11837576052.9</v>
      </c>
      <c r="G424" s="22">
        <v>52</v>
      </c>
      <c r="H424" s="22" t="s">
        <v>1783</v>
      </c>
    </row>
    <row r="425" spans="1:8" x14ac:dyDescent="0.35">
      <c r="A425" s="22" t="s">
        <v>851</v>
      </c>
      <c r="B425" s="22" t="str">
        <f>"02273"</f>
        <v>02273</v>
      </c>
      <c r="C425" s="22" t="str">
        <f t="shared" si="6"/>
        <v>'2273.HK'</v>
      </c>
      <c r="D425" s="22" t="s">
        <v>1784</v>
      </c>
      <c r="E425" s="22" t="s">
        <v>1362</v>
      </c>
      <c r="F425" s="22">
        <v>11819338295.4</v>
      </c>
      <c r="G425" s="22">
        <v>4</v>
      </c>
      <c r="H425" s="22" t="s">
        <v>1785</v>
      </c>
    </row>
    <row r="426" spans="1:8" x14ac:dyDescent="0.35">
      <c r="A426" s="22" t="s">
        <v>851</v>
      </c>
      <c r="B426" s="22" t="str">
        <f>"00710"</f>
        <v>00710</v>
      </c>
      <c r="C426" s="22" t="str">
        <f t="shared" si="6"/>
        <v>'0710.HK'</v>
      </c>
      <c r="D426" s="22" t="s">
        <v>1786</v>
      </c>
      <c r="E426" s="22" t="s">
        <v>1122</v>
      </c>
      <c r="F426" s="22">
        <v>11649558202.879999</v>
      </c>
      <c r="G426" s="22">
        <v>21</v>
      </c>
      <c r="H426" s="22" t="s">
        <v>1787</v>
      </c>
    </row>
    <row r="427" spans="1:8" x14ac:dyDescent="0.35">
      <c r="A427" s="22" t="s">
        <v>851</v>
      </c>
      <c r="B427" s="22" t="str">
        <f>"01456"</f>
        <v>01456</v>
      </c>
      <c r="C427" s="22" t="str">
        <f t="shared" si="6"/>
        <v>'1456.HK'</v>
      </c>
      <c r="D427" s="22" t="s">
        <v>1788</v>
      </c>
      <c r="E427" s="22" t="s">
        <v>1130</v>
      </c>
      <c r="F427" s="22">
        <v>11610269988.799999</v>
      </c>
      <c r="G427" s="22">
        <v>40</v>
      </c>
      <c r="H427" s="22" t="s">
        <v>1789</v>
      </c>
    </row>
    <row r="428" spans="1:8" x14ac:dyDescent="0.35">
      <c r="A428" s="22" t="s">
        <v>851</v>
      </c>
      <c r="B428" s="22" t="str">
        <f>"00357"</f>
        <v>00357</v>
      </c>
      <c r="C428" s="22" t="str">
        <f t="shared" si="6"/>
        <v>'0357.HK'</v>
      </c>
      <c r="D428" s="22" t="s">
        <v>1790</v>
      </c>
      <c r="E428" s="22" t="s">
        <v>1081</v>
      </c>
      <c r="F428" s="22">
        <v>11570057850</v>
      </c>
      <c r="G428" s="22">
        <v>50</v>
      </c>
      <c r="H428" s="22" t="s">
        <v>1791</v>
      </c>
    </row>
    <row r="429" spans="1:8" x14ac:dyDescent="0.35">
      <c r="A429" s="22" t="s">
        <v>851</v>
      </c>
      <c r="B429" s="22" t="str">
        <f>"03669"</f>
        <v>03669</v>
      </c>
      <c r="C429" s="22" t="str">
        <f t="shared" si="6"/>
        <v>'3669.HK'</v>
      </c>
      <c r="D429" s="22" t="s">
        <v>1792</v>
      </c>
      <c r="E429" s="22" t="s">
        <v>1089</v>
      </c>
      <c r="F429" s="22">
        <v>11286880644.620001</v>
      </c>
      <c r="G429" s="22">
        <v>80</v>
      </c>
      <c r="H429" s="22" t="s">
        <v>1793</v>
      </c>
    </row>
    <row r="430" spans="1:8" x14ac:dyDescent="0.35">
      <c r="A430" s="22" t="s">
        <v>851</v>
      </c>
      <c r="B430" s="22" t="str">
        <f>"06122"</f>
        <v>06122</v>
      </c>
      <c r="C430" s="22" t="str">
        <f t="shared" si="6"/>
        <v>'6122.HK'</v>
      </c>
      <c r="D430" s="22" t="s">
        <v>1794</v>
      </c>
      <c r="E430" s="22" t="s">
        <v>858</v>
      </c>
      <c r="F430" s="22">
        <v>11112479536.110001</v>
      </c>
      <c r="G430" s="22">
        <v>13</v>
      </c>
      <c r="H430" s="22" t="s">
        <v>1795</v>
      </c>
    </row>
    <row r="431" spans="1:8" x14ac:dyDescent="0.35">
      <c r="A431" s="22" t="s">
        <v>851</v>
      </c>
      <c r="B431" s="22" t="str">
        <f>"02009"</f>
        <v>02009</v>
      </c>
      <c r="C431" s="22" t="str">
        <f t="shared" si="6"/>
        <v>'2009.HK'</v>
      </c>
      <c r="D431" s="22" t="s">
        <v>1796</v>
      </c>
      <c r="E431" s="22" t="s">
        <v>1016</v>
      </c>
      <c r="F431" s="22">
        <v>11104881979.360001</v>
      </c>
      <c r="G431" s="22">
        <v>141</v>
      </c>
      <c r="H431" s="22" t="s">
        <v>1797</v>
      </c>
    </row>
    <row r="432" spans="1:8" x14ac:dyDescent="0.35">
      <c r="A432" s="22" t="s">
        <v>851</v>
      </c>
      <c r="B432" s="22" t="str">
        <f>"01528"</f>
        <v>01528</v>
      </c>
      <c r="C432" s="22" t="str">
        <f t="shared" si="6"/>
        <v>'1528.HK'</v>
      </c>
      <c r="D432" s="22" t="s">
        <v>1798</v>
      </c>
      <c r="E432" s="22" t="s">
        <v>1028</v>
      </c>
      <c r="F432" s="22">
        <v>11104568316.15</v>
      </c>
      <c r="G432" s="22">
        <v>170</v>
      </c>
      <c r="H432" s="22" t="s">
        <v>1799</v>
      </c>
    </row>
    <row r="433" spans="1:8" x14ac:dyDescent="0.35">
      <c r="A433" s="22" t="s">
        <v>851</v>
      </c>
      <c r="B433" s="22" t="str">
        <f>"08032"</f>
        <v>08032</v>
      </c>
      <c r="C433" s="22" t="str">
        <f t="shared" si="6"/>
        <v>'8032.HK'</v>
      </c>
      <c r="D433" s="22" t="s">
        <v>1800</v>
      </c>
      <c r="E433" s="22" t="s">
        <v>1744</v>
      </c>
      <c r="F433" s="22">
        <v>11035388928.780001</v>
      </c>
      <c r="G433" s="22">
        <v>3</v>
      </c>
      <c r="H433" s="22" t="s">
        <v>1801</v>
      </c>
    </row>
    <row r="434" spans="1:8" x14ac:dyDescent="0.35">
      <c r="A434" s="22" t="s">
        <v>851</v>
      </c>
      <c r="B434" s="22" t="str">
        <f>"00855"</f>
        <v>00855</v>
      </c>
      <c r="C434" s="22" t="str">
        <f t="shared" si="6"/>
        <v>'0855.HK'</v>
      </c>
      <c r="D434" s="22" t="s">
        <v>1802</v>
      </c>
      <c r="E434" s="22" t="s">
        <v>1255</v>
      </c>
      <c r="F434" s="22">
        <v>10969206165.120001</v>
      </c>
      <c r="G434" s="22">
        <v>74</v>
      </c>
      <c r="H434" s="22" t="s">
        <v>1803</v>
      </c>
    </row>
    <row r="435" spans="1:8" x14ac:dyDescent="0.35">
      <c r="A435" s="22" t="s">
        <v>851</v>
      </c>
      <c r="B435" s="22" t="str">
        <f>"00884"</f>
        <v>00884</v>
      </c>
      <c r="C435" s="22" t="str">
        <f t="shared" si="6"/>
        <v>'0884.HK'</v>
      </c>
      <c r="D435" s="22" t="s">
        <v>1804</v>
      </c>
      <c r="E435" s="22" t="s">
        <v>924</v>
      </c>
      <c r="F435" s="22">
        <v>10907642040.42</v>
      </c>
      <c r="G435" s="22">
        <v>222</v>
      </c>
      <c r="H435" s="22" t="s">
        <v>1805</v>
      </c>
    </row>
    <row r="436" spans="1:8" x14ac:dyDescent="0.35">
      <c r="A436" s="22" t="s">
        <v>851</v>
      </c>
      <c r="B436" s="22" t="str">
        <f>"01789"</f>
        <v>01789</v>
      </c>
      <c r="C436" s="22" t="str">
        <f t="shared" si="6"/>
        <v>'1789.HK'</v>
      </c>
      <c r="D436" s="22" t="s">
        <v>1806</v>
      </c>
      <c r="E436" s="22" t="s">
        <v>1232</v>
      </c>
      <c r="F436" s="22">
        <v>10867405000</v>
      </c>
      <c r="G436" s="22">
        <v>195</v>
      </c>
      <c r="H436" s="22" t="s">
        <v>1807</v>
      </c>
    </row>
    <row r="437" spans="1:8" x14ac:dyDescent="0.35">
      <c r="A437" s="22" t="s">
        <v>851</v>
      </c>
      <c r="B437" s="22" t="str">
        <f>"09997"</f>
        <v>09997</v>
      </c>
      <c r="C437" s="22" t="str">
        <f t="shared" si="6"/>
        <v>'9997.HK'</v>
      </c>
      <c r="D437" s="22" t="s">
        <v>1808</v>
      </c>
      <c r="E437" s="22" t="s">
        <v>1232</v>
      </c>
      <c r="F437" s="22">
        <v>10854734240</v>
      </c>
      <c r="G437" s="22">
        <v>57</v>
      </c>
      <c r="H437" s="22" t="s">
        <v>1809</v>
      </c>
    </row>
    <row r="438" spans="1:8" x14ac:dyDescent="0.35">
      <c r="A438" s="22" t="s">
        <v>851</v>
      </c>
      <c r="B438" s="22" t="str">
        <f>"02400"</f>
        <v>02400</v>
      </c>
      <c r="C438" s="22" t="str">
        <f t="shared" si="6"/>
        <v>'2400.HK'</v>
      </c>
      <c r="D438" s="22" t="s">
        <v>1810</v>
      </c>
      <c r="E438" s="22" t="s">
        <v>910</v>
      </c>
      <c r="F438" s="22">
        <v>10833712285</v>
      </c>
      <c r="G438" s="22">
        <v>163</v>
      </c>
      <c r="H438" s="22" t="s">
        <v>1811</v>
      </c>
    </row>
    <row r="439" spans="1:8" x14ac:dyDescent="0.35">
      <c r="A439" s="22" t="s">
        <v>851</v>
      </c>
      <c r="B439" s="22" t="str">
        <f>"00363"</f>
        <v>00363</v>
      </c>
      <c r="C439" s="22" t="str">
        <f t="shared" si="6"/>
        <v>'0363.HK'</v>
      </c>
      <c r="D439" s="22" t="s">
        <v>1812</v>
      </c>
      <c r="E439" s="22" t="s">
        <v>958</v>
      </c>
      <c r="F439" s="22">
        <v>10806883304</v>
      </c>
      <c r="G439" s="22">
        <v>210</v>
      </c>
      <c r="H439" s="22" t="s">
        <v>1813</v>
      </c>
    </row>
    <row r="440" spans="1:8" x14ac:dyDescent="0.35">
      <c r="A440" s="22" t="s">
        <v>851</v>
      </c>
      <c r="B440" s="22" t="str">
        <f>"00317"</f>
        <v>00317</v>
      </c>
      <c r="C440" s="22" t="str">
        <f t="shared" si="6"/>
        <v>'0317.HK'</v>
      </c>
      <c r="D440" s="22" t="s">
        <v>1814</v>
      </c>
      <c r="E440" s="22" t="s">
        <v>1109</v>
      </c>
      <c r="F440" s="22">
        <v>10714378345.24</v>
      </c>
      <c r="G440" s="22">
        <v>54</v>
      </c>
      <c r="H440" s="22" t="s">
        <v>1815</v>
      </c>
    </row>
    <row r="441" spans="1:8" x14ac:dyDescent="0.35">
      <c r="A441" s="22" t="s">
        <v>851</v>
      </c>
      <c r="B441" s="22" t="str">
        <f>"00995"</f>
        <v>00995</v>
      </c>
      <c r="C441" s="22" t="str">
        <f t="shared" si="6"/>
        <v>'0995.HK'</v>
      </c>
      <c r="D441" s="22" t="s">
        <v>1816</v>
      </c>
      <c r="E441" s="22" t="s">
        <v>1367</v>
      </c>
      <c r="F441" s="22">
        <v>10681448400</v>
      </c>
      <c r="G441" s="22">
        <v>232</v>
      </c>
      <c r="H441" s="22" t="s">
        <v>1817</v>
      </c>
    </row>
    <row r="442" spans="1:8" x14ac:dyDescent="0.35">
      <c r="A442" s="22" t="s">
        <v>851</v>
      </c>
      <c r="B442" s="22" t="str">
        <f>"00990"</f>
        <v>00990</v>
      </c>
      <c r="C442" s="22" t="str">
        <f t="shared" si="6"/>
        <v>'0990.HK'</v>
      </c>
      <c r="D442" s="22" t="s">
        <v>1818</v>
      </c>
      <c r="E442" s="22" t="s">
        <v>1600</v>
      </c>
      <c r="F442" s="22">
        <v>10642362258.49</v>
      </c>
      <c r="G442" s="22">
        <v>8</v>
      </c>
      <c r="H442" s="22" t="s">
        <v>1819</v>
      </c>
    </row>
    <row r="443" spans="1:8" x14ac:dyDescent="0.35">
      <c r="A443" s="22" t="s">
        <v>851</v>
      </c>
      <c r="B443" s="22" t="str">
        <f>"00535"</f>
        <v>00535</v>
      </c>
      <c r="C443" s="22" t="str">
        <f t="shared" si="6"/>
        <v>'0535.HK'</v>
      </c>
      <c r="D443" s="22" t="s">
        <v>1820</v>
      </c>
      <c r="E443" s="22" t="s">
        <v>924</v>
      </c>
      <c r="F443" s="22">
        <v>10630199569.280001</v>
      </c>
      <c r="G443" s="22">
        <v>94</v>
      </c>
      <c r="H443" s="22" t="s">
        <v>1821</v>
      </c>
    </row>
    <row r="444" spans="1:8" x14ac:dyDescent="0.35">
      <c r="A444" s="22" t="s">
        <v>851</v>
      </c>
      <c r="B444" s="22" t="str">
        <f>"01112"</f>
        <v>01112</v>
      </c>
      <c r="C444" s="22" t="str">
        <f t="shared" si="6"/>
        <v>'1112.HK'</v>
      </c>
      <c r="D444" s="22" t="s">
        <v>1822</v>
      </c>
      <c r="E444" s="22" t="s">
        <v>1283</v>
      </c>
      <c r="F444" s="22">
        <v>10594365358.9</v>
      </c>
      <c r="G444" s="22">
        <v>118</v>
      </c>
      <c r="H444" s="22" t="s">
        <v>1823</v>
      </c>
    </row>
    <row r="445" spans="1:8" x14ac:dyDescent="0.35">
      <c r="A445" s="22" t="s">
        <v>851</v>
      </c>
      <c r="B445" s="22" t="str">
        <f>"01896"</f>
        <v>01896</v>
      </c>
      <c r="C445" s="22" t="str">
        <f t="shared" si="6"/>
        <v>'1896.HK'</v>
      </c>
      <c r="D445" s="22" t="s">
        <v>1824</v>
      </c>
      <c r="E445" s="22" t="s">
        <v>1185</v>
      </c>
      <c r="F445" s="22">
        <v>10581669035</v>
      </c>
      <c r="G445" s="22">
        <v>70</v>
      </c>
      <c r="H445" s="22" t="s">
        <v>1825</v>
      </c>
    </row>
    <row r="446" spans="1:8" x14ac:dyDescent="0.35">
      <c r="A446" s="22" t="s">
        <v>851</v>
      </c>
      <c r="B446" s="22" t="str">
        <f>"06869"</f>
        <v>06869</v>
      </c>
      <c r="C446" s="22" t="str">
        <f t="shared" si="6"/>
        <v>'6869.HK'</v>
      </c>
      <c r="D446" s="22" t="s">
        <v>1826</v>
      </c>
      <c r="E446" s="22" t="s">
        <v>938</v>
      </c>
      <c r="F446" s="22">
        <v>10565197205.52</v>
      </c>
      <c r="G446" s="22">
        <v>102</v>
      </c>
      <c r="H446" s="22" t="s">
        <v>1827</v>
      </c>
    </row>
    <row r="447" spans="1:8" x14ac:dyDescent="0.35">
      <c r="A447" s="22" t="s">
        <v>851</v>
      </c>
      <c r="B447" s="22" t="str">
        <f>"09966"</f>
        <v>09966</v>
      </c>
      <c r="C447" s="22" t="str">
        <f t="shared" si="6"/>
        <v>'9966.HK'</v>
      </c>
      <c r="D447" s="22" t="s">
        <v>1828</v>
      </c>
      <c r="E447" s="22" t="s">
        <v>941</v>
      </c>
      <c r="F447" s="22">
        <v>10506029206.66</v>
      </c>
      <c r="G447" s="22">
        <v>33</v>
      </c>
      <c r="H447" s="22" t="s">
        <v>1829</v>
      </c>
    </row>
    <row r="448" spans="1:8" x14ac:dyDescent="0.35">
      <c r="A448" s="22" t="s">
        <v>851</v>
      </c>
      <c r="B448" s="22" t="str">
        <f>"01244"</f>
        <v>01244</v>
      </c>
      <c r="C448" s="22" t="str">
        <f t="shared" si="6"/>
        <v>'1244.HK'</v>
      </c>
      <c r="D448" s="22" t="s">
        <v>1830</v>
      </c>
      <c r="E448" s="22" t="s">
        <v>941</v>
      </c>
      <c r="F448" s="22">
        <v>10263946000</v>
      </c>
      <c r="H448" s="22" t="s">
        <v>1831</v>
      </c>
    </row>
    <row r="449" spans="1:8" x14ac:dyDescent="0.35">
      <c r="A449" s="22" t="s">
        <v>851</v>
      </c>
      <c r="B449" s="22" t="str">
        <f>"01381"</f>
        <v>01381</v>
      </c>
      <c r="C449" s="22" t="str">
        <f t="shared" si="6"/>
        <v>'1381.HK'</v>
      </c>
      <c r="D449" s="22" t="s">
        <v>1832</v>
      </c>
      <c r="E449" s="22" t="s">
        <v>1127</v>
      </c>
      <c r="F449" s="22">
        <v>10197282086.42</v>
      </c>
      <c r="G449" s="22">
        <v>48</v>
      </c>
      <c r="H449" s="22" t="s">
        <v>1833</v>
      </c>
    </row>
    <row r="450" spans="1:8" x14ac:dyDescent="0.35">
      <c r="A450" s="22" t="s">
        <v>851</v>
      </c>
      <c r="B450" s="22" t="str">
        <f>"02315"</f>
        <v>02315</v>
      </c>
      <c r="C450" s="22" t="str">
        <f t="shared" si="6"/>
        <v>'2315.HK'</v>
      </c>
      <c r="D450" s="22" t="s">
        <v>1834</v>
      </c>
      <c r="E450" s="22" t="s">
        <v>941</v>
      </c>
      <c r="F450" s="22">
        <v>10164689789</v>
      </c>
      <c r="G450" s="22">
        <v>1</v>
      </c>
      <c r="H450" s="22" t="s">
        <v>1835</v>
      </c>
    </row>
    <row r="451" spans="1:8" x14ac:dyDescent="0.35">
      <c r="A451" s="22" t="s">
        <v>851</v>
      </c>
      <c r="B451" s="22" t="str">
        <f>"00525"</f>
        <v>00525</v>
      </c>
      <c r="C451" s="22" t="str">
        <f t="shared" ref="C451:C514" si="7">CONCATENATE("'",RIGHT(B451,4),".HK'")</f>
        <v>'0525.HK'</v>
      </c>
      <c r="D451" s="22" t="s">
        <v>1836</v>
      </c>
      <c r="E451" s="22" t="s">
        <v>948</v>
      </c>
      <c r="F451" s="22">
        <v>10129457910</v>
      </c>
      <c r="G451" s="22">
        <v>62</v>
      </c>
      <c r="H451" s="22" t="s">
        <v>1837</v>
      </c>
    </row>
    <row r="452" spans="1:8" x14ac:dyDescent="0.35">
      <c r="A452" s="22" t="s">
        <v>851</v>
      </c>
      <c r="B452" s="22" t="str">
        <f>"06955"</f>
        <v>06955</v>
      </c>
      <c r="C452" s="22" t="str">
        <f t="shared" si="7"/>
        <v>'6955.HK'</v>
      </c>
      <c r="D452" s="22" t="s">
        <v>1838</v>
      </c>
      <c r="F452" s="22">
        <v>10083744000</v>
      </c>
      <c r="H452" s="22" t="s">
        <v>1839</v>
      </c>
    </row>
    <row r="453" spans="1:8" x14ac:dyDescent="0.35">
      <c r="A453" s="22" t="s">
        <v>851</v>
      </c>
      <c r="B453" s="22" t="str">
        <f>"01033"</f>
        <v>01033</v>
      </c>
      <c r="C453" s="22" t="str">
        <f t="shared" si="7"/>
        <v>'1033.HK'</v>
      </c>
      <c r="D453" s="22" t="s">
        <v>1840</v>
      </c>
      <c r="E453" s="22" t="s">
        <v>1294</v>
      </c>
      <c r="F453" s="22">
        <v>10061700217.49</v>
      </c>
      <c r="G453" s="22">
        <v>50</v>
      </c>
      <c r="H453" s="22" t="s">
        <v>1841</v>
      </c>
    </row>
    <row r="454" spans="1:8" x14ac:dyDescent="0.35">
      <c r="A454" s="22" t="s">
        <v>851</v>
      </c>
      <c r="B454" s="22" t="str">
        <f>"01883"</f>
        <v>01883</v>
      </c>
      <c r="C454" s="22" t="str">
        <f t="shared" si="7"/>
        <v>'1883.HK'</v>
      </c>
      <c r="D454" s="22" t="s">
        <v>1842</v>
      </c>
      <c r="E454" s="22" t="s">
        <v>865</v>
      </c>
      <c r="F454" s="22">
        <v>10032047839.040001</v>
      </c>
      <c r="G454" s="22">
        <v>62</v>
      </c>
      <c r="H454" s="22" t="s">
        <v>1843</v>
      </c>
    </row>
    <row r="455" spans="1:8" x14ac:dyDescent="0.35">
      <c r="A455" s="22" t="s">
        <v>851</v>
      </c>
      <c r="B455" s="22" t="str">
        <f>"01686"</f>
        <v>01686</v>
      </c>
      <c r="C455" s="22" t="str">
        <f t="shared" si="7"/>
        <v>'1686.HK'</v>
      </c>
      <c r="D455" s="22" t="s">
        <v>1844</v>
      </c>
      <c r="E455" s="22" t="s">
        <v>1202</v>
      </c>
      <c r="F455" s="22">
        <v>9964384238.5799999</v>
      </c>
      <c r="G455" s="22">
        <v>33</v>
      </c>
      <c r="H455" s="22" t="s">
        <v>1845</v>
      </c>
    </row>
    <row r="456" spans="1:8" x14ac:dyDescent="0.35">
      <c r="A456" s="22" t="s">
        <v>851</v>
      </c>
      <c r="B456" s="22" t="str">
        <f>"02325"</f>
        <v>02325</v>
      </c>
      <c r="C456" s="22" t="str">
        <f t="shared" si="7"/>
        <v>'2325.HK'</v>
      </c>
      <c r="D456" s="22" t="s">
        <v>1846</v>
      </c>
      <c r="E456" s="22" t="s">
        <v>941</v>
      </c>
      <c r="F456" s="22">
        <v>9952433010</v>
      </c>
      <c r="G456" s="22">
        <v>1</v>
      </c>
      <c r="H456" s="22" t="s">
        <v>1847</v>
      </c>
    </row>
    <row r="457" spans="1:8" x14ac:dyDescent="0.35">
      <c r="A457" s="22" t="s">
        <v>851</v>
      </c>
      <c r="B457" s="22" t="str">
        <f>"00165"</f>
        <v>00165</v>
      </c>
      <c r="C457" s="22" t="str">
        <f t="shared" si="7"/>
        <v>'0165.HK'</v>
      </c>
      <c r="D457" s="22" t="s">
        <v>1848</v>
      </c>
      <c r="E457" s="22" t="s">
        <v>964</v>
      </c>
      <c r="F457" s="22">
        <v>9858734215.2000008</v>
      </c>
      <c r="G457" s="22">
        <v>183</v>
      </c>
      <c r="H457" s="22" t="s">
        <v>1849</v>
      </c>
    </row>
    <row r="458" spans="1:8" x14ac:dyDescent="0.35">
      <c r="A458" s="22" t="s">
        <v>851</v>
      </c>
      <c r="B458" s="22" t="str">
        <f>"02291"</f>
        <v>02291</v>
      </c>
      <c r="C458" s="22" t="str">
        <f t="shared" si="7"/>
        <v>'2291.HK'</v>
      </c>
      <c r="D458" s="22" t="s">
        <v>1850</v>
      </c>
      <c r="E458" s="22" t="s">
        <v>1232</v>
      </c>
      <c r="F458" s="22">
        <v>9847699914.7999992</v>
      </c>
      <c r="G458" s="22">
        <v>1</v>
      </c>
      <c r="H458" s="22" t="s">
        <v>1851</v>
      </c>
    </row>
    <row r="459" spans="1:8" x14ac:dyDescent="0.35">
      <c r="A459" s="22" t="s">
        <v>851</v>
      </c>
      <c r="B459" s="22" t="str">
        <f>"03383"</f>
        <v>03383</v>
      </c>
      <c r="C459" s="22" t="str">
        <f t="shared" si="7"/>
        <v>'3383.HK'</v>
      </c>
      <c r="D459" s="22" t="s">
        <v>1852</v>
      </c>
      <c r="E459" s="22" t="s">
        <v>924</v>
      </c>
      <c r="F459" s="22">
        <v>9814070675</v>
      </c>
      <c r="G459" s="22">
        <v>225</v>
      </c>
      <c r="H459" s="22" t="s">
        <v>1853</v>
      </c>
    </row>
    <row r="460" spans="1:8" x14ac:dyDescent="0.35">
      <c r="A460" s="22" t="s">
        <v>851</v>
      </c>
      <c r="B460" s="22" t="str">
        <f>"00142"</f>
        <v>00142</v>
      </c>
      <c r="C460" s="22" t="str">
        <f t="shared" si="7"/>
        <v>'0142.HK'</v>
      </c>
      <c r="D460" s="22" t="s">
        <v>1854</v>
      </c>
      <c r="E460" s="22" t="s">
        <v>1205</v>
      </c>
      <c r="F460" s="22">
        <v>9798235916.7000008</v>
      </c>
      <c r="G460" s="22">
        <v>48</v>
      </c>
      <c r="H460" s="22" t="s">
        <v>1855</v>
      </c>
    </row>
    <row r="461" spans="1:8" x14ac:dyDescent="0.35">
      <c r="A461" s="22" t="s">
        <v>851</v>
      </c>
      <c r="B461" s="22" t="str">
        <f>"00308"</f>
        <v>00308</v>
      </c>
      <c r="C461" s="22" t="str">
        <f t="shared" si="7"/>
        <v>'0308.HK'</v>
      </c>
      <c r="D461" s="22" t="s">
        <v>1856</v>
      </c>
      <c r="E461" s="22" t="s">
        <v>897</v>
      </c>
      <c r="F461" s="22">
        <v>9744475327.8400002</v>
      </c>
      <c r="G461" s="22">
        <v>51</v>
      </c>
      <c r="H461" s="22" t="s">
        <v>1857</v>
      </c>
    </row>
    <row r="462" spans="1:8" x14ac:dyDescent="0.35">
      <c r="A462" s="22" t="s">
        <v>851</v>
      </c>
      <c r="B462" s="22" t="str">
        <f>"00520"</f>
        <v>00520</v>
      </c>
      <c r="C462" s="22" t="str">
        <f t="shared" si="7"/>
        <v>'0520.HK'</v>
      </c>
      <c r="D462" s="22" t="s">
        <v>1858</v>
      </c>
      <c r="E462" s="22" t="s">
        <v>981</v>
      </c>
      <c r="F462" s="22">
        <v>9699452387.3299999</v>
      </c>
      <c r="G462" s="22">
        <v>235</v>
      </c>
      <c r="H462" s="22" t="s">
        <v>1859</v>
      </c>
    </row>
    <row r="463" spans="1:8" x14ac:dyDescent="0.35">
      <c r="A463" s="22" t="s">
        <v>851</v>
      </c>
      <c r="B463" s="22" t="str">
        <f>"02138"</f>
        <v>02138</v>
      </c>
      <c r="C463" s="22" t="str">
        <f t="shared" si="7"/>
        <v>'2138.HK'</v>
      </c>
      <c r="D463" s="22" t="s">
        <v>1860</v>
      </c>
      <c r="E463" s="22" t="s">
        <v>1362</v>
      </c>
      <c r="F463" s="22">
        <v>9698002476.6900005</v>
      </c>
      <c r="G463" s="22">
        <v>42</v>
      </c>
      <c r="H463" s="22" t="s">
        <v>1861</v>
      </c>
    </row>
    <row r="464" spans="1:8" x14ac:dyDescent="0.35">
      <c r="A464" s="22" t="s">
        <v>851</v>
      </c>
      <c r="B464" s="22" t="str">
        <f>"03613"</f>
        <v>03613</v>
      </c>
      <c r="C464" s="22" t="str">
        <f t="shared" si="7"/>
        <v>'3613.HK'</v>
      </c>
      <c r="D464" s="22" t="s">
        <v>1862</v>
      </c>
      <c r="E464" s="22" t="s">
        <v>1349</v>
      </c>
      <c r="F464" s="22">
        <v>9693618000</v>
      </c>
      <c r="G464" s="22">
        <v>139</v>
      </c>
      <c r="H464" s="22" t="s">
        <v>1863</v>
      </c>
    </row>
    <row r="465" spans="1:8" x14ac:dyDescent="0.35">
      <c r="A465" s="22" t="s">
        <v>851</v>
      </c>
      <c r="B465" s="22" t="str">
        <f>"01839"</f>
        <v>01839</v>
      </c>
      <c r="C465" s="22" t="str">
        <f t="shared" si="7"/>
        <v>'1839.HK'</v>
      </c>
      <c r="D465" s="22" t="s">
        <v>1864</v>
      </c>
      <c r="E465" s="22" t="s">
        <v>1109</v>
      </c>
      <c r="F465" s="22">
        <v>9664304000</v>
      </c>
      <c r="G465" s="22">
        <v>16</v>
      </c>
      <c r="H465" s="22" t="s">
        <v>1865</v>
      </c>
    </row>
    <row r="466" spans="1:8" x14ac:dyDescent="0.35">
      <c r="A466" s="22" t="s">
        <v>851</v>
      </c>
      <c r="B466" s="22" t="str">
        <f>"00819"</f>
        <v>00819</v>
      </c>
      <c r="C466" s="22" t="str">
        <f t="shared" si="7"/>
        <v>'0819.HK'</v>
      </c>
      <c r="D466" s="22" t="s">
        <v>1866</v>
      </c>
      <c r="E466" s="22" t="s">
        <v>1145</v>
      </c>
      <c r="F466" s="22">
        <v>9650886965</v>
      </c>
      <c r="G466" s="22">
        <v>246</v>
      </c>
      <c r="H466" s="22" t="s">
        <v>1867</v>
      </c>
    </row>
    <row r="467" spans="1:8" x14ac:dyDescent="0.35">
      <c r="A467" s="22" t="s">
        <v>851</v>
      </c>
      <c r="B467" s="22" t="str">
        <f>"02155"</f>
        <v>02155</v>
      </c>
      <c r="C467" s="22" t="str">
        <f t="shared" si="7"/>
        <v>'2155.HK'</v>
      </c>
      <c r="D467" s="22" t="s">
        <v>1868</v>
      </c>
      <c r="E467" s="22" t="s">
        <v>1395</v>
      </c>
      <c r="F467" s="22">
        <v>9621211264</v>
      </c>
      <c r="G467" s="22">
        <v>7</v>
      </c>
      <c r="H467" s="22" t="s">
        <v>1869</v>
      </c>
    </row>
    <row r="468" spans="1:8" x14ac:dyDescent="0.35">
      <c r="A468" s="22" t="s">
        <v>851</v>
      </c>
      <c r="B468" s="22" t="str">
        <f>"09923"</f>
        <v>09923</v>
      </c>
      <c r="C468" s="22" t="str">
        <f t="shared" si="7"/>
        <v>'9923.HK'</v>
      </c>
      <c r="D468" s="22" t="s">
        <v>1870</v>
      </c>
      <c r="E468" s="22" t="s">
        <v>853</v>
      </c>
      <c r="F468" s="22">
        <v>9600688303</v>
      </c>
      <c r="G468" s="22">
        <v>31</v>
      </c>
      <c r="H468" s="22" t="s">
        <v>1871</v>
      </c>
    </row>
    <row r="469" spans="1:8" x14ac:dyDescent="0.35">
      <c r="A469" s="22" t="s">
        <v>851</v>
      </c>
      <c r="B469" s="22" t="str">
        <f>"06196"</f>
        <v>06196</v>
      </c>
      <c r="C469" s="22" t="str">
        <f t="shared" si="7"/>
        <v>'6196.HK'</v>
      </c>
      <c r="D469" s="22" t="s">
        <v>1872</v>
      </c>
      <c r="E469" s="22" t="s">
        <v>858</v>
      </c>
      <c r="F469" s="22">
        <v>9422712862.8600006</v>
      </c>
      <c r="G469" s="22">
        <v>55</v>
      </c>
      <c r="H469" s="22" t="s">
        <v>1873</v>
      </c>
    </row>
    <row r="470" spans="1:8" x14ac:dyDescent="0.35">
      <c r="A470" s="22" t="s">
        <v>851</v>
      </c>
      <c r="B470" s="22" t="str">
        <f>"02099"</f>
        <v>02099</v>
      </c>
      <c r="C470" s="22" t="str">
        <f t="shared" si="7"/>
        <v>'2099.HK'</v>
      </c>
      <c r="D470" s="22" t="s">
        <v>1874</v>
      </c>
      <c r="E470" s="22" t="s">
        <v>929</v>
      </c>
      <c r="F470" s="22">
        <v>9375185258.4500008</v>
      </c>
      <c r="G470" s="22">
        <v>94</v>
      </c>
      <c r="H470" s="22" t="s">
        <v>1875</v>
      </c>
    </row>
    <row r="471" spans="1:8" x14ac:dyDescent="0.35">
      <c r="A471" s="22" t="s">
        <v>851</v>
      </c>
      <c r="B471" s="22" t="str">
        <f>"03933"</f>
        <v>03933</v>
      </c>
      <c r="C471" s="22" t="str">
        <f t="shared" si="7"/>
        <v>'3933.HK'</v>
      </c>
      <c r="D471" s="22" t="s">
        <v>1876</v>
      </c>
      <c r="E471" s="22" t="s">
        <v>969</v>
      </c>
      <c r="F471" s="22">
        <v>9342332971.1200008</v>
      </c>
      <c r="G471" s="22">
        <v>126</v>
      </c>
      <c r="H471" s="22" t="s">
        <v>1877</v>
      </c>
    </row>
    <row r="472" spans="1:8" x14ac:dyDescent="0.35">
      <c r="A472" s="22" t="s">
        <v>851</v>
      </c>
      <c r="B472" s="22" t="str">
        <f>"09666"</f>
        <v>09666</v>
      </c>
      <c r="C472" s="22" t="str">
        <f t="shared" si="7"/>
        <v>'9666.HK'</v>
      </c>
      <c r="D472" s="22" t="s">
        <v>1878</v>
      </c>
      <c r="E472" s="22" t="s">
        <v>1104</v>
      </c>
      <c r="F472" s="22">
        <v>9335727830</v>
      </c>
      <c r="G472" s="22">
        <v>43</v>
      </c>
      <c r="H472" s="22" t="s">
        <v>1879</v>
      </c>
    </row>
    <row r="473" spans="1:8" x14ac:dyDescent="0.35">
      <c r="A473" s="22" t="s">
        <v>851</v>
      </c>
      <c r="B473" s="22" t="str">
        <f>"09959"</f>
        <v>09959</v>
      </c>
      <c r="C473" s="22" t="str">
        <f t="shared" si="7"/>
        <v>'9959.HK'</v>
      </c>
      <c r="D473" s="22" t="s">
        <v>1880</v>
      </c>
      <c r="E473" s="22" t="s">
        <v>1202</v>
      </c>
      <c r="F473" s="22">
        <v>9332943058.8799992</v>
      </c>
      <c r="G473" s="22">
        <v>15</v>
      </c>
      <c r="H473" s="22" t="s">
        <v>1881</v>
      </c>
    </row>
    <row r="474" spans="1:8" x14ac:dyDescent="0.35">
      <c r="A474" s="22" t="s">
        <v>851</v>
      </c>
      <c r="B474" s="22" t="str">
        <f>"00405"</f>
        <v>00405</v>
      </c>
      <c r="C474" s="22" t="str">
        <f t="shared" si="7"/>
        <v>'0405.HK'</v>
      </c>
      <c r="D474" s="22" t="s">
        <v>1882</v>
      </c>
      <c r="F474" s="22">
        <v>9323385043.5</v>
      </c>
      <c r="G474" s="22">
        <v>115</v>
      </c>
      <c r="H474" s="22" t="s">
        <v>1883</v>
      </c>
    </row>
    <row r="475" spans="1:8" x14ac:dyDescent="0.35">
      <c r="A475" s="22" t="s">
        <v>851</v>
      </c>
      <c r="B475" s="22" t="str">
        <f>"02171"</f>
        <v>02171</v>
      </c>
      <c r="C475" s="22" t="str">
        <f t="shared" si="7"/>
        <v>'2171.HK'</v>
      </c>
      <c r="D475" s="22" t="s">
        <v>1884</v>
      </c>
      <c r="E475" s="22" t="s">
        <v>941</v>
      </c>
      <c r="F475" s="22">
        <v>9272772513</v>
      </c>
      <c r="G475" s="22">
        <v>14</v>
      </c>
      <c r="H475" s="22" t="s">
        <v>1885</v>
      </c>
    </row>
    <row r="476" spans="1:8" x14ac:dyDescent="0.35">
      <c r="A476" s="22" t="s">
        <v>851</v>
      </c>
      <c r="B476" s="22" t="str">
        <f>"00179"</f>
        <v>00179</v>
      </c>
      <c r="C476" s="22" t="str">
        <f t="shared" si="7"/>
        <v>'0179.HK'</v>
      </c>
      <c r="D476" s="22" t="s">
        <v>1886</v>
      </c>
      <c r="E476" s="22" t="s">
        <v>1122</v>
      </c>
      <c r="F476" s="22">
        <v>9217124771.1599998</v>
      </c>
      <c r="G476" s="22">
        <v>39</v>
      </c>
      <c r="H476" s="22" t="s">
        <v>1887</v>
      </c>
    </row>
    <row r="477" spans="1:8" x14ac:dyDescent="0.35">
      <c r="A477" s="22" t="s">
        <v>851</v>
      </c>
      <c r="B477" s="22" t="str">
        <f>"01415"</f>
        <v>01415</v>
      </c>
      <c r="C477" s="22" t="str">
        <f t="shared" si="7"/>
        <v>'1415.HK'</v>
      </c>
      <c r="D477" s="22" t="s">
        <v>1888</v>
      </c>
      <c r="E477" s="22" t="s">
        <v>1075</v>
      </c>
      <c r="F477" s="22">
        <v>9215280800</v>
      </c>
      <c r="G477" s="22">
        <v>23</v>
      </c>
      <c r="H477" s="22" t="s">
        <v>1889</v>
      </c>
    </row>
    <row r="478" spans="1:8" x14ac:dyDescent="0.35">
      <c r="A478" s="22" t="s">
        <v>851</v>
      </c>
      <c r="B478" s="22" t="str">
        <f>"00777"</f>
        <v>00777</v>
      </c>
      <c r="C478" s="22" t="str">
        <f t="shared" si="7"/>
        <v>'0777.HK'</v>
      </c>
      <c r="D478" s="22" t="s">
        <v>1890</v>
      </c>
      <c r="E478" s="22" t="s">
        <v>910</v>
      </c>
      <c r="F478" s="22">
        <v>9073678161.7399998</v>
      </c>
      <c r="G478" s="22">
        <v>65</v>
      </c>
      <c r="H478" s="22" t="s">
        <v>1891</v>
      </c>
    </row>
    <row r="479" spans="1:8" x14ac:dyDescent="0.35">
      <c r="A479" s="22" t="s">
        <v>851</v>
      </c>
      <c r="B479" s="22" t="str">
        <f>"00460"</f>
        <v>00460</v>
      </c>
      <c r="C479" s="22" t="str">
        <f t="shared" si="7"/>
        <v>'0460.HK'</v>
      </c>
      <c r="D479" s="22" t="s">
        <v>1892</v>
      </c>
      <c r="E479" s="22" t="s">
        <v>969</v>
      </c>
      <c r="F479" s="22">
        <v>8956799237.7600002</v>
      </c>
      <c r="G479" s="22">
        <v>94</v>
      </c>
      <c r="H479" s="22" t="s">
        <v>1893</v>
      </c>
    </row>
    <row r="480" spans="1:8" x14ac:dyDescent="0.35">
      <c r="A480" s="22" t="s">
        <v>851</v>
      </c>
      <c r="B480" s="22" t="str">
        <f>"02666"</f>
        <v>02666</v>
      </c>
      <c r="C480" s="22" t="str">
        <f t="shared" si="7"/>
        <v>'2666.HK'</v>
      </c>
      <c r="D480" s="22" t="s">
        <v>1894</v>
      </c>
      <c r="E480" s="22" t="s">
        <v>1498</v>
      </c>
      <c r="F480" s="22">
        <v>8909151803.3099995</v>
      </c>
      <c r="G480" s="22">
        <v>177</v>
      </c>
      <c r="H480" s="22" t="s">
        <v>1895</v>
      </c>
    </row>
    <row r="481" spans="1:8" x14ac:dyDescent="0.35">
      <c r="A481" s="22" t="s">
        <v>851</v>
      </c>
      <c r="B481" s="22" t="str">
        <f>"00034"</f>
        <v>00034</v>
      </c>
      <c r="C481" s="22" t="str">
        <f t="shared" si="7"/>
        <v>'0034.HK'</v>
      </c>
      <c r="D481" s="22" t="s">
        <v>1896</v>
      </c>
      <c r="E481" s="22" t="s">
        <v>924</v>
      </c>
      <c r="F481" s="22">
        <v>8789435781.1200008</v>
      </c>
      <c r="G481" s="22">
        <v>31</v>
      </c>
      <c r="H481" s="22" t="s">
        <v>1897</v>
      </c>
    </row>
    <row r="482" spans="1:8" x14ac:dyDescent="0.35">
      <c r="A482" s="22" t="s">
        <v>851</v>
      </c>
      <c r="B482" s="22" t="str">
        <f>"01610"</f>
        <v>01610</v>
      </c>
      <c r="C482" s="22" t="str">
        <f t="shared" si="7"/>
        <v>'1610.HK'</v>
      </c>
      <c r="D482" s="22" t="s">
        <v>1898</v>
      </c>
      <c r="E482" s="22" t="s">
        <v>1229</v>
      </c>
      <c r="F482" s="22">
        <v>8779496226.75</v>
      </c>
      <c r="G482" s="22">
        <v>235</v>
      </c>
      <c r="H482" s="22" t="s">
        <v>1899</v>
      </c>
    </row>
    <row r="483" spans="1:8" x14ac:dyDescent="0.35">
      <c r="A483" s="22" t="s">
        <v>851</v>
      </c>
      <c r="B483" s="22" t="str">
        <f>"00751"</f>
        <v>00751</v>
      </c>
      <c r="C483" s="22" t="str">
        <f t="shared" si="7"/>
        <v>'0751.HK'</v>
      </c>
      <c r="D483" s="22" t="s">
        <v>1900</v>
      </c>
      <c r="E483" s="22" t="s">
        <v>1167</v>
      </c>
      <c r="F483" s="22">
        <v>8763832813.7999992</v>
      </c>
      <c r="G483" s="22">
        <v>95</v>
      </c>
      <c r="H483" s="22" t="s">
        <v>1901</v>
      </c>
    </row>
    <row r="484" spans="1:8" x14ac:dyDescent="0.35">
      <c r="A484" s="22" t="s">
        <v>851</v>
      </c>
      <c r="B484" s="22" t="str">
        <f>"03983"</f>
        <v>03983</v>
      </c>
      <c r="C484" s="22" t="str">
        <f t="shared" si="7"/>
        <v>'3983.HK'</v>
      </c>
      <c r="D484" s="22" t="s">
        <v>1902</v>
      </c>
      <c r="E484" s="22" t="s">
        <v>1903</v>
      </c>
      <c r="F484" s="22">
        <v>8759000000</v>
      </c>
      <c r="G484" s="22">
        <v>41</v>
      </c>
      <c r="H484" s="22" t="s">
        <v>1904</v>
      </c>
    </row>
    <row r="485" spans="1:8" x14ac:dyDescent="0.35">
      <c r="A485" s="22" t="s">
        <v>851</v>
      </c>
      <c r="B485" s="22" t="str">
        <f>"01967"</f>
        <v>01967</v>
      </c>
      <c r="C485" s="22" t="str">
        <f t="shared" si="7"/>
        <v>'1967.HK'</v>
      </c>
      <c r="D485" s="22" t="s">
        <v>1905</v>
      </c>
      <c r="E485" s="22" t="s">
        <v>1224</v>
      </c>
      <c r="F485" s="22">
        <v>8725000000</v>
      </c>
      <c r="G485" s="22">
        <v>2</v>
      </c>
      <c r="H485" s="22" t="s">
        <v>1906</v>
      </c>
    </row>
    <row r="486" spans="1:8" x14ac:dyDescent="0.35">
      <c r="A486" s="22" t="s">
        <v>851</v>
      </c>
      <c r="B486" s="22" t="str">
        <f>"00173"</f>
        <v>00173</v>
      </c>
      <c r="C486" s="22" t="str">
        <f t="shared" si="7"/>
        <v>'0173.HK'</v>
      </c>
      <c r="D486" s="22" t="s">
        <v>1907</v>
      </c>
      <c r="E486" s="22" t="s">
        <v>924</v>
      </c>
      <c r="F486" s="22">
        <v>8709447029.7000008</v>
      </c>
      <c r="G486" s="22">
        <v>107</v>
      </c>
      <c r="H486" s="22" t="s">
        <v>1908</v>
      </c>
    </row>
    <row r="487" spans="1:8" x14ac:dyDescent="0.35">
      <c r="A487" s="22" t="s">
        <v>851</v>
      </c>
      <c r="B487" s="22" t="str">
        <f>"00341"</f>
        <v>00341</v>
      </c>
      <c r="C487" s="22" t="str">
        <f t="shared" si="7"/>
        <v>'0341.HK'</v>
      </c>
      <c r="D487" s="22" t="s">
        <v>1909</v>
      </c>
      <c r="E487" s="22" t="s">
        <v>981</v>
      </c>
      <c r="F487" s="22">
        <v>8703561930.3799992</v>
      </c>
      <c r="G487" s="22">
        <v>40</v>
      </c>
      <c r="H487" s="22" t="s">
        <v>1910</v>
      </c>
    </row>
    <row r="488" spans="1:8" x14ac:dyDescent="0.35">
      <c r="A488" s="22" t="s">
        <v>851</v>
      </c>
      <c r="B488" s="22" t="str">
        <f>"00558"</f>
        <v>00558</v>
      </c>
      <c r="C488" s="22" t="str">
        <f t="shared" si="7"/>
        <v>'0558.HK'</v>
      </c>
      <c r="D488" s="22" t="s">
        <v>1911</v>
      </c>
      <c r="E488" s="22" t="s">
        <v>1224</v>
      </c>
      <c r="F488" s="22">
        <v>8588682960</v>
      </c>
      <c r="G488" s="22">
        <v>47</v>
      </c>
      <c r="H488" s="22" t="s">
        <v>1912</v>
      </c>
    </row>
    <row r="489" spans="1:8" x14ac:dyDescent="0.35">
      <c r="A489" s="22" t="s">
        <v>851</v>
      </c>
      <c r="B489" s="22" t="str">
        <f>"02299"</f>
        <v>02299</v>
      </c>
      <c r="C489" s="22" t="str">
        <f t="shared" si="7"/>
        <v>'2299.HK'</v>
      </c>
      <c r="D489" s="22" t="s">
        <v>1913</v>
      </c>
      <c r="E489" s="22" t="s">
        <v>1914</v>
      </c>
      <c r="F489" s="22">
        <v>8581893300</v>
      </c>
      <c r="G489" s="22">
        <v>15</v>
      </c>
      <c r="H489" s="22" t="s">
        <v>1915</v>
      </c>
    </row>
    <row r="490" spans="1:8" x14ac:dyDescent="0.35">
      <c r="A490" s="22" t="s">
        <v>851</v>
      </c>
      <c r="B490" s="22" t="str">
        <f>"00071"</f>
        <v>00071</v>
      </c>
      <c r="C490" s="22" t="str">
        <f t="shared" si="7"/>
        <v>'0071.HK'</v>
      </c>
      <c r="D490" s="22" t="s">
        <v>1916</v>
      </c>
      <c r="E490" s="22" t="s">
        <v>1028</v>
      </c>
      <c r="F490" s="22">
        <v>8498804248.5</v>
      </c>
      <c r="G490" s="22">
        <v>18</v>
      </c>
      <c r="H490" s="22" t="s">
        <v>1917</v>
      </c>
    </row>
    <row r="491" spans="1:8" x14ac:dyDescent="0.35">
      <c r="A491" s="22" t="s">
        <v>851</v>
      </c>
      <c r="B491" s="22" t="str">
        <f>"03377"</f>
        <v>03377</v>
      </c>
      <c r="C491" s="22" t="str">
        <f t="shared" si="7"/>
        <v>'3377.HK'</v>
      </c>
      <c r="D491" s="22" t="s">
        <v>1918</v>
      </c>
      <c r="E491" s="22" t="s">
        <v>924</v>
      </c>
      <c r="F491" s="22">
        <v>8453866179.2700005</v>
      </c>
      <c r="G491" s="22">
        <v>156</v>
      </c>
      <c r="H491" s="22" t="s">
        <v>1919</v>
      </c>
    </row>
    <row r="492" spans="1:8" x14ac:dyDescent="0.35">
      <c r="A492" s="22" t="s">
        <v>851</v>
      </c>
      <c r="B492" s="22" t="str">
        <f>"01983"</f>
        <v>01983</v>
      </c>
      <c r="C492" s="22" t="str">
        <f t="shared" si="7"/>
        <v>'1983.HK'</v>
      </c>
      <c r="D492" s="22" t="s">
        <v>1920</v>
      </c>
      <c r="E492" s="22" t="s">
        <v>858</v>
      </c>
      <c r="F492" s="22">
        <v>8425031392.1999998</v>
      </c>
      <c r="G492" s="22">
        <v>11</v>
      </c>
      <c r="H492" s="22" t="s">
        <v>1921</v>
      </c>
    </row>
    <row r="493" spans="1:8" x14ac:dyDescent="0.35">
      <c r="A493" s="22" t="s">
        <v>851</v>
      </c>
      <c r="B493" s="22" t="str">
        <f>"00826"</f>
        <v>00826</v>
      </c>
      <c r="C493" s="22" t="str">
        <f t="shared" si="7"/>
        <v>'0826.HK'</v>
      </c>
      <c r="D493" s="22" t="s">
        <v>1922</v>
      </c>
      <c r="E493" s="22" t="s">
        <v>1579</v>
      </c>
      <c r="F493" s="22">
        <v>8382850000</v>
      </c>
      <c r="G493" s="22">
        <v>34</v>
      </c>
      <c r="H493" s="22" t="s">
        <v>1923</v>
      </c>
    </row>
    <row r="494" spans="1:8" x14ac:dyDescent="0.35">
      <c r="A494" s="22" t="s">
        <v>851</v>
      </c>
      <c r="B494" s="22" t="str">
        <f>"09858"</f>
        <v>09858</v>
      </c>
      <c r="C494" s="22" t="str">
        <f t="shared" si="7"/>
        <v>'9858.HK'</v>
      </c>
      <c r="D494" s="22" t="s">
        <v>1924</v>
      </c>
      <c r="E494" s="22" t="s">
        <v>1019</v>
      </c>
      <c r="F494" s="22">
        <v>8349888800</v>
      </c>
      <c r="G494" s="22">
        <v>13</v>
      </c>
      <c r="H494" s="22" t="s">
        <v>1925</v>
      </c>
    </row>
    <row r="495" spans="1:8" x14ac:dyDescent="0.35">
      <c r="A495" s="22" t="s">
        <v>851</v>
      </c>
      <c r="B495" s="22" t="str">
        <f>"06606"</f>
        <v>06606</v>
      </c>
      <c r="C495" s="22" t="str">
        <f t="shared" si="7"/>
        <v>'6606.HK'</v>
      </c>
      <c r="D495" s="22" t="s">
        <v>1926</v>
      </c>
      <c r="E495" s="22" t="s">
        <v>1232</v>
      </c>
      <c r="F495" s="22">
        <v>8324643880.96</v>
      </c>
      <c r="G495" s="22">
        <v>20</v>
      </c>
      <c r="H495" s="22" t="s">
        <v>1927</v>
      </c>
    </row>
    <row r="496" spans="1:8" x14ac:dyDescent="0.35">
      <c r="A496" s="22" t="s">
        <v>851</v>
      </c>
      <c r="B496" s="22" t="str">
        <f>"03738"</f>
        <v>03738</v>
      </c>
      <c r="C496" s="22" t="str">
        <f t="shared" si="7"/>
        <v>'3738.HK'</v>
      </c>
      <c r="D496" s="22" t="s">
        <v>1928</v>
      </c>
      <c r="E496" s="22" t="s">
        <v>910</v>
      </c>
      <c r="F496" s="22">
        <v>8216275025.2799997</v>
      </c>
      <c r="G496" s="22">
        <v>23</v>
      </c>
      <c r="H496" s="22" t="s">
        <v>1929</v>
      </c>
    </row>
    <row r="497" spans="1:8" x14ac:dyDescent="0.35">
      <c r="A497" s="22" t="s">
        <v>851</v>
      </c>
      <c r="B497" s="22" t="str">
        <f>"01476"</f>
        <v>01476</v>
      </c>
      <c r="C497" s="22" t="str">
        <f t="shared" si="7"/>
        <v>'1476.HK'</v>
      </c>
      <c r="D497" s="22" t="s">
        <v>1930</v>
      </c>
      <c r="E497" s="22" t="s">
        <v>1130</v>
      </c>
      <c r="F497" s="22">
        <v>8204387347.8000002</v>
      </c>
      <c r="G497" s="22">
        <v>11</v>
      </c>
      <c r="H497" s="22" t="s">
        <v>1931</v>
      </c>
    </row>
    <row r="498" spans="1:8" x14ac:dyDescent="0.35">
      <c r="A498" s="22" t="s">
        <v>851</v>
      </c>
      <c r="B498" s="22" t="str">
        <f>"00272"</f>
        <v>00272</v>
      </c>
      <c r="C498" s="22" t="str">
        <f t="shared" si="7"/>
        <v>'0272.HK'</v>
      </c>
      <c r="D498" s="22" t="s">
        <v>1932</v>
      </c>
      <c r="E498" s="22" t="s">
        <v>924</v>
      </c>
      <c r="F498" s="22">
        <v>8187810630.4799995</v>
      </c>
      <c r="G498" s="22">
        <v>65</v>
      </c>
      <c r="H498" s="22" t="s">
        <v>1933</v>
      </c>
    </row>
    <row r="499" spans="1:8" x14ac:dyDescent="0.35">
      <c r="A499" s="22" t="s">
        <v>851</v>
      </c>
      <c r="B499" s="22" t="str">
        <f>"00120"</f>
        <v>00120</v>
      </c>
      <c r="C499" s="22" t="str">
        <f t="shared" si="7"/>
        <v>'0120.HK'</v>
      </c>
      <c r="D499" s="22" t="s">
        <v>1934</v>
      </c>
      <c r="E499" s="22" t="s">
        <v>924</v>
      </c>
      <c r="F499" s="22">
        <v>8182397184</v>
      </c>
      <c r="G499" s="22">
        <v>13</v>
      </c>
      <c r="H499" s="22" t="s">
        <v>1935</v>
      </c>
    </row>
    <row r="500" spans="1:8" x14ac:dyDescent="0.35">
      <c r="A500" s="22" t="s">
        <v>851</v>
      </c>
      <c r="B500" s="22" t="str">
        <f>"02356"</f>
        <v>02356</v>
      </c>
      <c r="C500" s="22" t="str">
        <f t="shared" si="7"/>
        <v>'2356.HK'</v>
      </c>
      <c r="D500" s="22" t="s">
        <v>1936</v>
      </c>
      <c r="E500" s="22" t="s">
        <v>858</v>
      </c>
      <c r="F500" s="22">
        <v>8167419886.9200001</v>
      </c>
      <c r="G500" s="22">
        <v>47</v>
      </c>
      <c r="H500" s="22" t="s">
        <v>1937</v>
      </c>
    </row>
    <row r="501" spans="1:8" x14ac:dyDescent="0.35">
      <c r="A501" s="22" t="s">
        <v>851</v>
      </c>
      <c r="B501" s="22" t="str">
        <f>"01271"</f>
        <v>01271</v>
      </c>
      <c r="C501" s="22" t="str">
        <f t="shared" si="7"/>
        <v>'1271.HK'</v>
      </c>
      <c r="D501" s="22" t="s">
        <v>1938</v>
      </c>
      <c r="E501" s="22" t="s">
        <v>1634</v>
      </c>
      <c r="F501" s="22">
        <v>8162368489.5</v>
      </c>
      <c r="G501" s="22">
        <v>3</v>
      </c>
      <c r="H501" s="22" t="s">
        <v>1939</v>
      </c>
    </row>
    <row r="502" spans="1:8" x14ac:dyDescent="0.35">
      <c r="A502" s="22" t="s">
        <v>851</v>
      </c>
      <c r="B502" s="22" t="str">
        <f>"09989"</f>
        <v>09989</v>
      </c>
      <c r="C502" s="22" t="str">
        <f t="shared" si="7"/>
        <v>'9989.HK'</v>
      </c>
      <c r="D502" s="22" t="s">
        <v>1940</v>
      </c>
      <c r="E502" s="22" t="s">
        <v>969</v>
      </c>
      <c r="F502" s="22">
        <v>8114148008.1199999</v>
      </c>
      <c r="G502" s="22">
        <v>22</v>
      </c>
      <c r="H502" s="22" t="s">
        <v>1941</v>
      </c>
    </row>
    <row r="503" spans="1:8" x14ac:dyDescent="0.35">
      <c r="A503" s="22" t="s">
        <v>851</v>
      </c>
      <c r="B503" s="22" t="str">
        <f>"02391"</f>
        <v>02391</v>
      </c>
      <c r="C503" s="22" t="str">
        <f t="shared" si="7"/>
        <v>'2391.HK'</v>
      </c>
      <c r="D503" s="22" t="s">
        <v>1942</v>
      </c>
      <c r="E503" s="22" t="s">
        <v>910</v>
      </c>
      <c r="F503" s="22">
        <v>8099651840</v>
      </c>
      <c r="G503" s="22">
        <v>1</v>
      </c>
      <c r="H503" s="22" t="s">
        <v>1943</v>
      </c>
    </row>
    <row r="504" spans="1:8" x14ac:dyDescent="0.35">
      <c r="A504" s="22" t="s">
        <v>851</v>
      </c>
      <c r="B504" s="22" t="str">
        <f>"01995"</f>
        <v>01995</v>
      </c>
      <c r="C504" s="22" t="str">
        <f t="shared" si="7"/>
        <v>'1995.HK'</v>
      </c>
      <c r="D504" s="22" t="s">
        <v>1944</v>
      </c>
      <c r="E504" s="22" t="s">
        <v>1104</v>
      </c>
      <c r="F504" s="22">
        <v>8079190960</v>
      </c>
      <c r="G504" s="22">
        <v>131</v>
      </c>
      <c r="H504" s="22" t="s">
        <v>1945</v>
      </c>
    </row>
    <row r="505" spans="1:8" x14ac:dyDescent="0.35">
      <c r="A505" s="22" t="s">
        <v>851</v>
      </c>
      <c r="B505" s="22" t="str">
        <f>"06055"</f>
        <v>06055</v>
      </c>
      <c r="C505" s="22" t="str">
        <f t="shared" si="7"/>
        <v>'6055.HK'</v>
      </c>
      <c r="D505" s="22" t="s">
        <v>1946</v>
      </c>
      <c r="E505" s="22" t="s">
        <v>1947</v>
      </c>
      <c r="F505" s="22">
        <v>8037321600</v>
      </c>
      <c r="G505" s="22">
        <v>86</v>
      </c>
      <c r="H505" s="22" t="s">
        <v>1948</v>
      </c>
    </row>
    <row r="506" spans="1:8" x14ac:dyDescent="0.35">
      <c r="A506" s="22" t="s">
        <v>851</v>
      </c>
      <c r="B506" s="22" t="str">
        <f>"01070"</f>
        <v>01070</v>
      </c>
      <c r="C506" s="22" t="str">
        <f t="shared" si="7"/>
        <v>'1070.HK'</v>
      </c>
      <c r="D506" s="22" t="s">
        <v>1949</v>
      </c>
      <c r="E506" s="22" t="s">
        <v>1167</v>
      </c>
      <c r="F506" s="22">
        <v>8024294451.6300001</v>
      </c>
      <c r="G506" s="22">
        <v>92</v>
      </c>
      <c r="H506" s="22" t="s">
        <v>1950</v>
      </c>
    </row>
    <row r="507" spans="1:8" x14ac:dyDescent="0.35">
      <c r="A507" s="22" t="s">
        <v>851</v>
      </c>
      <c r="B507" s="22" t="str">
        <f>"01117"</f>
        <v>01117</v>
      </c>
      <c r="C507" s="22" t="str">
        <f t="shared" si="7"/>
        <v>'1117.HK'</v>
      </c>
      <c r="D507" s="22" t="s">
        <v>1951</v>
      </c>
      <c r="E507" s="22" t="s">
        <v>1019</v>
      </c>
      <c r="F507" s="22">
        <v>7915662048</v>
      </c>
      <c r="G507" s="22">
        <v>51</v>
      </c>
      <c r="H507" s="22" t="s">
        <v>1952</v>
      </c>
    </row>
    <row r="508" spans="1:8" x14ac:dyDescent="0.35">
      <c r="A508" s="22" t="s">
        <v>851</v>
      </c>
      <c r="B508" s="22" t="str">
        <f>"00506"</f>
        <v>00506</v>
      </c>
      <c r="C508" s="22" t="str">
        <f t="shared" si="7"/>
        <v>'0506.HK'</v>
      </c>
      <c r="D508" s="22" t="s">
        <v>1953</v>
      </c>
      <c r="E508" s="22" t="s">
        <v>892</v>
      </c>
      <c r="F508" s="22">
        <v>7804253274.8400002</v>
      </c>
      <c r="G508" s="22">
        <v>71</v>
      </c>
      <c r="H508" s="22" t="s">
        <v>1954</v>
      </c>
    </row>
    <row r="509" spans="1:8" x14ac:dyDescent="0.35">
      <c r="A509" s="22" t="s">
        <v>851</v>
      </c>
      <c r="B509" s="22" t="str">
        <f>"01755"</f>
        <v>01755</v>
      </c>
      <c r="C509" s="22" t="str">
        <f t="shared" si="7"/>
        <v>'1755.HK'</v>
      </c>
      <c r="D509" s="22" t="s">
        <v>1955</v>
      </c>
      <c r="E509" s="22" t="s">
        <v>1104</v>
      </c>
      <c r="F509" s="22">
        <v>7792577050</v>
      </c>
      <c r="G509" s="22">
        <v>140</v>
      </c>
      <c r="H509" s="22" t="s">
        <v>1956</v>
      </c>
    </row>
    <row r="510" spans="1:8" x14ac:dyDescent="0.35">
      <c r="A510" s="22" t="s">
        <v>851</v>
      </c>
      <c r="B510" s="22" t="str">
        <f>"00650"</f>
        <v>00650</v>
      </c>
      <c r="C510" s="22" t="str">
        <f t="shared" si="7"/>
        <v>'0650.HK'</v>
      </c>
      <c r="D510" s="22" t="s">
        <v>1957</v>
      </c>
      <c r="E510" s="22" t="s">
        <v>883</v>
      </c>
      <c r="F510" s="22">
        <v>7730914861.5</v>
      </c>
      <c r="G510" s="22">
        <v>5</v>
      </c>
      <c r="H510" s="22" t="s">
        <v>1958</v>
      </c>
    </row>
    <row r="511" spans="1:8" x14ac:dyDescent="0.35">
      <c r="A511" s="22" t="s">
        <v>851</v>
      </c>
      <c r="B511" s="22" t="str">
        <f>"06686"</f>
        <v>06686</v>
      </c>
      <c r="C511" s="22" t="str">
        <f t="shared" si="7"/>
        <v>'6686.HK'</v>
      </c>
      <c r="D511" s="22" t="s">
        <v>1959</v>
      </c>
      <c r="E511" s="22" t="s">
        <v>964</v>
      </c>
      <c r="F511" s="22">
        <v>7704000000</v>
      </c>
      <c r="G511" s="22">
        <v>1</v>
      </c>
      <c r="H511" s="22" t="s">
        <v>1960</v>
      </c>
    </row>
    <row r="512" spans="1:8" x14ac:dyDescent="0.35">
      <c r="A512" s="22" t="s">
        <v>851</v>
      </c>
      <c r="B512" s="22" t="str">
        <f>"02407"</f>
        <v>02407</v>
      </c>
      <c r="C512" s="22" t="str">
        <f t="shared" si="7"/>
        <v>'2407.HK'</v>
      </c>
      <c r="D512" s="22" t="s">
        <v>1961</v>
      </c>
      <c r="E512" s="22" t="s">
        <v>1232</v>
      </c>
      <c r="F512" s="22">
        <v>7603602000</v>
      </c>
      <c r="H512" s="22" t="s">
        <v>1962</v>
      </c>
    </row>
    <row r="513" spans="1:8" x14ac:dyDescent="0.35">
      <c r="A513" s="22" t="s">
        <v>851</v>
      </c>
      <c r="B513" s="22" t="str">
        <f>"00775"</f>
        <v>00775</v>
      </c>
      <c r="C513" s="22" t="str">
        <f t="shared" si="7"/>
        <v>'0775.HK'</v>
      </c>
      <c r="D513" s="22" t="s">
        <v>1963</v>
      </c>
      <c r="E513" s="22" t="s">
        <v>969</v>
      </c>
      <c r="F513" s="22">
        <v>7592747196</v>
      </c>
      <c r="G513" s="22">
        <v>16</v>
      </c>
      <c r="H513" s="22" t="s">
        <v>1964</v>
      </c>
    </row>
    <row r="514" spans="1:8" x14ac:dyDescent="0.35">
      <c r="A514" s="22" t="s">
        <v>851</v>
      </c>
      <c r="B514" s="22" t="str">
        <f>"01053"</f>
        <v>01053</v>
      </c>
      <c r="C514" s="22" t="str">
        <f t="shared" si="7"/>
        <v>'1053.HK'</v>
      </c>
      <c r="D514" s="22" t="s">
        <v>1965</v>
      </c>
      <c r="E514" s="22" t="s">
        <v>1579</v>
      </c>
      <c r="F514" s="22">
        <v>7580811926.9499998</v>
      </c>
      <c r="G514" s="22">
        <v>25</v>
      </c>
      <c r="H514" s="22" t="s">
        <v>1966</v>
      </c>
    </row>
    <row r="515" spans="1:8" x14ac:dyDescent="0.35">
      <c r="A515" s="22" t="s">
        <v>851</v>
      </c>
      <c r="B515" s="22" t="str">
        <f>"01224"</f>
        <v>01224</v>
      </c>
      <c r="C515" s="22" t="str">
        <f t="shared" ref="C515:C578" si="8">CONCATENATE("'",RIGHT(B515,4),".HK'")</f>
        <v>'1224.HK'</v>
      </c>
      <c r="D515" s="22" t="s">
        <v>1967</v>
      </c>
      <c r="E515" s="22" t="s">
        <v>924</v>
      </c>
      <c r="F515" s="22">
        <v>7570552602.6000004</v>
      </c>
      <c r="G515" s="22">
        <v>13</v>
      </c>
      <c r="H515" s="22" t="s">
        <v>1968</v>
      </c>
    </row>
    <row r="516" spans="1:8" x14ac:dyDescent="0.35">
      <c r="A516" s="22" t="s">
        <v>851</v>
      </c>
      <c r="B516" s="22" t="str">
        <f>"01812"</f>
        <v>01812</v>
      </c>
      <c r="C516" s="22" t="str">
        <f t="shared" si="8"/>
        <v>'1812.HK'</v>
      </c>
      <c r="D516" s="22" t="s">
        <v>1969</v>
      </c>
      <c r="E516" s="22" t="s">
        <v>1378</v>
      </c>
      <c r="F516" s="22">
        <v>7508950344</v>
      </c>
      <c r="G516" s="22">
        <v>197</v>
      </c>
      <c r="H516" s="22" t="s">
        <v>1970</v>
      </c>
    </row>
    <row r="517" spans="1:8" x14ac:dyDescent="0.35">
      <c r="A517" s="22" t="s">
        <v>851</v>
      </c>
      <c r="B517" s="22" t="str">
        <f>"01717"</f>
        <v>01717</v>
      </c>
      <c r="C517" s="22" t="str">
        <f t="shared" si="8"/>
        <v>'1717.HK'</v>
      </c>
      <c r="D517" s="22" t="s">
        <v>1971</v>
      </c>
      <c r="E517" s="22" t="s">
        <v>1019</v>
      </c>
      <c r="F517" s="22">
        <v>7506466376.9700003</v>
      </c>
      <c r="G517" s="22">
        <v>103</v>
      </c>
      <c r="H517" s="22" t="s">
        <v>1972</v>
      </c>
    </row>
    <row r="518" spans="1:8" x14ac:dyDescent="0.35">
      <c r="A518" s="22" t="s">
        <v>851</v>
      </c>
      <c r="B518" s="22" t="str">
        <f>"01212"</f>
        <v>01212</v>
      </c>
      <c r="C518" s="22" t="str">
        <f t="shared" si="8"/>
        <v>'1212.HK'</v>
      </c>
      <c r="D518" s="22" t="s">
        <v>1973</v>
      </c>
      <c r="E518" s="22" t="s">
        <v>1485</v>
      </c>
      <c r="F518" s="22">
        <v>7479541680</v>
      </c>
      <c r="G518" s="22">
        <v>46</v>
      </c>
      <c r="H518" s="22" t="s">
        <v>1974</v>
      </c>
    </row>
    <row r="519" spans="1:8" x14ac:dyDescent="0.35">
      <c r="A519" s="22" t="s">
        <v>851</v>
      </c>
      <c r="B519" s="22" t="str">
        <f>"03308"</f>
        <v>03308</v>
      </c>
      <c r="C519" s="22" t="str">
        <f t="shared" si="8"/>
        <v>'3308.HK'</v>
      </c>
      <c r="D519" s="22" t="s">
        <v>1975</v>
      </c>
      <c r="E519" s="22" t="s">
        <v>1485</v>
      </c>
      <c r="F519" s="22">
        <v>7470922500</v>
      </c>
      <c r="G519" s="22">
        <v>23</v>
      </c>
      <c r="H519" s="22" t="s">
        <v>1976</v>
      </c>
    </row>
    <row r="520" spans="1:8" x14ac:dyDescent="0.35">
      <c r="A520" s="22" t="s">
        <v>851</v>
      </c>
      <c r="B520" s="22" t="str">
        <f>"01515"</f>
        <v>01515</v>
      </c>
      <c r="C520" s="22" t="str">
        <f t="shared" si="8"/>
        <v>'1515.HK'</v>
      </c>
      <c r="D520" s="22" t="s">
        <v>1977</v>
      </c>
      <c r="E520" s="22" t="s">
        <v>1362</v>
      </c>
      <c r="F520" s="22">
        <v>7455889967</v>
      </c>
      <c r="G520" s="22">
        <v>88</v>
      </c>
      <c r="H520" s="22" t="s">
        <v>1978</v>
      </c>
    </row>
    <row r="521" spans="1:8" x14ac:dyDescent="0.35">
      <c r="A521" s="22" t="s">
        <v>851</v>
      </c>
      <c r="B521" s="22" t="str">
        <f>"01666"</f>
        <v>01666</v>
      </c>
      <c r="C521" s="22" t="str">
        <f t="shared" si="8"/>
        <v>'1666.HK'</v>
      </c>
      <c r="D521" s="22" t="s">
        <v>1979</v>
      </c>
      <c r="E521" s="22" t="s">
        <v>1349</v>
      </c>
      <c r="F521" s="22">
        <v>7441355040</v>
      </c>
      <c r="G521" s="22">
        <v>176</v>
      </c>
      <c r="H521" s="22" t="s">
        <v>1980</v>
      </c>
    </row>
    <row r="522" spans="1:8" x14ac:dyDescent="0.35">
      <c r="A522" s="22" t="s">
        <v>851</v>
      </c>
      <c r="B522" s="22" t="str">
        <f>"09955"</f>
        <v>09955</v>
      </c>
      <c r="C522" s="22" t="str">
        <f t="shared" si="8"/>
        <v>'9955.HK'</v>
      </c>
      <c r="D522" s="22" t="s">
        <v>1981</v>
      </c>
      <c r="E522" s="22" t="s">
        <v>1232</v>
      </c>
      <c r="F522" s="22">
        <v>7396681559.3999996</v>
      </c>
      <c r="G522" s="22">
        <v>2</v>
      </c>
      <c r="H522" s="22" t="s">
        <v>1982</v>
      </c>
    </row>
    <row r="523" spans="1:8" x14ac:dyDescent="0.35">
      <c r="A523" s="22" t="s">
        <v>851</v>
      </c>
      <c r="B523" s="22" t="str">
        <f>"00327"</f>
        <v>00327</v>
      </c>
      <c r="C523" s="22" t="str">
        <f t="shared" si="8"/>
        <v>'0327.HK'</v>
      </c>
      <c r="D523" s="22" t="s">
        <v>1983</v>
      </c>
      <c r="E523" s="22" t="s">
        <v>853</v>
      </c>
      <c r="F523" s="22">
        <v>7341926000</v>
      </c>
      <c r="G523" s="22">
        <v>36</v>
      </c>
      <c r="H523" s="22" t="s">
        <v>1984</v>
      </c>
    </row>
    <row r="524" spans="1:8" x14ac:dyDescent="0.35">
      <c r="A524" s="22" t="s">
        <v>851</v>
      </c>
      <c r="B524" s="22" t="str">
        <f>"01052"</f>
        <v>01052</v>
      </c>
      <c r="C524" s="22" t="str">
        <f t="shared" si="8"/>
        <v>'1052.HK'</v>
      </c>
      <c r="D524" s="22" t="s">
        <v>1985</v>
      </c>
      <c r="E524" s="22" t="s">
        <v>1367</v>
      </c>
      <c r="F524" s="22">
        <v>7244792737.3500004</v>
      </c>
      <c r="G524" s="22">
        <v>149</v>
      </c>
      <c r="H524" s="22" t="s">
        <v>1986</v>
      </c>
    </row>
    <row r="525" spans="1:8" x14ac:dyDescent="0.35">
      <c r="A525" s="22" t="s">
        <v>851</v>
      </c>
      <c r="B525" s="22" t="str">
        <f>"06610"</f>
        <v>06610</v>
      </c>
      <c r="C525" s="22" t="str">
        <f t="shared" si="8"/>
        <v>'6610.HK'</v>
      </c>
      <c r="D525" s="22" t="s">
        <v>1987</v>
      </c>
      <c r="E525" s="22" t="s">
        <v>910</v>
      </c>
      <c r="F525" s="22">
        <v>7240000000</v>
      </c>
      <c r="G525" s="22">
        <v>1</v>
      </c>
      <c r="H525" s="22" t="s">
        <v>1988</v>
      </c>
    </row>
    <row r="526" spans="1:8" x14ac:dyDescent="0.35">
      <c r="A526" s="22" t="s">
        <v>851</v>
      </c>
      <c r="B526" s="22" t="str">
        <f>"00410"</f>
        <v>00410</v>
      </c>
      <c r="C526" s="22" t="str">
        <f t="shared" si="8"/>
        <v>'0410.HK'</v>
      </c>
      <c r="D526" s="22" t="s">
        <v>1989</v>
      </c>
      <c r="E526" s="22" t="s">
        <v>1028</v>
      </c>
      <c r="F526" s="22">
        <v>7227338403.0900002</v>
      </c>
      <c r="G526" s="22">
        <v>133</v>
      </c>
      <c r="H526" s="22" t="s">
        <v>1990</v>
      </c>
    </row>
    <row r="527" spans="1:8" x14ac:dyDescent="0.35">
      <c r="A527" s="22" t="s">
        <v>851</v>
      </c>
      <c r="B527" s="22" t="str">
        <f>"03877"</f>
        <v>03877</v>
      </c>
      <c r="C527" s="22" t="str">
        <f t="shared" si="8"/>
        <v>'3877.HK'</v>
      </c>
      <c r="D527" s="22" t="s">
        <v>1991</v>
      </c>
      <c r="E527" s="22" t="s">
        <v>1498</v>
      </c>
      <c r="F527" s="22">
        <v>7179197493.7799997</v>
      </c>
      <c r="G527" s="22">
        <v>28</v>
      </c>
      <c r="H527" s="22" t="s">
        <v>1992</v>
      </c>
    </row>
    <row r="528" spans="1:8" x14ac:dyDescent="0.35">
      <c r="A528" s="22" t="s">
        <v>851</v>
      </c>
      <c r="B528" s="22" t="str">
        <f>"02362"</f>
        <v>02362</v>
      </c>
      <c r="C528" s="22" t="str">
        <f t="shared" si="8"/>
        <v>'2362.HK'</v>
      </c>
      <c r="D528" s="22" t="s">
        <v>1993</v>
      </c>
      <c r="E528" s="22" t="s">
        <v>1060</v>
      </c>
      <c r="F528" s="22">
        <v>7169050769.0699997</v>
      </c>
      <c r="G528" s="22">
        <v>15</v>
      </c>
      <c r="H528" s="22" t="s">
        <v>1994</v>
      </c>
    </row>
    <row r="529" spans="1:8" x14ac:dyDescent="0.35">
      <c r="A529" s="22" t="s">
        <v>851</v>
      </c>
      <c r="B529" s="22" t="str">
        <f>"02777"</f>
        <v>02777</v>
      </c>
      <c r="C529" s="22" t="str">
        <f t="shared" si="8"/>
        <v>'2777.HK'</v>
      </c>
      <c r="D529" s="22" t="s">
        <v>1995</v>
      </c>
      <c r="E529" s="22" t="s">
        <v>924</v>
      </c>
      <c r="F529" s="22">
        <v>7167021627.04</v>
      </c>
      <c r="G529" s="22">
        <v>226</v>
      </c>
      <c r="H529" s="22" t="s">
        <v>1996</v>
      </c>
    </row>
    <row r="530" spans="1:8" x14ac:dyDescent="0.35">
      <c r="A530" s="22" t="s">
        <v>851</v>
      </c>
      <c r="B530" s="22" t="str">
        <f>"00934"</f>
        <v>00934</v>
      </c>
      <c r="C530" s="22" t="str">
        <f t="shared" si="8"/>
        <v>'0934.HK'</v>
      </c>
      <c r="D530" s="22" t="s">
        <v>1997</v>
      </c>
      <c r="E530" s="22" t="s">
        <v>1294</v>
      </c>
      <c r="F530" s="22">
        <v>7160140800</v>
      </c>
      <c r="G530" s="22">
        <v>201</v>
      </c>
      <c r="H530" s="22" t="s">
        <v>1998</v>
      </c>
    </row>
    <row r="531" spans="1:8" x14ac:dyDescent="0.35">
      <c r="A531" s="22" t="s">
        <v>851</v>
      </c>
      <c r="B531" s="22" t="str">
        <f>"00116"</f>
        <v>00116</v>
      </c>
      <c r="C531" s="22" t="str">
        <f t="shared" si="8"/>
        <v>'0116.HK'</v>
      </c>
      <c r="D531" s="22" t="s">
        <v>1999</v>
      </c>
      <c r="E531" s="22" t="s">
        <v>1002</v>
      </c>
      <c r="F531" s="22">
        <v>7153703040</v>
      </c>
      <c r="G531" s="22">
        <v>161</v>
      </c>
      <c r="H531" s="22" t="s">
        <v>2000</v>
      </c>
    </row>
    <row r="532" spans="1:8" x14ac:dyDescent="0.35">
      <c r="A532" s="22" t="s">
        <v>851</v>
      </c>
      <c r="B532" s="22" t="str">
        <f>"06929"</f>
        <v>06929</v>
      </c>
      <c r="C532" s="22" t="str">
        <f t="shared" si="8"/>
        <v>'6929.HK'</v>
      </c>
      <c r="D532" s="22" t="s">
        <v>2001</v>
      </c>
      <c r="F532" s="22">
        <v>7135377400</v>
      </c>
      <c r="H532" s="22" t="s">
        <v>2002</v>
      </c>
    </row>
    <row r="533" spans="1:8" x14ac:dyDescent="0.35">
      <c r="A533" s="22" t="s">
        <v>851</v>
      </c>
      <c r="B533" s="22" t="str">
        <f>"02232"</f>
        <v>02232</v>
      </c>
      <c r="C533" s="22" t="str">
        <f t="shared" si="8"/>
        <v>'2232.HK'</v>
      </c>
      <c r="D533" s="22" t="s">
        <v>2003</v>
      </c>
      <c r="E533" s="22" t="s">
        <v>889</v>
      </c>
      <c r="F533" s="22">
        <v>7132055000</v>
      </c>
      <c r="G533" s="22">
        <v>19</v>
      </c>
      <c r="H533" s="22" t="s">
        <v>2004</v>
      </c>
    </row>
    <row r="534" spans="1:8" x14ac:dyDescent="0.35">
      <c r="A534" s="22" t="s">
        <v>851</v>
      </c>
      <c r="B534" s="22" t="str">
        <f>"00873"</f>
        <v>00873</v>
      </c>
      <c r="C534" s="22" t="str">
        <f t="shared" si="8"/>
        <v>'0873.HK'</v>
      </c>
      <c r="D534" s="22" t="s">
        <v>2005</v>
      </c>
      <c r="E534" s="22" t="s">
        <v>1104</v>
      </c>
      <c r="F534" s="22">
        <v>7108338240</v>
      </c>
      <c r="G534" s="22">
        <v>48</v>
      </c>
      <c r="H534" s="22" t="s">
        <v>2006</v>
      </c>
    </row>
    <row r="535" spans="1:8" x14ac:dyDescent="0.35">
      <c r="A535" s="22" t="s">
        <v>851</v>
      </c>
      <c r="B535" s="22" t="str">
        <f>"09857"</f>
        <v>09857</v>
      </c>
      <c r="C535" s="22" t="str">
        <f t="shared" si="8"/>
        <v>'9857.HK'</v>
      </c>
      <c r="D535" s="22" t="s">
        <v>2007</v>
      </c>
      <c r="E535" s="22" t="s">
        <v>1185</v>
      </c>
      <c r="F535" s="22">
        <v>7101038931.3000002</v>
      </c>
      <c r="G535" s="22">
        <v>1</v>
      </c>
      <c r="H535" s="22" t="s">
        <v>2008</v>
      </c>
    </row>
    <row r="536" spans="1:8" x14ac:dyDescent="0.35">
      <c r="A536" s="22" t="s">
        <v>851</v>
      </c>
      <c r="B536" s="22" t="str">
        <f>"02696"</f>
        <v>02696</v>
      </c>
      <c r="C536" s="22" t="str">
        <f t="shared" si="8"/>
        <v>'2696.HK'</v>
      </c>
      <c r="D536" s="22" t="s">
        <v>2009</v>
      </c>
      <c r="E536" s="22" t="s">
        <v>941</v>
      </c>
      <c r="F536" s="22">
        <v>7087172883.1199999</v>
      </c>
      <c r="G536" s="22">
        <v>22</v>
      </c>
      <c r="H536" s="22" t="s">
        <v>2010</v>
      </c>
    </row>
    <row r="537" spans="1:8" x14ac:dyDescent="0.35">
      <c r="A537" s="22" t="s">
        <v>851</v>
      </c>
      <c r="B537" s="22" t="str">
        <f>"06855"</f>
        <v>06855</v>
      </c>
      <c r="C537" s="22" t="str">
        <f t="shared" si="8"/>
        <v>'6855.HK'</v>
      </c>
      <c r="D537" s="22" t="s">
        <v>2011</v>
      </c>
      <c r="E537" s="22" t="s">
        <v>941</v>
      </c>
      <c r="F537" s="22">
        <v>7076348606.1000004</v>
      </c>
      <c r="G537" s="22">
        <v>42</v>
      </c>
      <c r="H537" s="22" t="s">
        <v>2012</v>
      </c>
    </row>
    <row r="538" spans="1:8" x14ac:dyDescent="0.35">
      <c r="A538" s="22" t="s">
        <v>851</v>
      </c>
      <c r="B538" s="22" t="str">
        <f>"01788"</f>
        <v>01788</v>
      </c>
      <c r="C538" s="22" t="str">
        <f t="shared" si="8"/>
        <v>'1788.HK'</v>
      </c>
      <c r="D538" s="22" t="s">
        <v>2013</v>
      </c>
      <c r="E538" s="22" t="s">
        <v>1130</v>
      </c>
      <c r="F538" s="22">
        <v>7069956083.1800003</v>
      </c>
      <c r="G538" s="22">
        <v>96</v>
      </c>
      <c r="H538" s="22" t="s">
        <v>2014</v>
      </c>
    </row>
    <row r="539" spans="1:8" x14ac:dyDescent="0.35">
      <c r="A539" s="22" t="s">
        <v>851</v>
      </c>
      <c r="B539" s="22" t="str">
        <f>"03709"</f>
        <v>03709</v>
      </c>
      <c r="C539" s="22" t="str">
        <f t="shared" si="8"/>
        <v>'3709.HK'</v>
      </c>
      <c r="D539" s="22" t="s">
        <v>2015</v>
      </c>
      <c r="E539" s="22" t="s">
        <v>889</v>
      </c>
      <c r="F539" s="22">
        <v>7040501950</v>
      </c>
      <c r="G539" s="22">
        <v>19</v>
      </c>
      <c r="H539" s="22" t="s">
        <v>2016</v>
      </c>
    </row>
    <row r="540" spans="1:8" x14ac:dyDescent="0.35">
      <c r="A540" s="22" t="s">
        <v>851</v>
      </c>
      <c r="B540" s="22" t="str">
        <f>"01475"</f>
        <v>01475</v>
      </c>
      <c r="C540" s="22" t="str">
        <f t="shared" si="8"/>
        <v>'1475.HK'</v>
      </c>
      <c r="D540" s="22" t="s">
        <v>2017</v>
      </c>
      <c r="E540" s="22" t="s">
        <v>1205</v>
      </c>
      <c r="F540" s="22">
        <v>7013606745.6000004</v>
      </c>
      <c r="G540" s="22">
        <v>30</v>
      </c>
      <c r="H540" s="22" t="s">
        <v>2018</v>
      </c>
    </row>
    <row r="541" spans="1:8" x14ac:dyDescent="0.35">
      <c r="A541" s="22" t="s">
        <v>851</v>
      </c>
      <c r="B541" s="22" t="str">
        <f>"00691"</f>
        <v>00691</v>
      </c>
      <c r="C541" s="22" t="str">
        <f t="shared" si="8"/>
        <v>'0691.HK'</v>
      </c>
      <c r="D541" s="22" t="s">
        <v>2019</v>
      </c>
      <c r="E541" s="22" t="s">
        <v>1016</v>
      </c>
      <c r="F541" s="22">
        <v>6966345964.8000002</v>
      </c>
      <c r="G541" s="22">
        <v>24</v>
      </c>
      <c r="H541" s="22" t="s">
        <v>2020</v>
      </c>
    </row>
    <row r="542" spans="1:8" x14ac:dyDescent="0.35">
      <c r="A542" s="22" t="s">
        <v>851</v>
      </c>
      <c r="B542" s="22" t="str">
        <f>"01250"</f>
        <v>01250</v>
      </c>
      <c r="C542" s="22" t="str">
        <f t="shared" si="8"/>
        <v>'1250.HK'</v>
      </c>
      <c r="D542" s="22" t="s">
        <v>2021</v>
      </c>
      <c r="E542" s="22" t="s">
        <v>1127</v>
      </c>
      <c r="F542" s="22">
        <v>6964425050.8479996</v>
      </c>
      <c r="G542" s="22">
        <v>21</v>
      </c>
      <c r="H542" s="22" t="s">
        <v>2022</v>
      </c>
    </row>
    <row r="543" spans="1:8" x14ac:dyDescent="0.35">
      <c r="A543" s="22" t="s">
        <v>851</v>
      </c>
      <c r="B543" s="22" t="str">
        <f>"09699"</f>
        <v>09699</v>
      </c>
      <c r="C543" s="22" t="str">
        <f t="shared" si="8"/>
        <v>'9699.HK'</v>
      </c>
      <c r="D543" s="22" t="s">
        <v>2023</v>
      </c>
      <c r="E543" s="22" t="s">
        <v>853</v>
      </c>
      <c r="F543" s="22">
        <v>6907587031.8000002</v>
      </c>
      <c r="G543" s="22">
        <v>4</v>
      </c>
      <c r="H543" s="22" t="s">
        <v>2024</v>
      </c>
    </row>
    <row r="544" spans="1:8" x14ac:dyDescent="0.35">
      <c r="A544" s="22" t="s">
        <v>851</v>
      </c>
      <c r="B544" s="22" t="str">
        <f>"01361"</f>
        <v>01361</v>
      </c>
      <c r="C544" s="22" t="str">
        <f t="shared" si="8"/>
        <v>'1361.HK'</v>
      </c>
      <c r="D544" s="22" t="s">
        <v>2025</v>
      </c>
      <c r="E544" s="22" t="s">
        <v>1552</v>
      </c>
      <c r="F544" s="22">
        <v>6905790680</v>
      </c>
      <c r="G544" s="22">
        <v>110</v>
      </c>
      <c r="H544" s="22" t="s">
        <v>2026</v>
      </c>
    </row>
    <row r="545" spans="1:8" x14ac:dyDescent="0.35">
      <c r="A545" s="22" t="s">
        <v>851</v>
      </c>
      <c r="B545" s="22" t="str">
        <f>"03380"</f>
        <v>03380</v>
      </c>
      <c r="C545" s="22" t="str">
        <f t="shared" si="8"/>
        <v>'3380.HK'</v>
      </c>
      <c r="D545" s="22" t="s">
        <v>2027</v>
      </c>
      <c r="E545" s="22" t="s">
        <v>924</v>
      </c>
      <c r="F545" s="22">
        <v>6879343014.5</v>
      </c>
      <c r="G545" s="22">
        <v>159</v>
      </c>
      <c r="H545" s="22" t="s">
        <v>2028</v>
      </c>
    </row>
    <row r="546" spans="1:8" x14ac:dyDescent="0.35">
      <c r="A546" s="22" t="s">
        <v>851</v>
      </c>
      <c r="B546" s="22" t="str">
        <f>"00119"</f>
        <v>00119</v>
      </c>
      <c r="C546" s="22" t="str">
        <f t="shared" si="8"/>
        <v>'0119.HK'</v>
      </c>
      <c r="D546" s="22" t="s">
        <v>2029</v>
      </c>
      <c r="E546" s="22" t="s">
        <v>924</v>
      </c>
      <c r="F546" s="22">
        <v>6839917781.2200003</v>
      </c>
      <c r="G546" s="22">
        <v>155</v>
      </c>
      <c r="H546" s="22" t="s">
        <v>2030</v>
      </c>
    </row>
    <row r="547" spans="1:8" x14ac:dyDescent="0.35">
      <c r="A547" s="22" t="s">
        <v>851</v>
      </c>
      <c r="B547" s="22" t="str">
        <f>"09638"</f>
        <v>09638</v>
      </c>
      <c r="C547" s="22" t="str">
        <f t="shared" si="8"/>
        <v>'9638.HK'</v>
      </c>
      <c r="D547" s="22" t="s">
        <v>2031</v>
      </c>
      <c r="E547" s="22" t="s">
        <v>1109</v>
      </c>
      <c r="F547" s="22">
        <v>6837349610.8000002</v>
      </c>
      <c r="G547" s="22">
        <v>1</v>
      </c>
      <c r="H547" s="22" t="s">
        <v>2032</v>
      </c>
    </row>
    <row r="548" spans="1:8" x14ac:dyDescent="0.35">
      <c r="A548" s="22" t="s">
        <v>851</v>
      </c>
      <c r="B548" s="22" t="str">
        <f>"02038"</f>
        <v>02038</v>
      </c>
      <c r="C548" s="22" t="str">
        <f t="shared" si="8"/>
        <v>'2038.HK'</v>
      </c>
      <c r="D548" s="22" t="s">
        <v>2033</v>
      </c>
      <c r="E548" s="22" t="s">
        <v>938</v>
      </c>
      <c r="F548" s="22">
        <v>6827315540</v>
      </c>
      <c r="G548" s="22">
        <v>42</v>
      </c>
      <c r="H548" s="22" t="s">
        <v>2034</v>
      </c>
    </row>
    <row r="549" spans="1:8" x14ac:dyDescent="0.35">
      <c r="A549" s="22" t="s">
        <v>851</v>
      </c>
      <c r="B549" s="22" t="str">
        <f>"02390"</f>
        <v>02390</v>
      </c>
      <c r="C549" s="22" t="str">
        <f t="shared" si="8"/>
        <v>'2390.HK'</v>
      </c>
      <c r="D549" s="22" t="s">
        <v>2035</v>
      </c>
      <c r="E549" s="22" t="s">
        <v>1627</v>
      </c>
      <c r="F549" s="22">
        <v>6825548322.5</v>
      </c>
      <c r="G549" s="22">
        <v>3</v>
      </c>
      <c r="H549" s="22" t="s">
        <v>2036</v>
      </c>
    </row>
    <row r="550" spans="1:8" x14ac:dyDescent="0.35">
      <c r="A550" s="22" t="s">
        <v>851</v>
      </c>
      <c r="B550" s="22" t="str">
        <f>"00797"</f>
        <v>00797</v>
      </c>
      <c r="C550" s="22" t="str">
        <f t="shared" si="8"/>
        <v>'0797.HK'</v>
      </c>
      <c r="D550" s="22" t="s">
        <v>2037</v>
      </c>
      <c r="E550" s="22" t="s">
        <v>910</v>
      </c>
      <c r="F550" s="22">
        <v>6745340000</v>
      </c>
      <c r="G550" s="22">
        <v>3</v>
      </c>
      <c r="H550" s="22" t="s">
        <v>2038</v>
      </c>
    </row>
    <row r="551" spans="1:8" x14ac:dyDescent="0.35">
      <c r="A551" s="22" t="s">
        <v>851</v>
      </c>
      <c r="B551" s="22" t="str">
        <f>"00297"</f>
        <v>00297</v>
      </c>
      <c r="C551" s="22" t="str">
        <f t="shared" si="8"/>
        <v>'0297.HK'</v>
      </c>
      <c r="D551" s="22" t="s">
        <v>2039</v>
      </c>
      <c r="E551" s="22" t="s">
        <v>1903</v>
      </c>
      <c r="F551" s="22">
        <v>6673232946.3500004</v>
      </c>
      <c r="G551" s="22">
        <v>68</v>
      </c>
      <c r="H551" s="22" t="s">
        <v>2040</v>
      </c>
    </row>
    <row r="552" spans="1:8" x14ac:dyDescent="0.35">
      <c r="A552" s="22" t="s">
        <v>851</v>
      </c>
      <c r="B552" s="22" t="str">
        <f>"01238"</f>
        <v>01238</v>
      </c>
      <c r="C552" s="22" t="str">
        <f t="shared" si="8"/>
        <v>'1238.HK'</v>
      </c>
      <c r="D552" s="22" t="s">
        <v>2041</v>
      </c>
      <c r="E552" s="22" t="s">
        <v>924</v>
      </c>
      <c r="F552" s="22">
        <v>6666048830</v>
      </c>
      <c r="G552" s="22">
        <v>129</v>
      </c>
      <c r="H552" s="22" t="s">
        <v>2042</v>
      </c>
    </row>
    <row r="553" spans="1:8" x14ac:dyDescent="0.35">
      <c r="A553" s="22" t="s">
        <v>851</v>
      </c>
      <c r="B553" s="22" t="str">
        <f>"00856"</f>
        <v>00856</v>
      </c>
      <c r="C553" s="22" t="str">
        <f t="shared" si="8"/>
        <v>'0856.HK'</v>
      </c>
      <c r="D553" s="22" t="s">
        <v>2043</v>
      </c>
      <c r="E553" s="22" t="s">
        <v>1202</v>
      </c>
      <c r="F553" s="22">
        <v>6645204430.8400002</v>
      </c>
      <c r="G553" s="22">
        <v>33</v>
      </c>
      <c r="H553" s="22" t="s">
        <v>2044</v>
      </c>
    </row>
    <row r="554" spans="1:8" x14ac:dyDescent="0.35">
      <c r="A554" s="22" t="s">
        <v>851</v>
      </c>
      <c r="B554" s="22" t="str">
        <f>"09996"</f>
        <v>09996</v>
      </c>
      <c r="C554" s="22" t="str">
        <f t="shared" si="8"/>
        <v>'9996.HK'</v>
      </c>
      <c r="D554" s="22" t="s">
        <v>2045</v>
      </c>
      <c r="E554" s="22" t="s">
        <v>1232</v>
      </c>
      <c r="F554" s="22">
        <v>6625109193.8400002</v>
      </c>
      <c r="G554" s="22">
        <v>48</v>
      </c>
      <c r="H554" s="22" t="s">
        <v>2046</v>
      </c>
    </row>
    <row r="555" spans="1:8" x14ac:dyDescent="0.35">
      <c r="A555" s="22" t="s">
        <v>851</v>
      </c>
      <c r="B555" s="22" t="str">
        <f>"01477"</f>
        <v>01477</v>
      </c>
      <c r="C555" s="22" t="str">
        <f t="shared" si="8"/>
        <v>'1477.HK'</v>
      </c>
      <c r="D555" s="22" t="s">
        <v>2047</v>
      </c>
      <c r="E555" s="22" t="s">
        <v>941</v>
      </c>
      <c r="F555" s="22">
        <v>6610305114.4499998</v>
      </c>
      <c r="G555" s="22">
        <v>19</v>
      </c>
      <c r="H555" s="22" t="s">
        <v>2048</v>
      </c>
    </row>
    <row r="556" spans="1:8" x14ac:dyDescent="0.35">
      <c r="A556" s="22" t="s">
        <v>851</v>
      </c>
      <c r="B556" s="22" t="str">
        <f>"08446"</f>
        <v>08446</v>
      </c>
      <c r="C556" s="22" t="str">
        <f t="shared" si="8"/>
        <v>'8446.HK'</v>
      </c>
      <c r="D556" s="22" t="s">
        <v>2049</v>
      </c>
      <c r="E556" s="22" t="s">
        <v>1185</v>
      </c>
      <c r="F556" s="22">
        <v>6600000000</v>
      </c>
      <c r="G556" s="22">
        <v>2</v>
      </c>
      <c r="H556" s="22" t="s">
        <v>2050</v>
      </c>
    </row>
    <row r="557" spans="1:8" x14ac:dyDescent="0.35">
      <c r="A557" s="22" t="s">
        <v>851</v>
      </c>
      <c r="B557" s="22" t="str">
        <f>"02160"</f>
        <v>02160</v>
      </c>
      <c r="C557" s="22" t="str">
        <f t="shared" si="8"/>
        <v>'2160.HK'</v>
      </c>
      <c r="D557" s="22" t="s">
        <v>2051</v>
      </c>
      <c r="E557" s="22" t="s">
        <v>1232</v>
      </c>
      <c r="F557" s="22">
        <v>6596060427.7600002</v>
      </c>
      <c r="G557" s="22">
        <v>29</v>
      </c>
      <c r="H557" s="22" t="s">
        <v>2052</v>
      </c>
    </row>
    <row r="558" spans="1:8" x14ac:dyDescent="0.35">
      <c r="A558" s="22" t="s">
        <v>851</v>
      </c>
      <c r="B558" s="22" t="str">
        <f>"02858"</f>
        <v>02858</v>
      </c>
      <c r="C558" s="22" t="str">
        <f t="shared" si="8"/>
        <v>'2858.HK'</v>
      </c>
      <c r="D558" s="22" t="s">
        <v>2053</v>
      </c>
      <c r="E558" s="22" t="s">
        <v>1498</v>
      </c>
      <c r="F558" s="22">
        <v>6589111742.1199999</v>
      </c>
      <c r="G558" s="22">
        <v>27</v>
      </c>
      <c r="H558" s="22" t="s">
        <v>2054</v>
      </c>
    </row>
    <row r="559" spans="1:8" x14ac:dyDescent="0.35">
      <c r="A559" s="22" t="s">
        <v>851</v>
      </c>
      <c r="B559" s="22" t="str">
        <f>"01310"</f>
        <v>01310</v>
      </c>
      <c r="C559" s="22" t="str">
        <f t="shared" si="8"/>
        <v>'1310.HK'</v>
      </c>
      <c r="D559" s="22" t="s">
        <v>2055</v>
      </c>
      <c r="E559" s="22" t="s">
        <v>865</v>
      </c>
      <c r="F559" s="22">
        <v>6584228767.1199999</v>
      </c>
      <c r="G559" s="22">
        <v>21</v>
      </c>
      <c r="H559" s="22" t="s">
        <v>2056</v>
      </c>
    </row>
    <row r="560" spans="1:8" x14ac:dyDescent="0.35">
      <c r="A560" s="22" t="s">
        <v>851</v>
      </c>
      <c r="B560" s="22" t="str">
        <f>"00811"</f>
        <v>00811</v>
      </c>
      <c r="C560" s="22" t="str">
        <f t="shared" si="8"/>
        <v>'0811.HK'</v>
      </c>
      <c r="D560" s="22" t="s">
        <v>2057</v>
      </c>
      <c r="E560" s="22" t="s">
        <v>1400</v>
      </c>
      <c r="F560" s="22">
        <v>6564034120</v>
      </c>
      <c r="G560" s="22">
        <v>185</v>
      </c>
      <c r="H560" s="22" t="s">
        <v>2058</v>
      </c>
    </row>
    <row r="561" spans="1:8" x14ac:dyDescent="0.35">
      <c r="A561" s="22" t="s">
        <v>851</v>
      </c>
      <c r="B561" s="22" t="str">
        <f>"01860"</f>
        <v>01860</v>
      </c>
      <c r="C561" s="22" t="str">
        <f t="shared" si="8"/>
        <v>'1860.HK'</v>
      </c>
      <c r="D561" s="22" t="s">
        <v>2059</v>
      </c>
      <c r="E561" s="22" t="s">
        <v>1627</v>
      </c>
      <c r="F561" s="22">
        <v>6562846857.6400003</v>
      </c>
      <c r="G561" s="22">
        <v>24</v>
      </c>
      <c r="H561" s="22" t="s">
        <v>2060</v>
      </c>
    </row>
    <row r="562" spans="1:8" x14ac:dyDescent="0.35">
      <c r="A562" s="22" t="s">
        <v>851</v>
      </c>
      <c r="B562" s="22" t="str">
        <f>"01668"</f>
        <v>01668</v>
      </c>
      <c r="C562" s="22" t="str">
        <f t="shared" si="8"/>
        <v>'1668.HK'</v>
      </c>
      <c r="D562" s="22" t="s">
        <v>2061</v>
      </c>
      <c r="E562" s="22" t="s">
        <v>924</v>
      </c>
      <c r="F562" s="22">
        <v>6521878923.3599997</v>
      </c>
      <c r="G562" s="22">
        <v>142</v>
      </c>
      <c r="H562" s="22" t="s">
        <v>2062</v>
      </c>
    </row>
    <row r="563" spans="1:8" x14ac:dyDescent="0.35">
      <c r="A563" s="22" t="s">
        <v>851</v>
      </c>
      <c r="B563" s="22" t="str">
        <f>"01357"</f>
        <v>01357</v>
      </c>
      <c r="C563" s="22" t="str">
        <f t="shared" si="8"/>
        <v>'1357.HK'</v>
      </c>
      <c r="D563" s="22" t="s">
        <v>2063</v>
      </c>
      <c r="E563" s="22" t="s">
        <v>853</v>
      </c>
      <c r="F563" s="22">
        <v>6486588973.1999998</v>
      </c>
      <c r="G563" s="22">
        <v>74</v>
      </c>
      <c r="H563" s="22" t="s">
        <v>2064</v>
      </c>
    </row>
    <row r="564" spans="1:8" x14ac:dyDescent="0.35">
      <c r="A564" s="22" t="s">
        <v>851</v>
      </c>
      <c r="B564" s="22" t="str">
        <f>"00373"</f>
        <v>00373</v>
      </c>
      <c r="C564" s="22" t="str">
        <f t="shared" si="8"/>
        <v>'0373.HK'</v>
      </c>
      <c r="D564" s="22" t="s">
        <v>2065</v>
      </c>
      <c r="E564" s="22" t="s">
        <v>1498</v>
      </c>
      <c r="F564" s="22">
        <v>6465179222.3999996</v>
      </c>
      <c r="G564" s="22">
        <v>19</v>
      </c>
      <c r="H564" s="22" t="s">
        <v>2066</v>
      </c>
    </row>
    <row r="565" spans="1:8" x14ac:dyDescent="0.35">
      <c r="A565" s="22" t="s">
        <v>851</v>
      </c>
      <c r="B565" s="22" t="str">
        <f>"02877"</f>
        <v>02877</v>
      </c>
      <c r="C565" s="22" t="str">
        <f t="shared" si="8"/>
        <v>'2877.HK'</v>
      </c>
      <c r="D565" s="22" t="s">
        <v>2067</v>
      </c>
      <c r="E565" s="22" t="s">
        <v>1349</v>
      </c>
      <c r="F565" s="22">
        <v>6450600000</v>
      </c>
      <c r="G565" s="22">
        <v>132</v>
      </c>
      <c r="H565" s="22" t="s">
        <v>2068</v>
      </c>
    </row>
    <row r="566" spans="1:8" x14ac:dyDescent="0.35">
      <c r="A566" s="22" t="s">
        <v>851</v>
      </c>
      <c r="B566" s="22" t="str">
        <f>"00861"</f>
        <v>00861</v>
      </c>
      <c r="C566" s="22" t="str">
        <f t="shared" si="8"/>
        <v>'0861.HK'</v>
      </c>
      <c r="D566" s="22" t="s">
        <v>2069</v>
      </c>
      <c r="E566" s="22" t="s">
        <v>1202</v>
      </c>
      <c r="F566" s="22">
        <v>6443388436.1000004</v>
      </c>
      <c r="G566" s="22">
        <v>30</v>
      </c>
      <c r="H566" s="22" t="s">
        <v>2070</v>
      </c>
    </row>
    <row r="567" spans="1:8" x14ac:dyDescent="0.35">
      <c r="A567" s="22" t="s">
        <v>851</v>
      </c>
      <c r="B567" s="22" t="str">
        <f>"00095"</f>
        <v>00095</v>
      </c>
      <c r="C567" s="22" t="str">
        <f t="shared" si="8"/>
        <v>'0095.HK'</v>
      </c>
      <c r="D567" s="22" t="s">
        <v>2071</v>
      </c>
      <c r="E567" s="22" t="s">
        <v>924</v>
      </c>
      <c r="F567" s="22">
        <v>6423107008.5</v>
      </c>
      <c r="G567" s="22">
        <v>40</v>
      </c>
      <c r="H567" s="22" t="s">
        <v>2072</v>
      </c>
    </row>
    <row r="568" spans="1:8" x14ac:dyDescent="0.35">
      <c r="A568" s="22" t="s">
        <v>851</v>
      </c>
      <c r="B568" s="22" t="str">
        <f>"87001"</f>
        <v>87001</v>
      </c>
      <c r="C568" s="22" t="str">
        <f t="shared" si="8"/>
        <v>'7001.HK'</v>
      </c>
      <c r="D568" s="22" t="s">
        <v>2073</v>
      </c>
      <c r="F568" s="22">
        <v>6417270050.1599998</v>
      </c>
      <c r="G568" s="22">
        <v>86</v>
      </c>
      <c r="H568" s="22" t="s">
        <v>2074</v>
      </c>
    </row>
    <row r="569" spans="1:8" x14ac:dyDescent="0.35">
      <c r="A569" s="22" t="s">
        <v>851</v>
      </c>
      <c r="B569" s="22" t="str">
        <f>"02158"</f>
        <v>02158</v>
      </c>
      <c r="C569" s="22" t="str">
        <f t="shared" si="8"/>
        <v>'2158.HK'</v>
      </c>
      <c r="D569" s="22" t="s">
        <v>2075</v>
      </c>
      <c r="E569" s="22" t="s">
        <v>1362</v>
      </c>
      <c r="F569" s="22">
        <v>6389332899.1599998</v>
      </c>
      <c r="G569" s="22">
        <v>31</v>
      </c>
      <c r="H569" s="22" t="s">
        <v>2076</v>
      </c>
    </row>
    <row r="570" spans="1:8" x14ac:dyDescent="0.35">
      <c r="A570" s="22" t="s">
        <v>851</v>
      </c>
      <c r="B570" s="22" t="str">
        <f>"00182"</f>
        <v>00182</v>
      </c>
      <c r="C570" s="22" t="str">
        <f t="shared" si="8"/>
        <v>'0182.HK'</v>
      </c>
      <c r="D570" s="22" t="s">
        <v>2077</v>
      </c>
      <c r="E570" s="22" t="s">
        <v>1127</v>
      </c>
      <c r="F570" s="22">
        <v>6372583102.1800003</v>
      </c>
      <c r="G570" s="22">
        <v>31</v>
      </c>
      <c r="H570" s="22" t="s">
        <v>2078</v>
      </c>
    </row>
    <row r="571" spans="1:8" x14ac:dyDescent="0.35">
      <c r="A571" s="22" t="s">
        <v>851</v>
      </c>
      <c r="B571" s="22" t="str">
        <f>"01905"</f>
        <v>01905</v>
      </c>
      <c r="C571" s="22" t="str">
        <f t="shared" si="8"/>
        <v>'1905.HK'</v>
      </c>
      <c r="D571" s="22" t="s">
        <v>2079</v>
      </c>
      <c r="E571" s="22" t="s">
        <v>1498</v>
      </c>
      <c r="F571" s="22">
        <v>6341181000</v>
      </c>
      <c r="G571" s="22">
        <v>10</v>
      </c>
      <c r="H571" s="22" t="s">
        <v>2080</v>
      </c>
    </row>
    <row r="572" spans="1:8" x14ac:dyDescent="0.35">
      <c r="A572" s="22" t="s">
        <v>851</v>
      </c>
      <c r="B572" s="22" t="str">
        <f>"02500"</f>
        <v>02500</v>
      </c>
      <c r="C572" s="22" t="str">
        <f t="shared" si="8"/>
        <v>'2500.HK'</v>
      </c>
      <c r="D572" s="22" t="s">
        <v>2081</v>
      </c>
      <c r="E572" s="22" t="s">
        <v>1232</v>
      </c>
      <c r="F572" s="22">
        <v>6332924321.4799995</v>
      </c>
      <c r="G572" s="22">
        <v>103</v>
      </c>
      <c r="H572" s="22" t="s">
        <v>2082</v>
      </c>
    </row>
    <row r="573" spans="1:8" x14ac:dyDescent="0.35">
      <c r="A573" s="22" t="s">
        <v>851</v>
      </c>
      <c r="B573" s="22" t="str">
        <f>"06826"</f>
        <v>06826</v>
      </c>
      <c r="C573" s="22" t="str">
        <f t="shared" si="8"/>
        <v>'6826.HK'</v>
      </c>
      <c r="D573" s="22" t="s">
        <v>2083</v>
      </c>
      <c r="E573" s="22" t="s">
        <v>941</v>
      </c>
      <c r="F573" s="22">
        <v>6329625500</v>
      </c>
      <c r="G573" s="22">
        <v>71</v>
      </c>
      <c r="H573" s="22" t="s">
        <v>2084</v>
      </c>
    </row>
    <row r="574" spans="1:8" x14ac:dyDescent="0.35">
      <c r="A574" s="22" t="s">
        <v>851</v>
      </c>
      <c r="B574" s="22" t="str">
        <f>"01813"</f>
        <v>01813</v>
      </c>
      <c r="C574" s="22" t="str">
        <f t="shared" si="8"/>
        <v>'1813.HK'</v>
      </c>
      <c r="D574" s="22" t="s">
        <v>2085</v>
      </c>
      <c r="E574" s="22" t="s">
        <v>924</v>
      </c>
      <c r="F574" s="22">
        <v>6324236923.25</v>
      </c>
      <c r="G574" s="22">
        <v>174</v>
      </c>
      <c r="H574" s="22" t="s">
        <v>2086</v>
      </c>
    </row>
    <row r="575" spans="1:8" x14ac:dyDescent="0.35">
      <c r="A575" s="22" t="s">
        <v>851</v>
      </c>
      <c r="B575" s="22" t="str">
        <f>"01890"</f>
        <v>01890</v>
      </c>
      <c r="C575" s="22" t="str">
        <f t="shared" si="8"/>
        <v>'1890.HK'</v>
      </c>
      <c r="D575" s="22" t="s">
        <v>2087</v>
      </c>
      <c r="E575" s="22" t="s">
        <v>1270</v>
      </c>
      <c r="F575" s="22">
        <v>6307728327.71</v>
      </c>
      <c r="G575" s="22">
        <v>60</v>
      </c>
      <c r="H575" s="22" t="s">
        <v>2088</v>
      </c>
    </row>
    <row r="576" spans="1:8" x14ac:dyDescent="0.35">
      <c r="A576" s="22" t="s">
        <v>851</v>
      </c>
      <c r="B576" s="22" t="str">
        <f>"00737"</f>
        <v>00737</v>
      </c>
      <c r="C576" s="22" t="str">
        <f t="shared" si="8"/>
        <v>'0737.HK'</v>
      </c>
      <c r="D576" s="22" t="s">
        <v>2089</v>
      </c>
      <c r="E576" s="22" t="s">
        <v>1367</v>
      </c>
      <c r="F576" s="22">
        <v>6286648177.3199997</v>
      </c>
      <c r="G576" s="22">
        <v>24</v>
      </c>
      <c r="H576" s="22" t="s">
        <v>2090</v>
      </c>
    </row>
    <row r="577" spans="1:8" x14ac:dyDescent="0.35">
      <c r="A577" s="22" t="s">
        <v>851</v>
      </c>
      <c r="B577" s="22" t="str">
        <f>"06069"</f>
        <v>06069</v>
      </c>
      <c r="C577" s="22" t="str">
        <f t="shared" si="8"/>
        <v>'6069.HK'</v>
      </c>
      <c r="D577" s="22" t="s">
        <v>2091</v>
      </c>
      <c r="E577" s="22" t="s">
        <v>1498</v>
      </c>
      <c r="F577" s="22">
        <v>6278061335</v>
      </c>
      <c r="G577" s="22">
        <v>9</v>
      </c>
      <c r="H577" s="22" t="s">
        <v>2092</v>
      </c>
    </row>
    <row r="578" spans="1:8" x14ac:dyDescent="0.35">
      <c r="A578" s="22" t="s">
        <v>851</v>
      </c>
      <c r="B578" s="22" t="str">
        <f>"03309"</f>
        <v>03309</v>
      </c>
      <c r="C578" s="22" t="str">
        <f t="shared" si="8"/>
        <v>'3309.HK'</v>
      </c>
      <c r="D578" s="22" t="s">
        <v>2093</v>
      </c>
      <c r="E578" s="22" t="s">
        <v>1362</v>
      </c>
      <c r="F578" s="22">
        <v>6269466406.5</v>
      </c>
      <c r="G578" s="22">
        <v>83</v>
      </c>
      <c r="H578" s="22" t="s">
        <v>2094</v>
      </c>
    </row>
    <row r="579" spans="1:8" x14ac:dyDescent="0.35">
      <c r="A579" s="22" t="s">
        <v>851</v>
      </c>
      <c r="B579" s="22" t="str">
        <f>"03369"</f>
        <v>03369</v>
      </c>
      <c r="C579" s="22" t="str">
        <f t="shared" ref="C579:C642" si="9">CONCATENATE("'",RIGHT(B579,4),".HK'")</f>
        <v>'3369.HK'</v>
      </c>
      <c r="D579" s="22" t="s">
        <v>2095</v>
      </c>
      <c r="E579" s="22" t="s">
        <v>1047</v>
      </c>
      <c r="F579" s="22">
        <v>6257901440</v>
      </c>
      <c r="G579" s="22">
        <v>115</v>
      </c>
      <c r="H579" s="22" t="s">
        <v>2096</v>
      </c>
    </row>
    <row r="580" spans="1:8" x14ac:dyDescent="0.35">
      <c r="A580" s="22" t="s">
        <v>851</v>
      </c>
      <c r="B580" s="22" t="str">
        <f>"01164"</f>
        <v>01164</v>
      </c>
      <c r="C580" s="22" t="str">
        <f t="shared" si="9"/>
        <v>'1164.HK'</v>
      </c>
      <c r="D580" s="22" t="s">
        <v>2097</v>
      </c>
      <c r="E580" s="22" t="s">
        <v>1060</v>
      </c>
      <c r="F580" s="22">
        <v>6156552942.4499998</v>
      </c>
      <c r="G580" s="22">
        <v>18</v>
      </c>
      <c r="H580" s="22" t="s">
        <v>2098</v>
      </c>
    </row>
    <row r="581" spans="1:8" x14ac:dyDescent="0.35">
      <c r="A581" s="22" t="s">
        <v>851</v>
      </c>
      <c r="B581" s="22" t="str">
        <f>"02279"</f>
        <v>02279</v>
      </c>
      <c r="C581" s="22" t="str">
        <f t="shared" si="9"/>
        <v>'2279.HK'</v>
      </c>
      <c r="D581" s="22" t="s">
        <v>2099</v>
      </c>
      <c r="E581" s="22" t="s">
        <v>1362</v>
      </c>
      <c r="F581" s="22">
        <v>6145757650.5600004</v>
      </c>
      <c r="G581" s="22">
        <v>20</v>
      </c>
      <c r="H581" s="22" t="s">
        <v>2100</v>
      </c>
    </row>
    <row r="582" spans="1:8" x14ac:dyDescent="0.35">
      <c r="A582" s="22" t="s">
        <v>851</v>
      </c>
      <c r="B582" s="22" t="str">
        <f>"01133"</f>
        <v>01133</v>
      </c>
      <c r="C582" s="22" t="str">
        <f t="shared" si="9"/>
        <v>'1133.HK'</v>
      </c>
      <c r="D582" s="22" t="s">
        <v>2101</v>
      </c>
      <c r="E582" s="22" t="s">
        <v>1301</v>
      </c>
      <c r="F582" s="22">
        <v>6143482800</v>
      </c>
      <c r="G582" s="22">
        <v>42</v>
      </c>
      <c r="H582" s="22" t="s">
        <v>2102</v>
      </c>
    </row>
    <row r="583" spans="1:8" x14ac:dyDescent="0.35">
      <c r="A583" s="22" t="s">
        <v>851</v>
      </c>
      <c r="B583" s="22" t="str">
        <f>"02558"</f>
        <v>02558</v>
      </c>
      <c r="C583" s="22" t="str">
        <f t="shared" si="9"/>
        <v>'2558.HK'</v>
      </c>
      <c r="D583" s="22" t="s">
        <v>2103</v>
      </c>
      <c r="E583" s="22" t="s">
        <v>858</v>
      </c>
      <c r="F583" s="22">
        <v>6130582500</v>
      </c>
      <c r="G583" s="22">
        <v>7</v>
      </c>
      <c r="H583" s="22" t="s">
        <v>2104</v>
      </c>
    </row>
    <row r="584" spans="1:8" x14ac:dyDescent="0.35">
      <c r="A584" s="22" t="s">
        <v>851</v>
      </c>
      <c r="B584" s="22" t="str">
        <f>"02192"</f>
        <v>02192</v>
      </c>
      <c r="C584" s="22" t="str">
        <f t="shared" si="9"/>
        <v>'2192.HK'</v>
      </c>
      <c r="D584" s="22" t="s">
        <v>2105</v>
      </c>
      <c r="E584" s="22" t="s">
        <v>1362</v>
      </c>
      <c r="F584" s="22">
        <v>6126151920</v>
      </c>
      <c r="G584" s="22">
        <v>9</v>
      </c>
      <c r="H584" s="22" t="s">
        <v>2106</v>
      </c>
    </row>
    <row r="585" spans="1:8" x14ac:dyDescent="0.35">
      <c r="A585" s="22" t="s">
        <v>851</v>
      </c>
      <c r="B585" s="22" t="str">
        <f>"00440"</f>
        <v>00440</v>
      </c>
      <c r="C585" s="22" t="str">
        <f t="shared" si="9"/>
        <v>'0440.HK'</v>
      </c>
      <c r="D585" s="22" t="s">
        <v>2107</v>
      </c>
      <c r="E585" s="22" t="s">
        <v>858</v>
      </c>
      <c r="F585" s="22">
        <v>6059143896</v>
      </c>
      <c r="G585" s="22">
        <v>75</v>
      </c>
      <c r="H585" s="22" t="s">
        <v>2108</v>
      </c>
    </row>
    <row r="586" spans="1:8" x14ac:dyDescent="0.35">
      <c r="A586" s="22" t="s">
        <v>851</v>
      </c>
      <c r="B586" s="22" t="str">
        <f>"02678"</f>
        <v>02678</v>
      </c>
      <c r="C586" s="22" t="str">
        <f t="shared" si="9"/>
        <v>'2678.HK'</v>
      </c>
      <c r="D586" s="22" t="s">
        <v>2109</v>
      </c>
      <c r="E586" s="22" t="s">
        <v>1914</v>
      </c>
      <c r="F586" s="22">
        <v>6022080000</v>
      </c>
      <c r="G586" s="22">
        <v>86</v>
      </c>
      <c r="H586" s="22" t="s">
        <v>2110</v>
      </c>
    </row>
    <row r="587" spans="1:8" x14ac:dyDescent="0.35">
      <c r="A587" s="22" t="s">
        <v>851</v>
      </c>
      <c r="B587" s="22" t="str">
        <f>"00587"</f>
        <v>00587</v>
      </c>
      <c r="C587" s="22" t="str">
        <f t="shared" si="9"/>
        <v>'0587.HK'</v>
      </c>
      <c r="D587" s="22" t="s">
        <v>2111</v>
      </c>
      <c r="E587" s="22" t="s">
        <v>1301</v>
      </c>
      <c r="F587" s="22">
        <v>6010057044.1099997</v>
      </c>
      <c r="G587" s="22">
        <v>16</v>
      </c>
      <c r="H587" s="22" t="s">
        <v>2112</v>
      </c>
    </row>
    <row r="588" spans="1:8" x14ac:dyDescent="0.35">
      <c r="A588" s="22" t="s">
        <v>851</v>
      </c>
      <c r="B588" s="22" t="str">
        <f>"09658"</f>
        <v>09658</v>
      </c>
      <c r="C588" s="22" t="str">
        <f t="shared" si="9"/>
        <v>'9658.HK'</v>
      </c>
      <c r="D588" s="22" t="s">
        <v>2113</v>
      </c>
      <c r="F588" s="22">
        <v>6007501000</v>
      </c>
      <c r="H588" s="22" t="s">
        <v>2114</v>
      </c>
    </row>
    <row r="589" spans="1:8" x14ac:dyDescent="0.35">
      <c r="A589" s="22" t="s">
        <v>851</v>
      </c>
      <c r="B589" s="22" t="str">
        <f>"01521"</f>
        <v>01521</v>
      </c>
      <c r="C589" s="22" t="str">
        <f t="shared" si="9"/>
        <v>'1521.HK'</v>
      </c>
      <c r="D589" s="22" t="s">
        <v>2115</v>
      </c>
      <c r="E589" s="22" t="s">
        <v>941</v>
      </c>
      <c r="F589" s="22">
        <v>5999217117.1999998</v>
      </c>
      <c r="G589" s="22">
        <v>76</v>
      </c>
      <c r="H589" s="22" t="s">
        <v>2116</v>
      </c>
    </row>
    <row r="590" spans="1:8" x14ac:dyDescent="0.35">
      <c r="A590" s="22" t="s">
        <v>851</v>
      </c>
      <c r="B590" s="22" t="str">
        <f>"01858"</f>
        <v>01858</v>
      </c>
      <c r="C590" s="22" t="str">
        <f t="shared" si="9"/>
        <v>'1858.HK'</v>
      </c>
      <c r="D590" s="22" t="s">
        <v>2117</v>
      </c>
      <c r="E590" s="22" t="s">
        <v>1232</v>
      </c>
      <c r="F590" s="22">
        <v>5994768000</v>
      </c>
      <c r="G590" s="22">
        <v>107</v>
      </c>
      <c r="H590" s="22" t="s">
        <v>2118</v>
      </c>
    </row>
    <row r="591" spans="1:8" x14ac:dyDescent="0.35">
      <c r="A591" s="22" t="s">
        <v>851</v>
      </c>
      <c r="B591" s="22" t="str">
        <f>"03339"</f>
        <v>03339</v>
      </c>
      <c r="C591" s="22" t="str">
        <f t="shared" si="9"/>
        <v>'3339.HK'</v>
      </c>
      <c r="D591" s="22" t="s">
        <v>2119</v>
      </c>
      <c r="E591" s="22" t="s">
        <v>1395</v>
      </c>
      <c r="F591" s="22">
        <v>5992140000</v>
      </c>
      <c r="G591" s="22">
        <v>86</v>
      </c>
      <c r="H591" s="22" t="s">
        <v>2120</v>
      </c>
    </row>
    <row r="592" spans="1:8" x14ac:dyDescent="0.35">
      <c r="A592" s="22" t="s">
        <v>851</v>
      </c>
      <c r="B592" s="22" t="str">
        <f>"01468"</f>
        <v>01468</v>
      </c>
      <c r="C592" s="22" t="str">
        <f t="shared" si="9"/>
        <v>'1468.HK'</v>
      </c>
      <c r="D592" s="22" t="s">
        <v>2121</v>
      </c>
      <c r="E592" s="22" t="s">
        <v>958</v>
      </c>
      <c r="F592" s="22">
        <v>5984920464.1499996</v>
      </c>
      <c r="G592" s="22">
        <v>1</v>
      </c>
      <c r="H592" s="22" t="s">
        <v>2122</v>
      </c>
    </row>
    <row r="593" spans="1:8" x14ac:dyDescent="0.35">
      <c r="A593" s="22" t="s">
        <v>851</v>
      </c>
      <c r="B593" s="22" t="str">
        <f>"00743"</f>
        <v>00743</v>
      </c>
      <c r="C593" s="22" t="str">
        <f t="shared" si="9"/>
        <v>'0743.HK'</v>
      </c>
      <c r="D593" s="22" t="s">
        <v>2123</v>
      </c>
      <c r="E593" s="22" t="s">
        <v>1016</v>
      </c>
      <c r="F593" s="22">
        <v>5969702310</v>
      </c>
      <c r="G593" s="22">
        <v>106</v>
      </c>
      <c r="H593" s="22" t="s">
        <v>2124</v>
      </c>
    </row>
    <row r="594" spans="1:8" x14ac:dyDescent="0.35">
      <c r="A594" s="22" t="s">
        <v>851</v>
      </c>
      <c r="B594" s="22" t="str">
        <f>"06600"</f>
        <v>06600</v>
      </c>
      <c r="C594" s="22" t="str">
        <f t="shared" si="9"/>
        <v>'6600.HK'</v>
      </c>
      <c r="D594" s="22" t="s">
        <v>2125</v>
      </c>
      <c r="E594" s="22" t="s">
        <v>969</v>
      </c>
      <c r="F594" s="22">
        <v>5957201138.1000004</v>
      </c>
      <c r="G594" s="22">
        <v>14</v>
      </c>
      <c r="H594" s="22" t="s">
        <v>2126</v>
      </c>
    </row>
    <row r="595" spans="1:8" x14ac:dyDescent="0.35">
      <c r="A595" s="22" t="s">
        <v>851</v>
      </c>
      <c r="B595" s="22" t="str">
        <f>"00215"</f>
        <v>00215</v>
      </c>
      <c r="C595" s="22" t="str">
        <f t="shared" si="9"/>
        <v>'0215.HK'</v>
      </c>
      <c r="D595" s="22" t="s">
        <v>2127</v>
      </c>
      <c r="E595" s="22" t="s">
        <v>865</v>
      </c>
      <c r="F595" s="22">
        <v>5927488335.8400002</v>
      </c>
      <c r="G595" s="22">
        <v>41</v>
      </c>
      <c r="H595" s="22" t="s">
        <v>2128</v>
      </c>
    </row>
    <row r="596" spans="1:8" x14ac:dyDescent="0.35">
      <c r="A596" s="22" t="s">
        <v>851</v>
      </c>
      <c r="B596" s="22" t="str">
        <f>"02001"</f>
        <v>02001</v>
      </c>
      <c r="C596" s="22" t="str">
        <f t="shared" si="9"/>
        <v>'2001.HK'</v>
      </c>
      <c r="D596" s="22" t="s">
        <v>2129</v>
      </c>
      <c r="E596" s="22" t="s">
        <v>1270</v>
      </c>
      <c r="F596" s="22">
        <v>5921308887.6999998</v>
      </c>
      <c r="G596" s="22">
        <v>105</v>
      </c>
      <c r="H596" s="22" t="s">
        <v>2130</v>
      </c>
    </row>
    <row r="597" spans="1:8" x14ac:dyDescent="0.35">
      <c r="A597" s="22" t="s">
        <v>851</v>
      </c>
      <c r="B597" s="22" t="str">
        <f>"00665"</f>
        <v>00665</v>
      </c>
      <c r="C597" s="22" t="str">
        <f t="shared" si="9"/>
        <v>'0665.HK'</v>
      </c>
      <c r="D597" s="22" t="s">
        <v>2131</v>
      </c>
      <c r="E597" s="22" t="s">
        <v>1130</v>
      </c>
      <c r="F597" s="22">
        <v>5910991598.6599998</v>
      </c>
      <c r="G597" s="22">
        <v>147</v>
      </c>
      <c r="H597" s="22" t="s">
        <v>2132</v>
      </c>
    </row>
    <row r="598" spans="1:8" x14ac:dyDescent="0.35">
      <c r="A598" s="22" t="s">
        <v>851</v>
      </c>
      <c r="B598" s="22" t="str">
        <f>"02686"</f>
        <v>02686</v>
      </c>
      <c r="C598" s="22" t="str">
        <f t="shared" si="9"/>
        <v>'2686.HK'</v>
      </c>
      <c r="D598" s="22" t="s">
        <v>2133</v>
      </c>
      <c r="E598" s="22" t="s">
        <v>883</v>
      </c>
      <c r="F598" s="22">
        <v>5873564722.4099998</v>
      </c>
      <c r="G598" s="22">
        <v>16</v>
      </c>
      <c r="H598" s="22" t="s">
        <v>2134</v>
      </c>
    </row>
    <row r="599" spans="1:8" x14ac:dyDescent="0.35">
      <c r="A599" s="22" t="s">
        <v>851</v>
      </c>
      <c r="B599" s="22" t="str">
        <f>"01176"</f>
        <v>01176</v>
      </c>
      <c r="C599" s="22" t="str">
        <f t="shared" si="9"/>
        <v>'1176.HK'</v>
      </c>
      <c r="D599" s="22" t="s">
        <v>2135</v>
      </c>
      <c r="E599" s="22" t="s">
        <v>924</v>
      </c>
      <c r="F599" s="22">
        <v>5852762529.9300003</v>
      </c>
      <c r="G599" s="22">
        <v>17</v>
      </c>
      <c r="H599" s="22" t="s">
        <v>2136</v>
      </c>
    </row>
    <row r="600" spans="1:8" x14ac:dyDescent="0.35">
      <c r="A600" s="22" t="s">
        <v>851</v>
      </c>
      <c r="B600" s="22" t="str">
        <f>"00086"</f>
        <v>00086</v>
      </c>
      <c r="C600" s="22" t="str">
        <f t="shared" si="9"/>
        <v>'0086.HK'</v>
      </c>
      <c r="D600" s="22" t="s">
        <v>2137</v>
      </c>
      <c r="E600" s="22" t="s">
        <v>1498</v>
      </c>
      <c r="F600" s="22">
        <v>5844115014.21</v>
      </c>
      <c r="G600" s="22">
        <v>78</v>
      </c>
      <c r="H600" s="22" t="s">
        <v>2138</v>
      </c>
    </row>
    <row r="601" spans="1:8" x14ac:dyDescent="0.35">
      <c r="A601" s="22" t="s">
        <v>851</v>
      </c>
      <c r="B601" s="22" t="str">
        <f>"01558"</f>
        <v>01558</v>
      </c>
      <c r="C601" s="22" t="str">
        <f t="shared" si="9"/>
        <v>'1558.HK'</v>
      </c>
      <c r="D601" s="22" t="s">
        <v>2139</v>
      </c>
      <c r="E601" s="22" t="s">
        <v>969</v>
      </c>
      <c r="F601" s="22">
        <v>5807786820</v>
      </c>
      <c r="G601" s="22">
        <v>129</v>
      </c>
      <c r="H601" s="22" t="s">
        <v>2140</v>
      </c>
    </row>
    <row r="602" spans="1:8" x14ac:dyDescent="0.35">
      <c r="A602" s="22" t="s">
        <v>851</v>
      </c>
      <c r="B602" s="22" t="str">
        <f>"00658"</f>
        <v>00658</v>
      </c>
      <c r="C602" s="22" t="str">
        <f t="shared" si="9"/>
        <v>'0658.HK'</v>
      </c>
      <c r="D602" s="22" t="s">
        <v>2141</v>
      </c>
      <c r="E602" s="22" t="s">
        <v>1301</v>
      </c>
      <c r="F602" s="22">
        <v>5805285023.8000002</v>
      </c>
      <c r="G602" s="22">
        <v>33</v>
      </c>
      <c r="H602" s="22" t="s">
        <v>2142</v>
      </c>
    </row>
    <row r="603" spans="1:8" x14ac:dyDescent="0.35">
      <c r="A603" s="22" t="s">
        <v>851</v>
      </c>
      <c r="B603" s="22" t="str">
        <f>"01836"</f>
        <v>01836</v>
      </c>
      <c r="C603" s="22" t="str">
        <f t="shared" si="9"/>
        <v>'1836.HK'</v>
      </c>
      <c r="D603" s="22" t="s">
        <v>2143</v>
      </c>
      <c r="E603" s="22" t="s">
        <v>1552</v>
      </c>
      <c r="F603" s="22">
        <v>5796043050</v>
      </c>
      <c r="G603" s="22">
        <v>18</v>
      </c>
      <c r="H603" s="22" t="s">
        <v>2144</v>
      </c>
    </row>
    <row r="604" spans="1:8" x14ac:dyDescent="0.35">
      <c r="A604" s="22" t="s">
        <v>851</v>
      </c>
      <c r="B604" s="22" t="str">
        <f>"01916"</f>
        <v>01916</v>
      </c>
      <c r="C604" s="22" t="str">
        <f t="shared" si="9"/>
        <v>'1916.HK'</v>
      </c>
      <c r="D604" s="22" t="s">
        <v>2145</v>
      </c>
      <c r="E604" s="22" t="s">
        <v>858</v>
      </c>
      <c r="F604" s="22">
        <v>5783305824.96</v>
      </c>
      <c r="G604" s="22">
        <v>12</v>
      </c>
      <c r="H604" s="22" t="s">
        <v>2146</v>
      </c>
    </row>
    <row r="605" spans="1:8" x14ac:dyDescent="0.35">
      <c r="A605" s="22" t="s">
        <v>851</v>
      </c>
      <c r="B605" s="22" t="str">
        <f>"00028"</f>
        <v>00028</v>
      </c>
      <c r="C605" s="22" t="str">
        <f t="shared" si="9"/>
        <v>'0028.HK'</v>
      </c>
      <c r="D605" s="22" t="s">
        <v>2147</v>
      </c>
      <c r="E605" s="22" t="s">
        <v>924</v>
      </c>
      <c r="F605" s="22">
        <v>5776313794.54</v>
      </c>
      <c r="G605" s="22">
        <v>29</v>
      </c>
      <c r="H605" s="22" t="s">
        <v>2148</v>
      </c>
    </row>
    <row r="606" spans="1:8" x14ac:dyDescent="0.35">
      <c r="A606" s="22" t="s">
        <v>851</v>
      </c>
      <c r="B606" s="22" t="str">
        <f>"02156"</f>
        <v>02156</v>
      </c>
      <c r="C606" s="22" t="str">
        <f t="shared" si="9"/>
        <v>'2156.HK'</v>
      </c>
      <c r="D606" s="22" t="s">
        <v>2149</v>
      </c>
      <c r="E606" s="22" t="s">
        <v>1104</v>
      </c>
      <c r="F606" s="22">
        <v>5772647977.9200001</v>
      </c>
      <c r="G606" s="22">
        <v>8</v>
      </c>
      <c r="H606" s="22" t="s">
        <v>2150</v>
      </c>
    </row>
    <row r="607" spans="1:8" x14ac:dyDescent="0.35">
      <c r="A607" s="22" t="s">
        <v>851</v>
      </c>
      <c r="B607" s="22" t="str">
        <f>"00178"</f>
        <v>00178</v>
      </c>
      <c r="C607" s="22" t="str">
        <f t="shared" si="9"/>
        <v>'0178.HK'</v>
      </c>
      <c r="D607" s="22" t="s">
        <v>2151</v>
      </c>
      <c r="E607" s="22" t="s">
        <v>1002</v>
      </c>
      <c r="F607" s="22">
        <v>5771932391.8800001</v>
      </c>
      <c r="G607" s="22">
        <v>49</v>
      </c>
      <c r="H607" s="22" t="s">
        <v>2152</v>
      </c>
    </row>
    <row r="608" spans="1:8" x14ac:dyDescent="0.35">
      <c r="A608" s="22" t="s">
        <v>851</v>
      </c>
      <c r="B608" s="22" t="str">
        <f>"02616"</f>
        <v>02616</v>
      </c>
      <c r="C608" s="22" t="str">
        <f t="shared" si="9"/>
        <v>'2616.HK'</v>
      </c>
      <c r="D608" s="22" t="s">
        <v>2153</v>
      </c>
      <c r="E608" s="22" t="s">
        <v>941</v>
      </c>
      <c r="F608" s="22">
        <v>5739368472.6899996</v>
      </c>
      <c r="G608" s="22">
        <v>39</v>
      </c>
      <c r="H608" s="22" t="s">
        <v>2154</v>
      </c>
    </row>
    <row r="609" spans="1:8" x14ac:dyDescent="0.35">
      <c r="A609" s="22" t="s">
        <v>851</v>
      </c>
      <c r="B609" s="22" t="str">
        <f>"01952"</f>
        <v>01952</v>
      </c>
      <c r="C609" s="22" t="str">
        <f t="shared" si="9"/>
        <v>'1952.HK'</v>
      </c>
      <c r="D609" s="22" t="s">
        <v>2155</v>
      </c>
      <c r="E609" s="22" t="s">
        <v>941</v>
      </c>
      <c r="F609" s="22">
        <v>5735064034.7399998</v>
      </c>
      <c r="G609" s="22">
        <v>28</v>
      </c>
      <c r="H609" s="22" t="s">
        <v>2156</v>
      </c>
    </row>
    <row r="610" spans="1:8" x14ac:dyDescent="0.35">
      <c r="A610" s="22" t="s">
        <v>851</v>
      </c>
      <c r="B610" s="22" t="str">
        <f>"06626"</f>
        <v>06626</v>
      </c>
      <c r="C610" s="22" t="str">
        <f t="shared" si="9"/>
        <v>'6626.HK'</v>
      </c>
      <c r="D610" s="22" t="s">
        <v>2157</v>
      </c>
      <c r="E610" s="22" t="s">
        <v>1104</v>
      </c>
      <c r="F610" s="22">
        <v>5707613163.75</v>
      </c>
      <c r="G610" s="22">
        <v>16</v>
      </c>
      <c r="H610" s="22" t="s">
        <v>2158</v>
      </c>
    </row>
    <row r="611" spans="1:8" x14ac:dyDescent="0.35">
      <c r="A611" s="22" t="s">
        <v>851</v>
      </c>
      <c r="B611" s="22" t="str">
        <f>"01765"</f>
        <v>01765</v>
      </c>
      <c r="C611" s="22" t="str">
        <f t="shared" si="9"/>
        <v>'1765.HK'</v>
      </c>
      <c r="D611" s="22" t="s">
        <v>2159</v>
      </c>
      <c r="E611" s="22" t="s">
        <v>1270</v>
      </c>
      <c r="F611" s="22">
        <v>5699561001.2600002</v>
      </c>
      <c r="G611" s="22">
        <v>82</v>
      </c>
      <c r="H611" s="22" t="s">
        <v>2160</v>
      </c>
    </row>
    <row r="612" spans="1:8" x14ac:dyDescent="0.35">
      <c r="A612" s="22" t="s">
        <v>851</v>
      </c>
      <c r="B612" s="22" t="str">
        <f>"02148"</f>
        <v>02148</v>
      </c>
      <c r="C612" s="22" t="str">
        <f t="shared" si="9"/>
        <v>'2148.HK'</v>
      </c>
      <c r="D612" s="22" t="s">
        <v>2161</v>
      </c>
      <c r="E612" s="22" t="s">
        <v>953</v>
      </c>
      <c r="F612" s="22">
        <v>5674877824</v>
      </c>
      <c r="G612" s="22">
        <v>14</v>
      </c>
      <c r="H612" s="22" t="s">
        <v>2162</v>
      </c>
    </row>
    <row r="613" spans="1:8" x14ac:dyDescent="0.35">
      <c r="A613" s="22" t="s">
        <v>851</v>
      </c>
      <c r="B613" s="22" t="str">
        <f>"00435"</f>
        <v>00435</v>
      </c>
      <c r="C613" s="22" t="str">
        <f t="shared" si="9"/>
        <v>'0435.HK'</v>
      </c>
      <c r="D613" s="22" t="s">
        <v>2163</v>
      </c>
      <c r="F613" s="22">
        <v>5672672342.3999996</v>
      </c>
      <c r="G613" s="22">
        <v>70</v>
      </c>
      <c r="H613" s="22" t="s">
        <v>2164</v>
      </c>
    </row>
    <row r="614" spans="1:8" x14ac:dyDescent="0.35">
      <c r="A614" s="22" t="s">
        <v>851</v>
      </c>
      <c r="B614" s="22" t="str">
        <f>"01773"</f>
        <v>01773</v>
      </c>
      <c r="C614" s="22" t="str">
        <f t="shared" si="9"/>
        <v>'1773.HK'</v>
      </c>
      <c r="D614" s="22" t="s">
        <v>2165</v>
      </c>
      <c r="E614" s="22" t="s">
        <v>1270</v>
      </c>
      <c r="F614" s="22">
        <v>5665020000</v>
      </c>
      <c r="G614" s="22">
        <v>123</v>
      </c>
      <c r="H614" s="22" t="s">
        <v>2166</v>
      </c>
    </row>
    <row r="615" spans="1:8" x14ac:dyDescent="0.35">
      <c r="A615" s="22" t="s">
        <v>851</v>
      </c>
      <c r="B615" s="22" t="str">
        <f>"00107"</f>
        <v>00107</v>
      </c>
      <c r="C615" s="22" t="str">
        <f t="shared" si="9"/>
        <v>'0107.HK'</v>
      </c>
      <c r="D615" s="22" t="s">
        <v>2167</v>
      </c>
      <c r="E615" s="22" t="s">
        <v>1367</v>
      </c>
      <c r="F615" s="22">
        <v>5626830400</v>
      </c>
      <c r="G615" s="22">
        <v>133</v>
      </c>
      <c r="H615" s="22" t="s">
        <v>2168</v>
      </c>
    </row>
    <row r="616" spans="1:8" x14ac:dyDescent="0.35">
      <c r="A616" s="22" t="s">
        <v>851</v>
      </c>
      <c r="B616" s="22" t="str">
        <f>"00719"</f>
        <v>00719</v>
      </c>
      <c r="C616" s="22" t="str">
        <f t="shared" si="9"/>
        <v>'0719.HK'</v>
      </c>
      <c r="D616" s="22" t="s">
        <v>2169</v>
      </c>
      <c r="E616" s="22" t="s">
        <v>969</v>
      </c>
      <c r="F616" s="22">
        <v>5611476229.3000002</v>
      </c>
      <c r="G616" s="22">
        <v>59</v>
      </c>
      <c r="H616" s="22" t="s">
        <v>2170</v>
      </c>
    </row>
    <row r="617" spans="1:8" x14ac:dyDescent="0.35">
      <c r="A617" s="22" t="s">
        <v>851</v>
      </c>
      <c r="B617" s="22" t="str">
        <f>"06868"</f>
        <v>06868</v>
      </c>
      <c r="C617" s="22" t="str">
        <f t="shared" si="9"/>
        <v>'6868.HK'</v>
      </c>
      <c r="D617" s="22" t="s">
        <v>2171</v>
      </c>
      <c r="E617" s="22" t="s">
        <v>892</v>
      </c>
      <c r="F617" s="22">
        <v>5593238835.1999998</v>
      </c>
      <c r="G617" s="22">
        <v>18</v>
      </c>
      <c r="H617" s="22" t="s">
        <v>2172</v>
      </c>
    </row>
    <row r="618" spans="1:8" x14ac:dyDescent="0.35">
      <c r="A618" s="22" t="s">
        <v>851</v>
      </c>
      <c r="B618" s="22" t="str">
        <f>"00806"</f>
        <v>00806</v>
      </c>
      <c r="C618" s="22" t="str">
        <f t="shared" si="9"/>
        <v>'0806.HK'</v>
      </c>
      <c r="D618" s="22" t="s">
        <v>2173</v>
      </c>
      <c r="E618" s="22" t="s">
        <v>964</v>
      </c>
      <c r="F618" s="22">
        <v>5571464984.5500002</v>
      </c>
      <c r="G618" s="22">
        <v>122</v>
      </c>
      <c r="H618" s="22" t="s">
        <v>2174</v>
      </c>
    </row>
    <row r="619" spans="1:8" x14ac:dyDescent="0.35">
      <c r="A619" s="22" t="s">
        <v>851</v>
      </c>
      <c r="B619" s="22" t="str">
        <f>"00746"</f>
        <v>00746</v>
      </c>
      <c r="C619" s="22" t="str">
        <f t="shared" si="9"/>
        <v>'0746.HK'</v>
      </c>
      <c r="D619" s="22" t="s">
        <v>2175</v>
      </c>
      <c r="E619" s="22" t="s">
        <v>1600</v>
      </c>
      <c r="F619" s="22">
        <v>5568750000</v>
      </c>
      <c r="G619" s="22">
        <v>26</v>
      </c>
      <c r="H619" s="22" t="s">
        <v>2176</v>
      </c>
    </row>
    <row r="620" spans="1:8" x14ac:dyDescent="0.35">
      <c r="A620" s="22" t="s">
        <v>851</v>
      </c>
      <c r="B620" s="22" t="str">
        <f>"06639"</f>
        <v>06639</v>
      </c>
      <c r="C620" s="22" t="str">
        <f t="shared" si="9"/>
        <v>'6639.HK'</v>
      </c>
      <c r="D620" s="22" t="s">
        <v>2177</v>
      </c>
      <c r="E620" s="22" t="s">
        <v>1362</v>
      </c>
      <c r="F620" s="22">
        <v>5530939444.5</v>
      </c>
      <c r="G620" s="22">
        <v>8</v>
      </c>
      <c r="H620" s="22" t="s">
        <v>2178</v>
      </c>
    </row>
    <row r="621" spans="1:8" x14ac:dyDescent="0.35">
      <c r="A621" s="22" t="s">
        <v>851</v>
      </c>
      <c r="B621" s="22" t="str">
        <f>"03316"</f>
        <v>03316</v>
      </c>
      <c r="C621" s="22" t="str">
        <f t="shared" si="9"/>
        <v>'3316.HK'</v>
      </c>
      <c r="D621" s="22" t="s">
        <v>2179</v>
      </c>
      <c r="E621" s="22" t="s">
        <v>1104</v>
      </c>
      <c r="F621" s="22">
        <v>5528140000</v>
      </c>
      <c r="G621" s="22">
        <v>88</v>
      </c>
      <c r="H621" s="22" t="s">
        <v>2180</v>
      </c>
    </row>
    <row r="622" spans="1:8" x14ac:dyDescent="0.35">
      <c r="A622" s="22" t="s">
        <v>851</v>
      </c>
      <c r="B622" s="22" t="str">
        <f>"80737"</f>
        <v>80737</v>
      </c>
      <c r="C622" s="22" t="str">
        <f t="shared" si="9"/>
        <v>'0737.HK'</v>
      </c>
      <c r="D622" s="22" t="s">
        <v>2181</v>
      </c>
      <c r="E622" s="22" t="s">
        <v>1367</v>
      </c>
      <c r="F622" s="22">
        <v>5485408200</v>
      </c>
      <c r="G622" s="22">
        <v>0</v>
      </c>
      <c r="H622" s="22" t="s">
        <v>2182</v>
      </c>
    </row>
    <row r="623" spans="1:8" x14ac:dyDescent="0.35">
      <c r="A623" s="22" t="s">
        <v>851</v>
      </c>
      <c r="B623" s="22" t="str">
        <f>"02137"</f>
        <v>02137</v>
      </c>
      <c r="C623" s="22" t="str">
        <f t="shared" si="9"/>
        <v>'2137.HK'</v>
      </c>
      <c r="D623" s="22" t="s">
        <v>2183</v>
      </c>
      <c r="E623" s="22" t="s">
        <v>941</v>
      </c>
      <c r="F623" s="22">
        <v>5459772418.2200003</v>
      </c>
      <c r="G623" s="22">
        <v>15</v>
      </c>
      <c r="H623" s="22" t="s">
        <v>2184</v>
      </c>
    </row>
    <row r="624" spans="1:8" x14ac:dyDescent="0.35">
      <c r="A624" s="22" t="s">
        <v>851</v>
      </c>
      <c r="B624" s="22" t="str">
        <f>"09956"</f>
        <v>09956</v>
      </c>
      <c r="C624" s="22" t="str">
        <f t="shared" si="9"/>
        <v>'9956.HK'</v>
      </c>
      <c r="D624" s="22" t="s">
        <v>2185</v>
      </c>
      <c r="E624" s="22" t="s">
        <v>974</v>
      </c>
      <c r="F624" s="22">
        <v>5440993674.4799995</v>
      </c>
      <c r="G624" s="22">
        <v>2</v>
      </c>
      <c r="H624" s="22" t="s">
        <v>2186</v>
      </c>
    </row>
    <row r="625" spans="1:8" x14ac:dyDescent="0.35">
      <c r="A625" s="22" t="s">
        <v>851</v>
      </c>
      <c r="B625" s="22" t="str">
        <f>"01119"</f>
        <v>01119</v>
      </c>
      <c r="C625" s="22" t="str">
        <f t="shared" si="9"/>
        <v>'1119.HK'</v>
      </c>
      <c r="D625" s="22" t="s">
        <v>2187</v>
      </c>
      <c r="E625" s="22" t="s">
        <v>910</v>
      </c>
      <c r="F625" s="22">
        <v>5433643388.25</v>
      </c>
      <c r="G625" s="22">
        <v>18</v>
      </c>
      <c r="H625" s="22" t="s">
        <v>2188</v>
      </c>
    </row>
    <row r="626" spans="1:8" x14ac:dyDescent="0.35">
      <c r="A626" s="22" t="s">
        <v>851</v>
      </c>
      <c r="B626" s="22" t="str">
        <f>"01108"</f>
        <v>01108</v>
      </c>
      <c r="C626" s="22" t="str">
        <f t="shared" si="9"/>
        <v>'1108.HK'</v>
      </c>
      <c r="D626" s="22" t="s">
        <v>2189</v>
      </c>
      <c r="E626" s="22" t="s">
        <v>1224</v>
      </c>
      <c r="F626" s="22">
        <v>5397842690.6800003</v>
      </c>
      <c r="G626" s="22">
        <v>42</v>
      </c>
      <c r="H626" s="22" t="s">
        <v>2190</v>
      </c>
    </row>
    <row r="627" spans="1:8" x14ac:dyDescent="0.35">
      <c r="A627" s="22" t="s">
        <v>851</v>
      </c>
      <c r="B627" s="22" t="str">
        <f>"00581"</f>
        <v>00581</v>
      </c>
      <c r="C627" s="22" t="str">
        <f t="shared" si="9"/>
        <v>'0581.HK'</v>
      </c>
      <c r="D627" s="22" t="s">
        <v>2191</v>
      </c>
      <c r="E627" s="22" t="s">
        <v>1579</v>
      </c>
      <c r="F627" s="22">
        <v>5397725050</v>
      </c>
      <c r="G627" s="22">
        <v>116</v>
      </c>
      <c r="H627" s="22" t="s">
        <v>2192</v>
      </c>
    </row>
    <row r="628" spans="1:8" x14ac:dyDescent="0.35">
      <c r="A628" s="22" t="s">
        <v>851</v>
      </c>
      <c r="B628" s="22" t="str">
        <f>"06669"</f>
        <v>06669</v>
      </c>
      <c r="C628" s="22" t="str">
        <f t="shared" si="9"/>
        <v>'6669.HK'</v>
      </c>
      <c r="D628" s="22" t="s">
        <v>2193</v>
      </c>
      <c r="E628" s="22" t="s">
        <v>1232</v>
      </c>
      <c r="F628" s="22">
        <v>5390293741.1999998</v>
      </c>
      <c r="G628" s="22">
        <v>14</v>
      </c>
      <c r="H628" s="22" t="s">
        <v>2194</v>
      </c>
    </row>
    <row r="629" spans="1:8" x14ac:dyDescent="0.35">
      <c r="A629" s="22" t="s">
        <v>851</v>
      </c>
      <c r="B629" s="22" t="str">
        <f>"01942"</f>
        <v>01942</v>
      </c>
      <c r="C629" s="22" t="str">
        <f t="shared" si="9"/>
        <v>'1942.HK'</v>
      </c>
      <c r="D629" s="22" t="s">
        <v>2195</v>
      </c>
      <c r="E629" s="22" t="s">
        <v>1002</v>
      </c>
      <c r="F629" s="22">
        <v>5384945316.9499998</v>
      </c>
      <c r="G629" s="22">
        <v>4</v>
      </c>
      <c r="H629" s="22" t="s">
        <v>2196</v>
      </c>
    </row>
    <row r="630" spans="1:8" x14ac:dyDescent="0.35">
      <c r="A630" s="22" t="s">
        <v>851</v>
      </c>
      <c r="B630" s="22" t="str">
        <f>"06608"</f>
        <v>06608</v>
      </c>
      <c r="C630" s="22" t="str">
        <f t="shared" si="9"/>
        <v>'6608.HK'</v>
      </c>
      <c r="D630" s="22" t="s">
        <v>2197</v>
      </c>
      <c r="E630" s="22" t="s">
        <v>1202</v>
      </c>
      <c r="F630" s="22">
        <v>5363137905.4399996</v>
      </c>
      <c r="G630" s="22">
        <v>16</v>
      </c>
      <c r="H630" s="22" t="s">
        <v>2198</v>
      </c>
    </row>
    <row r="631" spans="1:8" x14ac:dyDescent="0.35">
      <c r="A631" s="22" t="s">
        <v>851</v>
      </c>
      <c r="B631" s="22" t="str">
        <f>"01230"</f>
        <v>01230</v>
      </c>
      <c r="C631" s="22" t="str">
        <f t="shared" si="9"/>
        <v>'1230.HK'</v>
      </c>
      <c r="D631" s="22" t="s">
        <v>2199</v>
      </c>
      <c r="E631" s="22" t="s">
        <v>1019</v>
      </c>
      <c r="F631" s="22">
        <v>5362483134.4799995</v>
      </c>
      <c r="G631" s="22">
        <v>25</v>
      </c>
      <c r="H631" s="22" t="s">
        <v>2200</v>
      </c>
    </row>
    <row r="632" spans="1:8" x14ac:dyDescent="0.35">
      <c r="A632" s="22" t="s">
        <v>851</v>
      </c>
      <c r="B632" s="22" t="str">
        <f>"01375"</f>
        <v>01375</v>
      </c>
      <c r="C632" s="22" t="str">
        <f t="shared" si="9"/>
        <v>'1375.HK'</v>
      </c>
      <c r="D632" s="22" t="s">
        <v>2201</v>
      </c>
      <c r="E632" s="22" t="s">
        <v>1130</v>
      </c>
      <c r="F632" s="22">
        <v>5339317405</v>
      </c>
      <c r="G632" s="22">
        <v>57</v>
      </c>
      <c r="H632" s="22" t="s">
        <v>2202</v>
      </c>
    </row>
    <row r="633" spans="1:8" x14ac:dyDescent="0.35">
      <c r="A633" s="22" t="s">
        <v>851</v>
      </c>
      <c r="B633" s="22" t="str">
        <f>"00315"</f>
        <v>00315</v>
      </c>
      <c r="C633" s="22" t="str">
        <f t="shared" si="9"/>
        <v>'0315.HK'</v>
      </c>
      <c r="D633" s="22" t="s">
        <v>2203</v>
      </c>
      <c r="E633" s="22" t="s">
        <v>865</v>
      </c>
      <c r="F633" s="22">
        <v>5316322730.8100004</v>
      </c>
      <c r="G633" s="22">
        <v>34</v>
      </c>
      <c r="H633" s="22" t="s">
        <v>2204</v>
      </c>
    </row>
    <row r="634" spans="1:8" x14ac:dyDescent="0.35">
      <c r="A634" s="22" t="s">
        <v>851</v>
      </c>
      <c r="B634" s="22" t="str">
        <f>"00062"</f>
        <v>00062</v>
      </c>
      <c r="C634" s="22" t="str">
        <f t="shared" si="9"/>
        <v>'0062.HK'</v>
      </c>
      <c r="D634" s="22" t="s">
        <v>2205</v>
      </c>
      <c r="E634" s="22" t="s">
        <v>948</v>
      </c>
      <c r="F634" s="22">
        <v>5300331237</v>
      </c>
      <c r="G634" s="22">
        <v>23</v>
      </c>
      <c r="H634" s="22" t="s">
        <v>2206</v>
      </c>
    </row>
    <row r="635" spans="1:8" x14ac:dyDescent="0.35">
      <c r="A635" s="22" t="s">
        <v>851</v>
      </c>
      <c r="B635" s="22" t="str">
        <f>"02068"</f>
        <v>02068</v>
      </c>
      <c r="C635" s="22" t="str">
        <f t="shared" si="9"/>
        <v>'2068.HK'</v>
      </c>
      <c r="D635" s="22" t="s">
        <v>2207</v>
      </c>
      <c r="E635" s="22" t="s">
        <v>1078</v>
      </c>
      <c r="F635" s="22">
        <v>5296729333.9300003</v>
      </c>
      <c r="G635" s="22">
        <v>32</v>
      </c>
      <c r="H635" s="22" t="s">
        <v>2208</v>
      </c>
    </row>
    <row r="636" spans="1:8" x14ac:dyDescent="0.35">
      <c r="A636" s="22" t="s">
        <v>851</v>
      </c>
      <c r="B636" s="22" t="str">
        <f>"01622"</f>
        <v>01622</v>
      </c>
      <c r="C636" s="22" t="str">
        <f t="shared" si="9"/>
        <v>'1622.HK'</v>
      </c>
      <c r="D636" s="22" t="s">
        <v>2209</v>
      </c>
      <c r="E636" s="22" t="s">
        <v>924</v>
      </c>
      <c r="F636" s="22">
        <v>5291897889.7799997</v>
      </c>
      <c r="G636" s="22">
        <v>42</v>
      </c>
      <c r="H636" s="22" t="s">
        <v>2210</v>
      </c>
    </row>
    <row r="637" spans="1:8" x14ac:dyDescent="0.35">
      <c r="A637" s="22" t="s">
        <v>851</v>
      </c>
      <c r="B637" s="22" t="str">
        <f>"00051"</f>
        <v>00051</v>
      </c>
      <c r="C637" s="22" t="str">
        <f t="shared" si="9"/>
        <v>'0051.HK'</v>
      </c>
      <c r="D637" s="22" t="s">
        <v>2211</v>
      </c>
      <c r="E637" s="22" t="s">
        <v>924</v>
      </c>
      <c r="F637" s="22">
        <v>5280187500</v>
      </c>
      <c r="G637" s="22">
        <v>16</v>
      </c>
      <c r="H637" s="22" t="s">
        <v>2212</v>
      </c>
    </row>
    <row r="638" spans="1:8" x14ac:dyDescent="0.35">
      <c r="A638" s="22" t="s">
        <v>851</v>
      </c>
      <c r="B638" s="22" t="str">
        <f>"01576"</f>
        <v>01576</v>
      </c>
      <c r="C638" s="22" t="str">
        <f t="shared" si="9"/>
        <v>'1576.HK'</v>
      </c>
      <c r="D638" s="22" t="s">
        <v>2213</v>
      </c>
      <c r="E638" s="22" t="s">
        <v>1367</v>
      </c>
      <c r="F638" s="22">
        <v>5260000000</v>
      </c>
      <c r="G638" s="22">
        <v>24</v>
      </c>
      <c r="H638" s="22" t="s">
        <v>2214</v>
      </c>
    </row>
    <row r="639" spans="1:8" x14ac:dyDescent="0.35">
      <c r="A639" s="22" t="s">
        <v>851</v>
      </c>
      <c r="B639" s="22" t="str">
        <f>"01830"</f>
        <v>01830</v>
      </c>
      <c r="C639" s="22" t="str">
        <f t="shared" si="9"/>
        <v>'1830.HK'</v>
      </c>
      <c r="D639" s="22" t="s">
        <v>2215</v>
      </c>
      <c r="E639" s="22" t="s">
        <v>1362</v>
      </c>
      <c r="F639" s="22">
        <v>5258593702.7799997</v>
      </c>
      <c r="G639" s="22">
        <v>131</v>
      </c>
      <c r="H639" s="22" t="s">
        <v>2216</v>
      </c>
    </row>
    <row r="640" spans="1:8" x14ac:dyDescent="0.35">
      <c r="A640" s="22" t="s">
        <v>851</v>
      </c>
      <c r="B640" s="22" t="str">
        <f>"00242"</f>
        <v>00242</v>
      </c>
      <c r="C640" s="22" t="str">
        <f t="shared" si="9"/>
        <v>'0242.HK'</v>
      </c>
      <c r="D640" s="22" t="s">
        <v>2217</v>
      </c>
      <c r="E640" s="22" t="s">
        <v>958</v>
      </c>
      <c r="F640" s="22">
        <v>5255460825.8999996</v>
      </c>
      <c r="G640" s="22">
        <v>46</v>
      </c>
      <c r="H640" s="22" t="s">
        <v>2218</v>
      </c>
    </row>
    <row r="641" spans="1:8" x14ac:dyDescent="0.35">
      <c r="A641" s="22" t="s">
        <v>851</v>
      </c>
      <c r="B641" s="22" t="str">
        <f>"00256"</f>
        <v>00256</v>
      </c>
      <c r="C641" s="22" t="str">
        <f t="shared" si="9"/>
        <v>'0256.HK'</v>
      </c>
      <c r="D641" s="22" t="s">
        <v>2219</v>
      </c>
      <c r="E641" s="22" t="s">
        <v>2220</v>
      </c>
      <c r="F641" s="22">
        <v>5222265847.1999998</v>
      </c>
      <c r="G641" s="22">
        <v>14</v>
      </c>
      <c r="H641" s="22" t="s">
        <v>2221</v>
      </c>
    </row>
    <row r="642" spans="1:8" x14ac:dyDescent="0.35">
      <c r="A642" s="22" t="s">
        <v>851</v>
      </c>
      <c r="B642" s="22" t="str">
        <f>"01478"</f>
        <v>01478</v>
      </c>
      <c r="C642" s="22" t="str">
        <f t="shared" si="9"/>
        <v>'1478.HK'</v>
      </c>
      <c r="D642" s="22" t="s">
        <v>2222</v>
      </c>
      <c r="E642" s="22" t="s">
        <v>1075</v>
      </c>
      <c r="F642" s="22">
        <v>5200123905.25</v>
      </c>
      <c r="G642" s="22">
        <v>70</v>
      </c>
      <c r="H642" s="22" t="s">
        <v>2223</v>
      </c>
    </row>
    <row r="643" spans="1:8" x14ac:dyDescent="0.35">
      <c r="A643" s="22" t="s">
        <v>851</v>
      </c>
      <c r="B643" s="22" t="str">
        <f>"01183"</f>
        <v>01183</v>
      </c>
      <c r="C643" s="22" t="str">
        <f t="shared" ref="C643:C706" si="10">CONCATENATE("'",RIGHT(B643,4),".HK'")</f>
        <v>'1183.HK'</v>
      </c>
      <c r="D643" s="22" t="s">
        <v>2224</v>
      </c>
      <c r="E643" s="22" t="s">
        <v>1634</v>
      </c>
      <c r="F643" s="22">
        <v>5194924507.5</v>
      </c>
      <c r="G643" s="22">
        <v>3</v>
      </c>
      <c r="H643" s="22" t="s">
        <v>2225</v>
      </c>
    </row>
    <row r="644" spans="1:8" x14ac:dyDescent="0.35">
      <c r="A644" s="22" t="s">
        <v>851</v>
      </c>
      <c r="B644" s="22" t="str">
        <f>"01672"</f>
        <v>01672</v>
      </c>
      <c r="C644" s="22" t="str">
        <f t="shared" si="10"/>
        <v>'1672.HK'</v>
      </c>
      <c r="D644" s="22" t="s">
        <v>2226</v>
      </c>
      <c r="E644" s="22" t="s">
        <v>941</v>
      </c>
      <c r="F644" s="22">
        <v>5174757840</v>
      </c>
      <c r="G644" s="22">
        <v>31</v>
      </c>
      <c r="H644" s="22" t="s">
        <v>2227</v>
      </c>
    </row>
    <row r="645" spans="1:8" x14ac:dyDescent="0.35">
      <c r="A645" s="22" t="s">
        <v>851</v>
      </c>
      <c r="B645" s="22" t="str">
        <f>"01198"</f>
        <v>01198</v>
      </c>
      <c r="C645" s="22" t="str">
        <f t="shared" si="10"/>
        <v>'1198.HK'</v>
      </c>
      <c r="D645" s="22" t="s">
        <v>2228</v>
      </c>
      <c r="E645" s="22" t="s">
        <v>1429</v>
      </c>
      <c r="F645" s="22">
        <v>5171137038.7399998</v>
      </c>
      <c r="G645" s="22">
        <v>15</v>
      </c>
      <c r="H645" s="22" t="s">
        <v>2229</v>
      </c>
    </row>
    <row r="646" spans="1:8" x14ac:dyDescent="0.35">
      <c r="A646" s="22" t="s">
        <v>851</v>
      </c>
      <c r="B646" s="22" t="str">
        <f>"00686"</f>
        <v>00686</v>
      </c>
      <c r="C646" s="22" t="str">
        <f t="shared" si="10"/>
        <v>'0686.HK'</v>
      </c>
      <c r="D646" s="22" t="s">
        <v>2230</v>
      </c>
      <c r="E646" s="22" t="s">
        <v>1127</v>
      </c>
      <c r="F646" s="22">
        <v>5136000190.9280005</v>
      </c>
      <c r="G646" s="22">
        <v>17</v>
      </c>
      <c r="H646" s="22" t="s">
        <v>2231</v>
      </c>
    </row>
    <row r="647" spans="1:8" x14ac:dyDescent="0.35">
      <c r="A647" s="22" t="s">
        <v>851</v>
      </c>
      <c r="B647" s="22" t="str">
        <f>"01065"</f>
        <v>01065</v>
      </c>
      <c r="C647" s="22" t="str">
        <f t="shared" si="10"/>
        <v>'1065.HK'</v>
      </c>
      <c r="D647" s="22" t="s">
        <v>2232</v>
      </c>
      <c r="E647" s="22" t="s">
        <v>1255</v>
      </c>
      <c r="F647" s="22">
        <v>5135267137.9499998</v>
      </c>
      <c r="G647" s="22">
        <v>58</v>
      </c>
      <c r="H647" s="22" t="s">
        <v>2233</v>
      </c>
    </row>
    <row r="648" spans="1:8" x14ac:dyDescent="0.35">
      <c r="A648" s="22" t="s">
        <v>851</v>
      </c>
      <c r="B648" s="22" t="str">
        <f>"02257"</f>
        <v>02257</v>
      </c>
      <c r="C648" s="22" t="str">
        <f t="shared" si="10"/>
        <v>'2257.HK'</v>
      </c>
      <c r="D648" s="22" t="s">
        <v>2234</v>
      </c>
      <c r="E648" s="22" t="s">
        <v>941</v>
      </c>
      <c r="F648" s="22">
        <v>5093328672</v>
      </c>
      <c r="G648" s="22">
        <v>2</v>
      </c>
      <c r="H648" s="22" t="s">
        <v>2235</v>
      </c>
    </row>
    <row r="649" spans="1:8" x14ac:dyDescent="0.35">
      <c r="A649" s="22" t="s">
        <v>851</v>
      </c>
      <c r="B649" s="22" t="str">
        <f>"00035"</f>
        <v>00035</v>
      </c>
      <c r="C649" s="22" t="str">
        <f t="shared" si="10"/>
        <v>'0035.HK'</v>
      </c>
      <c r="D649" s="22" t="s">
        <v>2236</v>
      </c>
      <c r="E649" s="22" t="s">
        <v>924</v>
      </c>
      <c r="F649" s="22">
        <v>5054608175.6000004</v>
      </c>
      <c r="G649" s="22">
        <v>43</v>
      </c>
      <c r="H649" s="22" t="s">
        <v>2237</v>
      </c>
    </row>
    <row r="650" spans="1:8" x14ac:dyDescent="0.35">
      <c r="A650" s="22" t="s">
        <v>851</v>
      </c>
      <c r="B650" s="22" t="str">
        <f>"01137"</f>
        <v>01137</v>
      </c>
      <c r="C650" s="22" t="str">
        <f t="shared" si="10"/>
        <v>'1137.HK'</v>
      </c>
      <c r="D650" s="22" t="s">
        <v>2238</v>
      </c>
      <c r="E650" s="22" t="s">
        <v>853</v>
      </c>
      <c r="F650" s="22">
        <v>5048350481.71</v>
      </c>
      <c r="G650" s="22">
        <v>18</v>
      </c>
      <c r="H650" s="22" t="s">
        <v>2239</v>
      </c>
    </row>
    <row r="651" spans="1:8" x14ac:dyDescent="0.35">
      <c r="A651" s="22" t="s">
        <v>851</v>
      </c>
      <c r="B651" s="22" t="str">
        <f>"02098"</f>
        <v>02098</v>
      </c>
      <c r="C651" s="22" t="str">
        <f t="shared" si="10"/>
        <v>'2098.HK'</v>
      </c>
      <c r="D651" s="22" t="s">
        <v>2240</v>
      </c>
      <c r="E651" s="22" t="s">
        <v>1086</v>
      </c>
      <c r="F651" s="22">
        <v>5021799849</v>
      </c>
      <c r="G651" s="22">
        <v>23</v>
      </c>
      <c r="H651" s="22" t="s">
        <v>2241</v>
      </c>
    </row>
    <row r="652" spans="1:8" x14ac:dyDescent="0.35">
      <c r="A652" s="22" t="s">
        <v>851</v>
      </c>
      <c r="B652" s="22" t="str">
        <f>"00302"</f>
        <v>00302</v>
      </c>
      <c r="C652" s="22" t="str">
        <f t="shared" si="10"/>
        <v>'0302.HK'</v>
      </c>
      <c r="D652" s="22" t="s">
        <v>2242</v>
      </c>
      <c r="E652" s="22" t="s">
        <v>910</v>
      </c>
      <c r="F652" s="22">
        <v>4982490000</v>
      </c>
      <c r="G652" s="22">
        <v>39</v>
      </c>
      <c r="H652" s="22" t="s">
        <v>2243</v>
      </c>
    </row>
    <row r="653" spans="1:8" x14ac:dyDescent="0.35">
      <c r="A653" s="22" t="s">
        <v>851</v>
      </c>
      <c r="B653" s="22" t="str">
        <f>"01277"</f>
        <v>01277</v>
      </c>
      <c r="C653" s="22" t="str">
        <f t="shared" si="10"/>
        <v>'1277.HK'</v>
      </c>
      <c r="D653" s="22" t="s">
        <v>2244</v>
      </c>
      <c r="E653" s="22" t="s">
        <v>904</v>
      </c>
      <c r="F653" s="22">
        <v>4973700000</v>
      </c>
      <c r="G653" s="22">
        <v>22</v>
      </c>
      <c r="H653" s="22" t="s">
        <v>2245</v>
      </c>
    </row>
    <row r="654" spans="1:8" x14ac:dyDescent="0.35">
      <c r="A654" s="22" t="s">
        <v>851</v>
      </c>
      <c r="B654" s="22" t="str">
        <f>"02233"</f>
        <v>02233</v>
      </c>
      <c r="C654" s="22" t="str">
        <f t="shared" si="10"/>
        <v>'2233.HK'</v>
      </c>
      <c r="D654" s="22" t="s">
        <v>2246</v>
      </c>
      <c r="E654" s="22" t="s">
        <v>1016</v>
      </c>
      <c r="F654" s="22">
        <v>4949383366.1999998</v>
      </c>
      <c r="G654" s="22">
        <v>152</v>
      </c>
      <c r="H654" s="22" t="s">
        <v>2247</v>
      </c>
    </row>
    <row r="655" spans="1:8" x14ac:dyDescent="0.35">
      <c r="A655" s="22" t="s">
        <v>851</v>
      </c>
      <c r="B655" s="22" t="str">
        <f>"01866"</f>
        <v>01866</v>
      </c>
      <c r="C655" s="22" t="str">
        <f t="shared" si="10"/>
        <v>'1866.HK'</v>
      </c>
      <c r="D655" s="22" t="s">
        <v>2248</v>
      </c>
      <c r="E655" s="22" t="s">
        <v>1903</v>
      </c>
      <c r="F655" s="22">
        <v>4949327630</v>
      </c>
      <c r="G655" s="22">
        <v>39</v>
      </c>
      <c r="H655" s="22" t="s">
        <v>2249</v>
      </c>
    </row>
    <row r="656" spans="1:8" x14ac:dyDescent="0.35">
      <c r="A656" s="22" t="s">
        <v>851</v>
      </c>
      <c r="B656" s="22" t="str">
        <f>"00612"</f>
        <v>00612</v>
      </c>
      <c r="C656" s="22" t="str">
        <f t="shared" si="10"/>
        <v>'0612.HK'</v>
      </c>
      <c r="D656" s="22" t="s">
        <v>2250</v>
      </c>
      <c r="E656" s="22" t="s">
        <v>964</v>
      </c>
      <c r="F656" s="22">
        <v>4857391081.8000002</v>
      </c>
      <c r="G656" s="22">
        <v>6</v>
      </c>
      <c r="H656" s="22" t="s">
        <v>2251</v>
      </c>
    </row>
    <row r="657" spans="1:8" x14ac:dyDescent="0.35">
      <c r="A657" s="22" t="s">
        <v>851</v>
      </c>
      <c r="B657" s="22" t="str">
        <f>"00127"</f>
        <v>00127</v>
      </c>
      <c r="C657" s="22" t="str">
        <f t="shared" si="10"/>
        <v>'0127.HK'</v>
      </c>
      <c r="D657" s="22" t="s">
        <v>2252</v>
      </c>
      <c r="E657" s="22" t="s">
        <v>1028</v>
      </c>
      <c r="F657" s="22">
        <v>4788123888.29</v>
      </c>
      <c r="G657" s="22">
        <v>26</v>
      </c>
      <c r="H657" s="22" t="s">
        <v>2253</v>
      </c>
    </row>
    <row r="658" spans="1:8" x14ac:dyDescent="0.35">
      <c r="A658" s="22" t="s">
        <v>851</v>
      </c>
      <c r="B658" s="22" t="str">
        <f>"03306"</f>
        <v>03306</v>
      </c>
      <c r="C658" s="22" t="str">
        <f t="shared" si="10"/>
        <v>'3306.HK'</v>
      </c>
      <c r="D658" s="22" t="s">
        <v>2254</v>
      </c>
      <c r="E658" s="22" t="s">
        <v>889</v>
      </c>
      <c r="F658" s="22">
        <v>4777687500</v>
      </c>
      <c r="G658" s="22">
        <v>88</v>
      </c>
      <c r="H658" s="22" t="s">
        <v>2255</v>
      </c>
    </row>
    <row r="659" spans="1:8" x14ac:dyDescent="0.35">
      <c r="A659" s="22" t="s">
        <v>851</v>
      </c>
      <c r="B659" s="22" t="str">
        <f>"06100"</f>
        <v>06100</v>
      </c>
      <c r="C659" s="22" t="str">
        <f t="shared" si="10"/>
        <v>'6100.HK'</v>
      </c>
      <c r="D659" s="22" t="s">
        <v>2256</v>
      </c>
      <c r="E659" s="22" t="s">
        <v>1671</v>
      </c>
      <c r="F659" s="22">
        <v>4775490483.3999996</v>
      </c>
      <c r="G659" s="22">
        <v>17</v>
      </c>
      <c r="H659" s="22" t="s">
        <v>2257</v>
      </c>
    </row>
    <row r="660" spans="1:8" x14ac:dyDescent="0.35">
      <c r="A660" s="22" t="s">
        <v>851</v>
      </c>
      <c r="B660" s="22" t="str">
        <f>"00906"</f>
        <v>00906</v>
      </c>
      <c r="C660" s="22" t="str">
        <f t="shared" si="10"/>
        <v>'0906.HK'</v>
      </c>
      <c r="D660" s="22" t="s">
        <v>2258</v>
      </c>
      <c r="E660" s="22" t="s">
        <v>2259</v>
      </c>
      <c r="F660" s="22">
        <v>4765450440</v>
      </c>
      <c r="G660" s="22">
        <v>29</v>
      </c>
      <c r="H660" s="22" t="s">
        <v>2260</v>
      </c>
    </row>
    <row r="661" spans="1:8" x14ac:dyDescent="0.35">
      <c r="A661" s="22" t="s">
        <v>851</v>
      </c>
      <c r="B661" s="22" t="str">
        <f>"06616"</f>
        <v>06616</v>
      </c>
      <c r="C661" s="22" t="str">
        <f t="shared" si="10"/>
        <v>'6616.HK'</v>
      </c>
      <c r="D661" s="22" t="s">
        <v>2261</v>
      </c>
      <c r="E661" s="22" t="s">
        <v>1600</v>
      </c>
      <c r="F661" s="22">
        <v>4755136708.1400003</v>
      </c>
      <c r="G661" s="22">
        <v>2</v>
      </c>
      <c r="H661" s="22" t="s">
        <v>2262</v>
      </c>
    </row>
    <row r="662" spans="1:8" x14ac:dyDescent="0.35">
      <c r="A662" s="22" t="s">
        <v>851</v>
      </c>
      <c r="B662" s="22" t="str">
        <f>"01501"</f>
        <v>01501</v>
      </c>
      <c r="C662" s="22" t="str">
        <f t="shared" si="10"/>
        <v>'1501.HK'</v>
      </c>
      <c r="D662" s="22" t="s">
        <v>2263</v>
      </c>
      <c r="E662" s="22" t="s">
        <v>1232</v>
      </c>
      <c r="F662" s="22">
        <v>4754400000</v>
      </c>
      <c r="G662" s="22">
        <v>15</v>
      </c>
      <c r="H662" s="22" t="s">
        <v>2264</v>
      </c>
    </row>
    <row r="663" spans="1:8" x14ac:dyDescent="0.35">
      <c r="A663" s="22" t="s">
        <v>851</v>
      </c>
      <c r="B663" s="22" t="str">
        <f>"00369"</f>
        <v>00369</v>
      </c>
      <c r="C663" s="22" t="str">
        <f t="shared" si="10"/>
        <v>'0369.HK'</v>
      </c>
      <c r="D663" s="22" t="s">
        <v>2265</v>
      </c>
      <c r="E663" s="22" t="s">
        <v>924</v>
      </c>
      <c r="F663" s="22">
        <v>4745899476.5</v>
      </c>
      <c r="G663" s="22">
        <v>12</v>
      </c>
      <c r="H663" s="22" t="s">
        <v>2266</v>
      </c>
    </row>
    <row r="664" spans="1:8" x14ac:dyDescent="0.35">
      <c r="A664" s="22" t="s">
        <v>851</v>
      </c>
      <c r="B664" s="22" t="str">
        <f>"00207"</f>
        <v>00207</v>
      </c>
      <c r="C664" s="22" t="str">
        <f t="shared" si="10"/>
        <v>'0207.HK'</v>
      </c>
      <c r="D664" s="22" t="s">
        <v>2267</v>
      </c>
      <c r="E664" s="22" t="s">
        <v>1028</v>
      </c>
      <c r="F664" s="22">
        <v>4696271203.1400003</v>
      </c>
      <c r="G664" s="22">
        <v>84</v>
      </c>
      <c r="H664" s="22" t="s">
        <v>2268</v>
      </c>
    </row>
    <row r="665" spans="1:8" x14ac:dyDescent="0.35">
      <c r="A665" s="22" t="s">
        <v>851</v>
      </c>
      <c r="B665" s="22" t="str">
        <f>"01763"</f>
        <v>01763</v>
      </c>
      <c r="C665" s="22" t="str">
        <f t="shared" si="10"/>
        <v>'1763.HK'</v>
      </c>
      <c r="D665" s="22" t="s">
        <v>2269</v>
      </c>
      <c r="E665" s="22" t="s">
        <v>969</v>
      </c>
      <c r="F665" s="22">
        <v>4695763532</v>
      </c>
      <c r="G665" s="22">
        <v>46</v>
      </c>
      <c r="H665" s="22" t="s">
        <v>2270</v>
      </c>
    </row>
    <row r="666" spans="1:8" x14ac:dyDescent="0.35">
      <c r="A666" s="22" t="s">
        <v>851</v>
      </c>
      <c r="B666" s="22" t="str">
        <f>"01911"</f>
        <v>01911</v>
      </c>
      <c r="C666" s="22" t="str">
        <f t="shared" si="10"/>
        <v>'1911.HK'</v>
      </c>
      <c r="D666" s="22" t="s">
        <v>2271</v>
      </c>
      <c r="E666" s="22" t="s">
        <v>964</v>
      </c>
      <c r="F666" s="22">
        <v>4672229718.7200003</v>
      </c>
      <c r="G666" s="22">
        <v>30</v>
      </c>
      <c r="H666" s="22" t="s">
        <v>2272</v>
      </c>
    </row>
    <row r="667" spans="1:8" x14ac:dyDescent="0.35">
      <c r="A667" s="22" t="s">
        <v>851</v>
      </c>
      <c r="B667" s="22" t="str">
        <f>"01596"</f>
        <v>01596</v>
      </c>
      <c r="C667" s="22" t="str">
        <f t="shared" si="10"/>
        <v>'1596.HK'</v>
      </c>
      <c r="D667" s="22" t="s">
        <v>2273</v>
      </c>
      <c r="E667" s="22" t="s">
        <v>1109</v>
      </c>
      <c r="F667" s="22">
        <v>4668768000</v>
      </c>
      <c r="G667" s="22">
        <v>7</v>
      </c>
      <c r="H667" s="22" t="s">
        <v>2274</v>
      </c>
    </row>
    <row r="668" spans="1:8" x14ac:dyDescent="0.35">
      <c r="A668" s="22" t="s">
        <v>851</v>
      </c>
      <c r="B668" s="22" t="str">
        <f>"06989"</f>
        <v>06989</v>
      </c>
      <c r="C668" s="22" t="str">
        <f t="shared" si="10"/>
        <v>'6989.HK'</v>
      </c>
      <c r="D668" s="22" t="s">
        <v>2275</v>
      </c>
      <c r="E668" s="22" t="s">
        <v>1104</v>
      </c>
      <c r="F668" s="22">
        <v>4649525880</v>
      </c>
      <c r="G668" s="22">
        <v>34</v>
      </c>
      <c r="H668" s="22" t="s">
        <v>2276</v>
      </c>
    </row>
    <row r="669" spans="1:8" x14ac:dyDescent="0.35">
      <c r="A669" s="22" t="s">
        <v>851</v>
      </c>
      <c r="B669" s="22" t="str">
        <f>"00596"</f>
        <v>00596</v>
      </c>
      <c r="C669" s="22" t="str">
        <f t="shared" si="10"/>
        <v>'0596.HK'</v>
      </c>
      <c r="D669" s="22" t="s">
        <v>2277</v>
      </c>
      <c r="E669" s="22" t="s">
        <v>910</v>
      </c>
      <c r="F669" s="22">
        <v>4624778960.5500002</v>
      </c>
      <c r="G669" s="22">
        <v>28</v>
      </c>
      <c r="H669" s="22" t="s">
        <v>2278</v>
      </c>
    </row>
    <row r="670" spans="1:8" x14ac:dyDescent="0.35">
      <c r="A670" s="22" t="s">
        <v>851</v>
      </c>
      <c r="B670" s="22" t="str">
        <f>"09939"</f>
        <v>09939</v>
      </c>
      <c r="C670" s="22" t="str">
        <f t="shared" si="10"/>
        <v>'9939.HK'</v>
      </c>
      <c r="D670" s="22" t="s">
        <v>2279</v>
      </c>
      <c r="E670" s="22" t="s">
        <v>969</v>
      </c>
      <c r="F670" s="22">
        <v>4582395904</v>
      </c>
      <c r="G670" s="22">
        <v>17</v>
      </c>
      <c r="H670" s="22" t="s">
        <v>2280</v>
      </c>
    </row>
    <row r="671" spans="1:8" x14ac:dyDescent="0.35">
      <c r="A671" s="22" t="s">
        <v>851</v>
      </c>
      <c r="B671" s="22" t="str">
        <f>"01234"</f>
        <v>01234</v>
      </c>
      <c r="C671" s="22" t="str">
        <f t="shared" si="10"/>
        <v>'1234.HK'</v>
      </c>
      <c r="D671" s="22" t="s">
        <v>2281</v>
      </c>
      <c r="E671" s="22" t="s">
        <v>889</v>
      </c>
      <c r="F671" s="22">
        <v>4574392390.5799999</v>
      </c>
      <c r="G671" s="22">
        <v>94</v>
      </c>
      <c r="H671" s="22" t="s">
        <v>2282</v>
      </c>
    </row>
    <row r="672" spans="1:8" x14ac:dyDescent="0.35">
      <c r="A672" s="22" t="s">
        <v>851</v>
      </c>
      <c r="B672" s="22" t="str">
        <f>"01881"</f>
        <v>01881</v>
      </c>
      <c r="C672" s="22" t="str">
        <f t="shared" si="10"/>
        <v>'1881.HK'</v>
      </c>
      <c r="D672" s="22" t="s">
        <v>2283</v>
      </c>
      <c r="F672" s="22">
        <v>4527829352.71</v>
      </c>
      <c r="G672" s="22">
        <v>50</v>
      </c>
      <c r="H672" s="22" t="s">
        <v>2284</v>
      </c>
    </row>
    <row r="673" spans="1:8" x14ac:dyDescent="0.35">
      <c r="A673" s="22" t="s">
        <v>851</v>
      </c>
      <c r="B673" s="22" t="str">
        <f>"01760"</f>
        <v>01760</v>
      </c>
      <c r="C673" s="22" t="str">
        <f t="shared" si="10"/>
        <v>'1760.HK'</v>
      </c>
      <c r="D673" s="22" t="s">
        <v>2285</v>
      </c>
      <c r="E673" s="22" t="s">
        <v>1122</v>
      </c>
      <c r="F673" s="22">
        <v>4456412590</v>
      </c>
      <c r="G673" s="22">
        <v>3</v>
      </c>
      <c r="H673" s="22" t="s">
        <v>2286</v>
      </c>
    </row>
    <row r="674" spans="1:8" x14ac:dyDescent="0.35">
      <c r="A674" s="22" t="s">
        <v>851</v>
      </c>
      <c r="B674" s="22" t="str">
        <f>"01696"</f>
        <v>01696</v>
      </c>
      <c r="C674" s="22" t="str">
        <f t="shared" si="10"/>
        <v>'1696.HK'</v>
      </c>
      <c r="D674" s="22" t="s">
        <v>2287</v>
      </c>
      <c r="E674" s="22" t="s">
        <v>1232</v>
      </c>
      <c r="F674" s="22">
        <v>4345821263.6999998</v>
      </c>
      <c r="G674" s="22">
        <v>23</v>
      </c>
      <c r="H674" s="22" t="s">
        <v>2288</v>
      </c>
    </row>
    <row r="675" spans="1:8" x14ac:dyDescent="0.35">
      <c r="A675" s="22" t="s">
        <v>851</v>
      </c>
      <c r="B675" s="22" t="str">
        <f>"01966"</f>
        <v>01966</v>
      </c>
      <c r="C675" s="22" t="str">
        <f t="shared" si="10"/>
        <v>'1966.HK'</v>
      </c>
      <c r="D675" s="22" t="s">
        <v>2289</v>
      </c>
      <c r="E675" s="22" t="s">
        <v>924</v>
      </c>
      <c r="F675" s="22">
        <v>4307445848.5200005</v>
      </c>
      <c r="G675" s="22">
        <v>88</v>
      </c>
      <c r="H675" s="22" t="s">
        <v>2290</v>
      </c>
    </row>
    <row r="676" spans="1:8" x14ac:dyDescent="0.35">
      <c r="A676" s="22" t="s">
        <v>851</v>
      </c>
      <c r="B676" s="22" t="str">
        <f>"02199"</f>
        <v>02199</v>
      </c>
      <c r="C676" s="22" t="str">
        <f t="shared" si="10"/>
        <v>'2199.HK'</v>
      </c>
      <c r="D676" s="22" t="s">
        <v>2291</v>
      </c>
      <c r="E676" s="22" t="s">
        <v>889</v>
      </c>
      <c r="F676" s="22">
        <v>4284875000</v>
      </c>
      <c r="G676" s="22">
        <v>18</v>
      </c>
      <c r="H676" s="22" t="s">
        <v>2292</v>
      </c>
    </row>
    <row r="677" spans="1:8" x14ac:dyDescent="0.35">
      <c r="A677" s="22" t="s">
        <v>851</v>
      </c>
      <c r="B677" s="22" t="str">
        <f>"00038"</f>
        <v>00038</v>
      </c>
      <c r="C677" s="22" t="str">
        <f t="shared" si="10"/>
        <v>'0038.HK'</v>
      </c>
      <c r="D677" s="22" t="s">
        <v>2293</v>
      </c>
      <c r="E677" s="22" t="s">
        <v>1395</v>
      </c>
      <c r="F677" s="22">
        <v>4269852045</v>
      </c>
      <c r="G677" s="22">
        <v>39</v>
      </c>
      <c r="H677" s="22" t="s">
        <v>2294</v>
      </c>
    </row>
    <row r="678" spans="1:8" x14ac:dyDescent="0.35">
      <c r="A678" s="22" t="s">
        <v>851</v>
      </c>
      <c r="B678" s="22" t="str">
        <f>"02190"</f>
        <v>02190</v>
      </c>
      <c r="C678" s="22" t="str">
        <f t="shared" si="10"/>
        <v>'2190.HK'</v>
      </c>
      <c r="D678" s="22" t="s">
        <v>2295</v>
      </c>
      <c r="E678" s="22" t="s">
        <v>1232</v>
      </c>
      <c r="F678" s="22">
        <v>4268028852.8400002</v>
      </c>
      <c r="G678" s="22">
        <v>11</v>
      </c>
      <c r="H678" s="22" t="s">
        <v>2296</v>
      </c>
    </row>
    <row r="679" spans="1:8" x14ac:dyDescent="0.35">
      <c r="A679" s="22" t="s">
        <v>851</v>
      </c>
      <c r="B679" s="22" t="str">
        <f>"06830"</f>
        <v>06830</v>
      </c>
      <c r="C679" s="22" t="str">
        <f t="shared" si="10"/>
        <v>'6830.HK'</v>
      </c>
      <c r="D679" s="22" t="s">
        <v>2297</v>
      </c>
      <c r="E679" s="22" t="s">
        <v>1122</v>
      </c>
      <c r="F679" s="22">
        <v>4263757058</v>
      </c>
      <c r="G679" s="22">
        <v>7</v>
      </c>
      <c r="H679" s="22" t="s">
        <v>2298</v>
      </c>
    </row>
    <row r="680" spans="1:8" x14ac:dyDescent="0.35">
      <c r="A680" s="22" t="s">
        <v>851</v>
      </c>
      <c r="B680" s="22" t="str">
        <f>"01709"</f>
        <v>01709</v>
      </c>
      <c r="C680" s="22" t="str">
        <f t="shared" si="10"/>
        <v>'1709.HK'</v>
      </c>
      <c r="D680" s="22" t="s">
        <v>2299</v>
      </c>
      <c r="E680" s="22" t="s">
        <v>1130</v>
      </c>
      <c r="F680" s="22">
        <v>4231012978.5</v>
      </c>
      <c r="G680" s="22">
        <v>3</v>
      </c>
      <c r="H680" s="22" t="s">
        <v>2300</v>
      </c>
    </row>
    <row r="681" spans="1:8" x14ac:dyDescent="0.35">
      <c r="A681" s="22" t="s">
        <v>851</v>
      </c>
      <c r="B681" s="22" t="str">
        <f>"09909"</f>
        <v>09909</v>
      </c>
      <c r="C681" s="22" t="str">
        <f t="shared" si="10"/>
        <v>'9909.HK'</v>
      </c>
      <c r="D681" s="22" t="s">
        <v>2301</v>
      </c>
      <c r="E681" s="22" t="s">
        <v>1104</v>
      </c>
      <c r="F681" s="22">
        <v>4230282000</v>
      </c>
      <c r="G681" s="22">
        <v>59</v>
      </c>
      <c r="H681" s="22" t="s">
        <v>2302</v>
      </c>
    </row>
    <row r="682" spans="1:8" x14ac:dyDescent="0.35">
      <c r="A682" s="22" t="s">
        <v>851</v>
      </c>
      <c r="B682" s="22" t="str">
        <f>"01733"</f>
        <v>01733</v>
      </c>
      <c r="C682" s="22" t="str">
        <f t="shared" si="10"/>
        <v>'1733.HK'</v>
      </c>
      <c r="D682" s="22" t="s">
        <v>2303</v>
      </c>
      <c r="E682" s="22" t="s">
        <v>904</v>
      </c>
      <c r="F682" s="22">
        <v>4215846754.1399999</v>
      </c>
      <c r="G682" s="22">
        <v>10</v>
      </c>
      <c r="H682" s="22" t="s">
        <v>2304</v>
      </c>
    </row>
    <row r="683" spans="1:8" x14ac:dyDescent="0.35">
      <c r="A683" s="22" t="s">
        <v>851</v>
      </c>
      <c r="B683" s="22" t="str">
        <f>"01286"</f>
        <v>01286</v>
      </c>
      <c r="C683" s="22" t="str">
        <f t="shared" si="10"/>
        <v>'1286.HK'</v>
      </c>
      <c r="D683" s="22" t="s">
        <v>2305</v>
      </c>
      <c r="E683" s="22" t="s">
        <v>1224</v>
      </c>
      <c r="F683" s="22">
        <v>4180919340</v>
      </c>
      <c r="G683" s="22">
        <v>6</v>
      </c>
      <c r="H683" s="22" t="s">
        <v>2306</v>
      </c>
    </row>
    <row r="684" spans="1:8" x14ac:dyDescent="0.35">
      <c r="A684" s="22" t="s">
        <v>851</v>
      </c>
      <c r="B684" s="22" t="str">
        <f>"00376"</f>
        <v>00376</v>
      </c>
      <c r="C684" s="22" t="str">
        <f t="shared" si="10"/>
        <v>'0376.HK'</v>
      </c>
      <c r="D684" s="22" t="s">
        <v>2307</v>
      </c>
      <c r="E684" s="22" t="s">
        <v>870</v>
      </c>
      <c r="F684" s="22">
        <v>4177431006.8400002</v>
      </c>
      <c r="G684" s="22">
        <v>10</v>
      </c>
      <c r="H684" s="22" t="s">
        <v>2308</v>
      </c>
    </row>
    <row r="685" spans="1:8" x14ac:dyDescent="0.35">
      <c r="A685" s="22" t="s">
        <v>851</v>
      </c>
      <c r="B685" s="22" t="str">
        <f>"01257"</f>
        <v>01257</v>
      </c>
      <c r="C685" s="22" t="str">
        <f t="shared" si="10"/>
        <v>'1257.HK'</v>
      </c>
      <c r="D685" s="22" t="s">
        <v>2309</v>
      </c>
      <c r="E685" s="22" t="s">
        <v>1127</v>
      </c>
      <c r="F685" s="22">
        <v>4173477560</v>
      </c>
      <c r="G685" s="22">
        <v>75</v>
      </c>
      <c r="H685" s="22" t="s">
        <v>2310</v>
      </c>
    </row>
    <row r="686" spans="1:8" x14ac:dyDescent="0.35">
      <c r="A686" s="22" t="s">
        <v>851</v>
      </c>
      <c r="B686" s="22" t="str">
        <f>"01969"</f>
        <v>01969</v>
      </c>
      <c r="C686" s="22" t="str">
        <f t="shared" si="10"/>
        <v>'1969.HK'</v>
      </c>
      <c r="D686" s="22" t="s">
        <v>2311</v>
      </c>
      <c r="E686" s="22" t="s">
        <v>1270</v>
      </c>
      <c r="F686" s="22">
        <v>4164000000</v>
      </c>
      <c r="G686" s="22">
        <v>11</v>
      </c>
      <c r="H686" s="22" t="s">
        <v>2312</v>
      </c>
    </row>
    <row r="687" spans="1:8" x14ac:dyDescent="0.35">
      <c r="A687" s="22" t="s">
        <v>851</v>
      </c>
      <c r="B687" s="22" t="str">
        <f>"06889"</f>
        <v>06889</v>
      </c>
      <c r="C687" s="22" t="str">
        <f t="shared" si="10"/>
        <v>'6889.HK'</v>
      </c>
      <c r="D687" s="22" t="s">
        <v>2313</v>
      </c>
      <c r="E687" s="22" t="s">
        <v>961</v>
      </c>
      <c r="F687" s="22">
        <v>4140666550.8800001</v>
      </c>
      <c r="G687" s="22">
        <v>14</v>
      </c>
      <c r="H687" s="22" t="s">
        <v>2314</v>
      </c>
    </row>
    <row r="688" spans="1:8" x14ac:dyDescent="0.35">
      <c r="A688" s="22" t="s">
        <v>851</v>
      </c>
      <c r="B688" s="22" t="str">
        <f>"01003"</f>
        <v>01003</v>
      </c>
      <c r="C688" s="22" t="str">
        <f t="shared" si="10"/>
        <v>'1003.HK'</v>
      </c>
      <c r="D688" s="22" t="s">
        <v>2315</v>
      </c>
      <c r="E688" s="22" t="s">
        <v>1185</v>
      </c>
      <c r="F688" s="22">
        <v>4131813769.0599999</v>
      </c>
      <c r="G688" s="22">
        <v>4</v>
      </c>
      <c r="H688" s="22" t="s">
        <v>2316</v>
      </c>
    </row>
    <row r="689" spans="1:8" x14ac:dyDescent="0.35">
      <c r="A689" s="22" t="s">
        <v>851</v>
      </c>
      <c r="B689" s="22" t="str">
        <f>"02235"</f>
        <v>02235</v>
      </c>
      <c r="C689" s="22" t="str">
        <f t="shared" si="10"/>
        <v>'2235.HK'</v>
      </c>
      <c r="D689" s="22" t="s">
        <v>2317</v>
      </c>
      <c r="E689" s="22" t="s">
        <v>1232</v>
      </c>
      <c r="F689" s="22">
        <v>4121188368</v>
      </c>
      <c r="G689" s="22">
        <v>6</v>
      </c>
      <c r="H689" s="22" t="s">
        <v>2318</v>
      </c>
    </row>
    <row r="690" spans="1:8" x14ac:dyDescent="0.35">
      <c r="A690" s="22" t="s">
        <v>851</v>
      </c>
      <c r="B690" s="22" t="str">
        <f>"02425"</f>
        <v>02425</v>
      </c>
      <c r="C690" s="22" t="str">
        <f t="shared" si="10"/>
        <v>'2425.HK'</v>
      </c>
      <c r="D690" s="22" t="s">
        <v>2319</v>
      </c>
      <c r="F690" s="22">
        <v>4115176800</v>
      </c>
      <c r="H690" s="22" t="s">
        <v>2320</v>
      </c>
    </row>
    <row r="691" spans="1:8" x14ac:dyDescent="0.35">
      <c r="A691" s="22" t="s">
        <v>851</v>
      </c>
      <c r="B691" s="22" t="str">
        <f>"00289"</f>
        <v>00289</v>
      </c>
      <c r="C691" s="22" t="str">
        <f t="shared" si="10"/>
        <v>'0289.HK'</v>
      </c>
      <c r="D691" s="22" t="s">
        <v>2321</v>
      </c>
      <c r="E691" s="22" t="s">
        <v>1485</v>
      </c>
      <c r="F691" s="22">
        <v>4102127100</v>
      </c>
      <c r="G691" s="22">
        <v>13</v>
      </c>
      <c r="H691" s="22" t="s">
        <v>2322</v>
      </c>
    </row>
    <row r="692" spans="1:8" x14ac:dyDescent="0.35">
      <c r="A692" s="22" t="s">
        <v>851</v>
      </c>
      <c r="B692" s="22" t="str">
        <f>"00032"</f>
        <v>00032</v>
      </c>
      <c r="C692" s="22" t="str">
        <f t="shared" si="10"/>
        <v>'0032.HK'</v>
      </c>
      <c r="D692" s="22" t="s">
        <v>2323</v>
      </c>
      <c r="E692" s="22" t="s">
        <v>1270</v>
      </c>
      <c r="F692" s="22">
        <v>4062301445.4000001</v>
      </c>
      <c r="G692" s="22">
        <v>13</v>
      </c>
      <c r="H692" s="22" t="s">
        <v>2324</v>
      </c>
    </row>
    <row r="693" spans="1:8" x14ac:dyDescent="0.35">
      <c r="A693" s="22" t="s">
        <v>851</v>
      </c>
      <c r="B693" s="22" t="str">
        <f>"09983"</f>
        <v>09983</v>
      </c>
      <c r="C693" s="22" t="str">
        <f t="shared" si="10"/>
        <v>'9983.HK'</v>
      </c>
      <c r="D693" s="22" t="s">
        <v>2325</v>
      </c>
      <c r="E693" s="22" t="s">
        <v>1104</v>
      </c>
      <c r="F693" s="22">
        <v>4053561420</v>
      </c>
      <c r="G693" s="22">
        <v>77</v>
      </c>
      <c r="H693" s="22" t="s">
        <v>2326</v>
      </c>
    </row>
    <row r="694" spans="1:8" x14ac:dyDescent="0.35">
      <c r="A694" s="22" t="s">
        <v>851</v>
      </c>
      <c r="B694" s="22" t="str">
        <f>"02436"</f>
        <v>02436</v>
      </c>
      <c r="C694" s="22" t="str">
        <f t="shared" si="10"/>
        <v>'2436.HK'</v>
      </c>
      <c r="D694" s="22" t="s">
        <v>2327</v>
      </c>
      <c r="E694" s="22" t="s">
        <v>1152</v>
      </c>
      <c r="F694" s="22">
        <v>4048359600</v>
      </c>
      <c r="H694" s="22" t="s">
        <v>2328</v>
      </c>
    </row>
    <row r="695" spans="1:8" x14ac:dyDescent="0.35">
      <c r="A695" s="22" t="s">
        <v>851</v>
      </c>
      <c r="B695" s="22" t="str">
        <f>"03813"</f>
        <v>03813</v>
      </c>
      <c r="C695" s="22" t="str">
        <f t="shared" si="10"/>
        <v>'3813.HK'</v>
      </c>
      <c r="D695" s="22" t="s">
        <v>2329</v>
      </c>
      <c r="E695" s="22" t="s">
        <v>1332</v>
      </c>
      <c r="F695" s="22">
        <v>4047896507.4000001</v>
      </c>
      <c r="G695" s="22">
        <v>18</v>
      </c>
      <c r="H695" s="22" t="s">
        <v>2330</v>
      </c>
    </row>
    <row r="696" spans="1:8" x14ac:dyDescent="0.35">
      <c r="A696" s="22" t="s">
        <v>851</v>
      </c>
      <c r="B696" s="22" t="str">
        <f>"08328"</f>
        <v>08328</v>
      </c>
      <c r="C696" s="22" t="str">
        <f t="shared" si="10"/>
        <v>'8328.HK'</v>
      </c>
      <c r="D696" s="22" t="s">
        <v>2331</v>
      </c>
      <c r="E696" s="22" t="s">
        <v>1145</v>
      </c>
      <c r="F696" s="22">
        <v>4043228342.3000002</v>
      </c>
      <c r="G696" s="22">
        <v>5</v>
      </c>
      <c r="H696" s="22" t="s">
        <v>2332</v>
      </c>
    </row>
    <row r="697" spans="1:8" x14ac:dyDescent="0.35">
      <c r="A697" s="22" t="s">
        <v>851</v>
      </c>
      <c r="B697" s="22" t="str">
        <f>"00493"</f>
        <v>00493</v>
      </c>
      <c r="C697" s="22" t="str">
        <f t="shared" si="10"/>
        <v>'0493.HK'</v>
      </c>
      <c r="D697" s="22" t="s">
        <v>2333</v>
      </c>
      <c r="E697" s="22" t="s">
        <v>2334</v>
      </c>
      <c r="F697" s="22">
        <v>4036251994.487</v>
      </c>
      <c r="G697" s="22">
        <v>62</v>
      </c>
      <c r="H697" s="22" t="s">
        <v>2335</v>
      </c>
    </row>
    <row r="698" spans="1:8" x14ac:dyDescent="0.35">
      <c r="A698" s="22" t="s">
        <v>851</v>
      </c>
      <c r="B698" s="22" t="str">
        <f>"01167"</f>
        <v>01167</v>
      </c>
      <c r="C698" s="22" t="str">
        <f t="shared" si="10"/>
        <v>'1167.HK'</v>
      </c>
      <c r="D698" s="22" t="s">
        <v>2336</v>
      </c>
      <c r="E698" s="22" t="s">
        <v>941</v>
      </c>
      <c r="F698" s="22">
        <v>4034747201.4000001</v>
      </c>
      <c r="G698" s="22">
        <v>18</v>
      </c>
      <c r="H698" s="22" t="s">
        <v>2337</v>
      </c>
    </row>
    <row r="699" spans="1:8" x14ac:dyDescent="0.35">
      <c r="A699" s="22" t="s">
        <v>851</v>
      </c>
      <c r="B699" s="22" t="str">
        <f>"01857"</f>
        <v>01857</v>
      </c>
      <c r="C699" s="22" t="str">
        <f t="shared" si="10"/>
        <v>'1857.HK'</v>
      </c>
      <c r="D699" s="22" t="s">
        <v>2338</v>
      </c>
      <c r="E699" s="22" t="s">
        <v>1255</v>
      </c>
      <c r="F699" s="22">
        <v>4033836179.4299998</v>
      </c>
      <c r="G699" s="22">
        <v>22</v>
      </c>
      <c r="H699" s="22" t="s">
        <v>2339</v>
      </c>
    </row>
    <row r="700" spans="1:8" x14ac:dyDescent="0.35">
      <c r="A700" s="22" t="s">
        <v>851</v>
      </c>
      <c r="B700" s="22" t="str">
        <f>"02169"</f>
        <v>02169</v>
      </c>
      <c r="C700" s="22" t="str">
        <f t="shared" si="10"/>
        <v>'2169.HK'</v>
      </c>
      <c r="D700" s="22" t="s">
        <v>2340</v>
      </c>
      <c r="E700" s="22" t="s">
        <v>1367</v>
      </c>
      <c r="F700" s="22">
        <v>4020000000</v>
      </c>
      <c r="G700" s="22">
        <v>4</v>
      </c>
      <c r="H700" s="22" t="s">
        <v>2341</v>
      </c>
    </row>
    <row r="701" spans="1:8" x14ac:dyDescent="0.35">
      <c r="A701" s="22" t="s">
        <v>851</v>
      </c>
      <c r="B701" s="22" t="str">
        <f>"06922"</f>
        <v>06922</v>
      </c>
      <c r="C701" s="22" t="str">
        <f t="shared" si="10"/>
        <v>'6922.HK'</v>
      </c>
      <c r="D701" s="22" t="s">
        <v>2342</v>
      </c>
      <c r="F701" s="22">
        <v>4017048000</v>
      </c>
      <c r="H701" s="22" t="s">
        <v>2343</v>
      </c>
    </row>
    <row r="702" spans="1:8" x14ac:dyDescent="0.35">
      <c r="A702" s="22" t="s">
        <v>851</v>
      </c>
      <c r="B702" s="22" t="str">
        <f>"00382"</f>
        <v>00382</v>
      </c>
      <c r="C702" s="22" t="str">
        <f t="shared" si="10"/>
        <v>'0382.HK'</v>
      </c>
      <c r="D702" s="22" t="s">
        <v>2344</v>
      </c>
      <c r="E702" s="22" t="s">
        <v>1270</v>
      </c>
      <c r="F702" s="22">
        <v>4004894922.0999999</v>
      </c>
      <c r="G702" s="22">
        <v>61</v>
      </c>
      <c r="H702" s="22" t="s">
        <v>2345</v>
      </c>
    </row>
    <row r="703" spans="1:8" x14ac:dyDescent="0.35">
      <c r="A703" s="22" t="s">
        <v>851</v>
      </c>
      <c r="B703" s="22" t="str">
        <f>"00732"</f>
        <v>00732</v>
      </c>
      <c r="C703" s="22" t="str">
        <f t="shared" si="10"/>
        <v>'0732.HK'</v>
      </c>
      <c r="D703" s="22" t="s">
        <v>2346</v>
      </c>
      <c r="E703" s="22" t="s">
        <v>1075</v>
      </c>
      <c r="F703" s="22">
        <v>3981765733.52</v>
      </c>
      <c r="G703" s="22">
        <v>38</v>
      </c>
      <c r="H703" s="22" t="s">
        <v>2347</v>
      </c>
    </row>
    <row r="704" spans="1:8" x14ac:dyDescent="0.35">
      <c r="A704" s="22" t="s">
        <v>851</v>
      </c>
      <c r="B704" s="22" t="str">
        <f>"01600"</f>
        <v>01600</v>
      </c>
      <c r="C704" s="22" t="str">
        <f t="shared" si="10"/>
        <v>'1600.HK'</v>
      </c>
      <c r="D704" s="22" t="s">
        <v>2348</v>
      </c>
      <c r="E704" s="22" t="s">
        <v>1031</v>
      </c>
      <c r="F704" s="22">
        <v>3959306263.3600001</v>
      </c>
      <c r="G704" s="22">
        <v>63</v>
      </c>
      <c r="H704" s="22" t="s">
        <v>2349</v>
      </c>
    </row>
    <row r="705" spans="1:8" x14ac:dyDescent="0.35">
      <c r="A705" s="22" t="s">
        <v>851</v>
      </c>
      <c r="B705" s="22" t="str">
        <f>"00830"</f>
        <v>00830</v>
      </c>
      <c r="C705" s="22" t="str">
        <f t="shared" si="10"/>
        <v>'0830.HK'</v>
      </c>
      <c r="D705" s="22" t="s">
        <v>2350</v>
      </c>
      <c r="E705" s="22" t="s">
        <v>1634</v>
      </c>
      <c r="F705" s="22">
        <v>3947203750</v>
      </c>
      <c r="G705" s="22">
        <v>10</v>
      </c>
      <c r="H705" s="22" t="s">
        <v>2351</v>
      </c>
    </row>
    <row r="706" spans="1:8" x14ac:dyDescent="0.35">
      <c r="A706" s="22" t="s">
        <v>851</v>
      </c>
      <c r="B706" s="22" t="str">
        <f>"08083"</f>
        <v>08083</v>
      </c>
      <c r="C706" s="22" t="str">
        <f t="shared" si="10"/>
        <v>'8083.HK'</v>
      </c>
      <c r="D706" s="22" t="s">
        <v>2352</v>
      </c>
      <c r="E706" s="22" t="s">
        <v>853</v>
      </c>
      <c r="F706" s="22">
        <v>3905388124.5640001</v>
      </c>
      <c r="G706" s="22">
        <v>110</v>
      </c>
      <c r="H706" s="22" t="s">
        <v>2353</v>
      </c>
    </row>
    <row r="707" spans="1:8" x14ac:dyDescent="0.35">
      <c r="A707" s="22" t="s">
        <v>851</v>
      </c>
      <c r="B707" s="22" t="str">
        <f>"02552"</f>
        <v>02552</v>
      </c>
      <c r="C707" s="22" t="str">
        <f t="shared" ref="C707:C770" si="11">CONCATENATE("'",RIGHT(B707,4),".HK'")</f>
        <v>'2552.HK'</v>
      </c>
      <c r="D707" s="22" t="s">
        <v>2354</v>
      </c>
      <c r="E707" s="22" t="s">
        <v>941</v>
      </c>
      <c r="F707" s="22">
        <v>3905195565.6999998</v>
      </c>
      <c r="G707" s="22">
        <v>20</v>
      </c>
      <c r="H707" s="22" t="s">
        <v>2355</v>
      </c>
    </row>
    <row r="708" spans="1:8" x14ac:dyDescent="0.35">
      <c r="A708" s="22" t="s">
        <v>851</v>
      </c>
      <c r="B708" s="22" t="str">
        <f>"00606"</f>
        <v>00606</v>
      </c>
      <c r="C708" s="22" t="str">
        <f t="shared" si="11"/>
        <v>'0606.HK'</v>
      </c>
      <c r="D708" s="22" t="s">
        <v>2356</v>
      </c>
      <c r="E708" s="22" t="s">
        <v>1104</v>
      </c>
      <c r="F708" s="22">
        <v>3901000000</v>
      </c>
      <c r="G708" s="22">
        <v>59</v>
      </c>
      <c r="H708" s="22" t="s">
        <v>2357</v>
      </c>
    </row>
    <row r="709" spans="1:8" x14ac:dyDescent="0.35">
      <c r="A709" s="22" t="s">
        <v>851</v>
      </c>
      <c r="B709" s="22" t="str">
        <f>"01031"</f>
        <v>01031</v>
      </c>
      <c r="C709" s="22" t="str">
        <f t="shared" si="11"/>
        <v>'1031.HK'</v>
      </c>
      <c r="D709" s="22" t="s">
        <v>2358</v>
      </c>
      <c r="E709" s="22" t="s">
        <v>1130</v>
      </c>
      <c r="F709" s="22">
        <v>3880126989.8099999</v>
      </c>
      <c r="G709" s="22">
        <v>13</v>
      </c>
      <c r="H709" s="22" t="s">
        <v>2359</v>
      </c>
    </row>
    <row r="710" spans="1:8" x14ac:dyDescent="0.35">
      <c r="A710" s="22" t="s">
        <v>851</v>
      </c>
      <c r="B710" s="22" t="str">
        <f>"01809"</f>
        <v>01809</v>
      </c>
      <c r="C710" s="22" t="str">
        <f t="shared" si="11"/>
        <v>'1809.HK'</v>
      </c>
      <c r="D710" s="22" t="s">
        <v>2360</v>
      </c>
      <c r="E710" s="22" t="s">
        <v>1122</v>
      </c>
      <c r="F710" s="22">
        <v>3863190800</v>
      </c>
      <c r="G710" s="22">
        <v>7</v>
      </c>
      <c r="H710" s="22" t="s">
        <v>2361</v>
      </c>
    </row>
    <row r="711" spans="1:8" x14ac:dyDescent="0.35">
      <c r="A711" s="22" t="s">
        <v>851</v>
      </c>
      <c r="B711" s="22" t="str">
        <f>"02342"</f>
        <v>02342</v>
      </c>
      <c r="C711" s="22" t="str">
        <f t="shared" si="11"/>
        <v>'2342.HK'</v>
      </c>
      <c r="D711" s="22" t="s">
        <v>2362</v>
      </c>
      <c r="E711" s="22" t="s">
        <v>938</v>
      </c>
      <c r="F711" s="22">
        <v>3836368491.8400002</v>
      </c>
      <c r="G711" s="22">
        <v>45</v>
      </c>
      <c r="H711" s="22" t="s">
        <v>2363</v>
      </c>
    </row>
    <row r="712" spans="1:8" x14ac:dyDescent="0.35">
      <c r="A712" s="22" t="s">
        <v>851</v>
      </c>
      <c r="B712" s="22" t="str">
        <f>"02163"</f>
        <v>02163</v>
      </c>
      <c r="C712" s="22" t="str">
        <f t="shared" si="11"/>
        <v>'2163.HK'</v>
      </c>
      <c r="D712" s="22" t="s">
        <v>2364</v>
      </c>
      <c r="E712" s="22" t="s">
        <v>1016</v>
      </c>
      <c r="F712" s="22">
        <v>3803587320</v>
      </c>
      <c r="G712" s="22">
        <v>19</v>
      </c>
      <c r="H712" s="22" t="s">
        <v>2365</v>
      </c>
    </row>
    <row r="713" spans="1:8" x14ac:dyDescent="0.35">
      <c r="A713" s="22" t="s">
        <v>851</v>
      </c>
      <c r="B713" s="22" t="str">
        <f>"06988"</f>
        <v>06988</v>
      </c>
      <c r="C713" s="22" t="str">
        <f t="shared" si="11"/>
        <v>'6988.HK'</v>
      </c>
      <c r="D713" s="22" t="s">
        <v>2366</v>
      </c>
      <c r="E713" s="22" t="s">
        <v>1627</v>
      </c>
      <c r="F713" s="22">
        <v>3795083520</v>
      </c>
      <c r="G713" s="22">
        <v>10</v>
      </c>
      <c r="H713" s="22" t="s">
        <v>2367</v>
      </c>
    </row>
    <row r="714" spans="1:8" x14ac:dyDescent="0.35">
      <c r="A714" s="22" t="s">
        <v>851</v>
      </c>
      <c r="B714" s="22" t="str">
        <f>"01817"</f>
        <v>01817</v>
      </c>
      <c r="C714" s="22" t="str">
        <f t="shared" si="11"/>
        <v>'1817.HK'</v>
      </c>
      <c r="D714" s="22" t="s">
        <v>2368</v>
      </c>
      <c r="E714" s="22" t="s">
        <v>1332</v>
      </c>
      <c r="F714" s="22">
        <v>3790500000</v>
      </c>
      <c r="G714" s="22">
        <v>8</v>
      </c>
      <c r="H714" s="22" t="s">
        <v>2369</v>
      </c>
    </row>
    <row r="715" spans="1:8" x14ac:dyDescent="0.35">
      <c r="A715" s="22" t="s">
        <v>851</v>
      </c>
      <c r="B715" s="22" t="str">
        <f>"01382"</f>
        <v>01382</v>
      </c>
      <c r="C715" s="22" t="str">
        <f t="shared" si="11"/>
        <v>'1382.HK'</v>
      </c>
      <c r="D715" s="22" t="s">
        <v>2370</v>
      </c>
      <c r="E715" s="22" t="s">
        <v>1914</v>
      </c>
      <c r="F715" s="22">
        <v>3774836280</v>
      </c>
      <c r="G715" s="22">
        <v>71</v>
      </c>
      <c r="H715" s="22" t="s">
        <v>2371</v>
      </c>
    </row>
    <row r="716" spans="1:8" x14ac:dyDescent="0.35">
      <c r="A716" s="22" t="s">
        <v>851</v>
      </c>
      <c r="B716" s="22" t="str">
        <f>"01708"</f>
        <v>01708</v>
      </c>
      <c r="C716" s="22" t="str">
        <f t="shared" si="11"/>
        <v>'1708.HK'</v>
      </c>
      <c r="D716" s="22" t="s">
        <v>2372</v>
      </c>
      <c r="E716" s="22" t="s">
        <v>1202</v>
      </c>
      <c r="F716" s="22">
        <v>3762277875</v>
      </c>
      <c r="G716" s="22">
        <v>12</v>
      </c>
      <c r="H716" s="22" t="s">
        <v>2373</v>
      </c>
    </row>
    <row r="717" spans="1:8" x14ac:dyDescent="0.35">
      <c r="A717" s="22" t="s">
        <v>851</v>
      </c>
      <c r="B717" s="22" t="str">
        <f>"01140"</f>
        <v>01140</v>
      </c>
      <c r="C717" s="22" t="str">
        <f t="shared" si="11"/>
        <v>'1140.HK'</v>
      </c>
      <c r="D717" s="22" t="s">
        <v>2374</v>
      </c>
      <c r="E717" s="22" t="s">
        <v>964</v>
      </c>
      <c r="F717" s="22">
        <v>3756052456.6500001</v>
      </c>
      <c r="G717" s="22">
        <v>6</v>
      </c>
      <c r="H717" s="22" t="s">
        <v>2375</v>
      </c>
    </row>
    <row r="718" spans="1:8" x14ac:dyDescent="0.35">
      <c r="A718" s="22" t="s">
        <v>851</v>
      </c>
      <c r="B718" s="22" t="str">
        <f>"00816"</f>
        <v>00816</v>
      </c>
      <c r="C718" s="22" t="str">
        <f t="shared" si="11"/>
        <v>'0816.HK'</v>
      </c>
      <c r="D718" s="22" t="s">
        <v>2376</v>
      </c>
      <c r="E718" s="22" t="s">
        <v>1104</v>
      </c>
      <c r="F718" s="22">
        <v>3707174900</v>
      </c>
      <c r="G718" s="22">
        <v>104</v>
      </c>
      <c r="H718" s="22" t="s">
        <v>2377</v>
      </c>
    </row>
    <row r="719" spans="1:8" x14ac:dyDescent="0.35">
      <c r="A719" s="22" t="s">
        <v>851</v>
      </c>
      <c r="B719" s="22" t="str">
        <f>"00517"</f>
        <v>00517</v>
      </c>
      <c r="C719" s="22" t="str">
        <f t="shared" si="11"/>
        <v>'0517.HK'</v>
      </c>
      <c r="D719" s="22" t="s">
        <v>2378</v>
      </c>
      <c r="E719" s="22" t="s">
        <v>1086</v>
      </c>
      <c r="F719" s="22">
        <v>3704233572.5</v>
      </c>
      <c r="G719" s="22">
        <v>46</v>
      </c>
      <c r="H719" s="22" t="s">
        <v>2379</v>
      </c>
    </row>
    <row r="720" spans="1:8" x14ac:dyDescent="0.35">
      <c r="A720" s="22" t="s">
        <v>851</v>
      </c>
      <c r="B720" s="22" t="str">
        <f>"01270"</f>
        <v>01270</v>
      </c>
      <c r="C720" s="22" t="str">
        <f t="shared" si="11"/>
        <v>'1270.HK'</v>
      </c>
      <c r="D720" s="22" t="s">
        <v>2380</v>
      </c>
      <c r="E720" s="22" t="s">
        <v>1070</v>
      </c>
      <c r="F720" s="22">
        <v>3666301048.48</v>
      </c>
      <c r="G720" s="22">
        <v>20</v>
      </c>
      <c r="H720" s="22" t="s">
        <v>2381</v>
      </c>
    </row>
    <row r="721" spans="1:8" x14ac:dyDescent="0.35">
      <c r="A721" s="22" t="s">
        <v>851</v>
      </c>
      <c r="B721" s="22" t="str">
        <f>"00098"</f>
        <v>00098</v>
      </c>
      <c r="C721" s="22" t="str">
        <f t="shared" si="11"/>
        <v>'0098.HK'</v>
      </c>
      <c r="D721" s="22" t="s">
        <v>2382</v>
      </c>
      <c r="E721" s="22" t="s">
        <v>1174</v>
      </c>
      <c r="F721" s="22">
        <v>3659647465.8000002</v>
      </c>
      <c r="G721" s="22">
        <v>41</v>
      </c>
      <c r="H721" s="22" t="s">
        <v>2383</v>
      </c>
    </row>
    <row r="722" spans="1:8" x14ac:dyDescent="0.35">
      <c r="A722" s="22" t="s">
        <v>851</v>
      </c>
      <c r="B722" s="22" t="str">
        <f>"00480"</f>
        <v>00480</v>
      </c>
      <c r="C722" s="22" t="str">
        <f t="shared" si="11"/>
        <v>'0480.HK'</v>
      </c>
      <c r="D722" s="22" t="s">
        <v>2384</v>
      </c>
      <c r="E722" s="22" t="s">
        <v>924</v>
      </c>
      <c r="F722" s="22">
        <v>3638989417.3499999</v>
      </c>
      <c r="G722" s="22">
        <v>30</v>
      </c>
      <c r="H722" s="22" t="s">
        <v>2385</v>
      </c>
    </row>
    <row r="723" spans="1:8" x14ac:dyDescent="0.35">
      <c r="A723" s="22" t="s">
        <v>851</v>
      </c>
      <c r="B723" s="22" t="str">
        <f>"00693"</f>
        <v>00693</v>
      </c>
      <c r="C723" s="22" t="str">
        <f t="shared" si="11"/>
        <v>'0693.HK'</v>
      </c>
      <c r="D723" s="22" t="s">
        <v>2386</v>
      </c>
      <c r="E723" s="22" t="s">
        <v>1089</v>
      </c>
      <c r="F723" s="22">
        <v>3623956200</v>
      </c>
      <c r="G723" s="22">
        <v>4</v>
      </c>
      <c r="H723" s="22" t="s">
        <v>2387</v>
      </c>
    </row>
    <row r="724" spans="1:8" x14ac:dyDescent="0.35">
      <c r="A724" s="22" t="s">
        <v>851</v>
      </c>
      <c r="B724" s="22" t="str">
        <f>"01426"</f>
        <v>01426</v>
      </c>
      <c r="C724" s="22" t="str">
        <f t="shared" si="11"/>
        <v>'1426.HK'</v>
      </c>
      <c r="D724" s="22" t="s">
        <v>2388</v>
      </c>
      <c r="F724" s="22">
        <v>3623232096.2800002</v>
      </c>
      <c r="G724" s="22">
        <v>60</v>
      </c>
      <c r="H724" s="22" t="s">
        <v>2389</v>
      </c>
    </row>
    <row r="725" spans="1:8" x14ac:dyDescent="0.35">
      <c r="A725" s="22" t="s">
        <v>851</v>
      </c>
      <c r="B725" s="22" t="str">
        <f>"06633"</f>
        <v>06633</v>
      </c>
      <c r="C725" s="22" t="str">
        <f t="shared" si="11"/>
        <v>'6633.HK'</v>
      </c>
      <c r="D725" s="22" t="s">
        <v>2390</v>
      </c>
      <c r="E725" s="22" t="s">
        <v>910</v>
      </c>
      <c r="F725" s="22">
        <v>3588005295</v>
      </c>
      <c r="G725" s="22">
        <v>2</v>
      </c>
      <c r="H725" s="22" t="s">
        <v>2391</v>
      </c>
    </row>
    <row r="726" spans="1:8" x14ac:dyDescent="0.35">
      <c r="A726" s="22" t="s">
        <v>851</v>
      </c>
      <c r="B726" s="22" t="str">
        <f>"06138"</f>
        <v>06138</v>
      </c>
      <c r="C726" s="22" t="str">
        <f t="shared" si="11"/>
        <v>'6138.HK'</v>
      </c>
      <c r="D726" s="22" t="s">
        <v>2392</v>
      </c>
      <c r="E726" s="22" t="s">
        <v>858</v>
      </c>
      <c r="F726" s="22">
        <v>3573569854.7249999</v>
      </c>
      <c r="G726" s="22">
        <v>86</v>
      </c>
      <c r="H726" s="22" t="s">
        <v>2393</v>
      </c>
    </row>
    <row r="727" spans="1:8" x14ac:dyDescent="0.35">
      <c r="A727" s="22" t="s">
        <v>851</v>
      </c>
      <c r="B727" s="22" t="str">
        <f>"03913"</f>
        <v>03913</v>
      </c>
      <c r="C727" s="22" t="str">
        <f t="shared" si="11"/>
        <v>'3913.HK'</v>
      </c>
      <c r="D727" s="22" t="s">
        <v>2394</v>
      </c>
      <c r="E727" s="22" t="s">
        <v>1104</v>
      </c>
      <c r="F727" s="22">
        <v>3565511692.1599998</v>
      </c>
      <c r="G727" s="22">
        <v>45</v>
      </c>
      <c r="H727" s="22" t="s">
        <v>2395</v>
      </c>
    </row>
    <row r="728" spans="1:8" x14ac:dyDescent="0.35">
      <c r="A728" s="22" t="s">
        <v>851</v>
      </c>
      <c r="B728" s="22" t="str">
        <f>"01330"</f>
        <v>01330</v>
      </c>
      <c r="C728" s="22" t="str">
        <f t="shared" si="11"/>
        <v>'1330.HK'</v>
      </c>
      <c r="D728" s="22" t="s">
        <v>2396</v>
      </c>
      <c r="E728" s="22" t="s">
        <v>1301</v>
      </c>
      <c r="F728" s="22">
        <v>3553290492.5999999</v>
      </c>
      <c r="G728" s="22">
        <v>89</v>
      </c>
      <c r="H728" s="22" t="s">
        <v>2397</v>
      </c>
    </row>
    <row r="729" spans="1:8" x14ac:dyDescent="0.35">
      <c r="A729" s="22" t="s">
        <v>851</v>
      </c>
      <c r="B729" s="22" t="str">
        <f>"02217"</f>
        <v>02217</v>
      </c>
      <c r="C729" s="22" t="str">
        <f t="shared" si="11"/>
        <v>'2217.HK'</v>
      </c>
      <c r="D729" s="22" t="s">
        <v>2398</v>
      </c>
      <c r="E729" s="22" t="s">
        <v>981</v>
      </c>
      <c r="F729" s="22">
        <v>3552603488.5</v>
      </c>
      <c r="G729" s="22">
        <v>5</v>
      </c>
      <c r="H729" s="22" t="s">
        <v>2399</v>
      </c>
    </row>
    <row r="730" spans="1:8" x14ac:dyDescent="0.35">
      <c r="A730" s="22" t="s">
        <v>851</v>
      </c>
      <c r="B730" s="22" t="str">
        <f>"01921"</f>
        <v>01921</v>
      </c>
      <c r="C730" s="22" t="str">
        <f t="shared" si="11"/>
        <v>'1921.HK'</v>
      </c>
      <c r="D730" s="22" t="s">
        <v>2400</v>
      </c>
      <c r="E730" s="22" t="s">
        <v>1294</v>
      </c>
      <c r="F730" s="22">
        <v>3521399800</v>
      </c>
      <c r="G730" s="22">
        <v>3</v>
      </c>
      <c r="H730" s="22" t="s">
        <v>2401</v>
      </c>
    </row>
    <row r="731" spans="1:8" x14ac:dyDescent="0.35">
      <c r="A731" s="22" t="s">
        <v>851</v>
      </c>
      <c r="B731" s="22" t="str">
        <f>"03382"</f>
        <v>03382</v>
      </c>
      <c r="C731" s="22" t="str">
        <f t="shared" si="11"/>
        <v>'3382.HK'</v>
      </c>
      <c r="D731" s="22" t="s">
        <v>2402</v>
      </c>
      <c r="E731" s="22" t="s">
        <v>1047</v>
      </c>
      <c r="F731" s="22">
        <v>3510060000</v>
      </c>
      <c r="G731" s="22">
        <v>56</v>
      </c>
      <c r="H731" s="22" t="s">
        <v>2403</v>
      </c>
    </row>
    <row r="732" spans="1:8" x14ac:dyDescent="0.35">
      <c r="A732" s="22" t="s">
        <v>851</v>
      </c>
      <c r="B732" s="22" t="str">
        <f>"08137"</f>
        <v>08137</v>
      </c>
      <c r="C732" s="22" t="str">
        <f t="shared" si="11"/>
        <v>'8137.HK'</v>
      </c>
      <c r="D732" s="22" t="s">
        <v>2404</v>
      </c>
      <c r="E732" s="22" t="s">
        <v>1145</v>
      </c>
      <c r="F732" s="22">
        <v>3498359430.1300001</v>
      </c>
      <c r="G732" s="22">
        <v>1</v>
      </c>
      <c r="H732" s="22" t="s">
        <v>2405</v>
      </c>
    </row>
    <row r="733" spans="1:8" x14ac:dyDescent="0.35">
      <c r="A733" s="22" t="s">
        <v>851</v>
      </c>
      <c r="B733" s="22" t="str">
        <f>"06996"</f>
        <v>06996</v>
      </c>
      <c r="C733" s="22" t="str">
        <f t="shared" si="11"/>
        <v>'6996.HK'</v>
      </c>
      <c r="D733" s="22" t="s">
        <v>2406</v>
      </c>
      <c r="E733" s="22" t="s">
        <v>969</v>
      </c>
      <c r="F733" s="22">
        <v>3475677031.5999999</v>
      </c>
      <c r="G733" s="22">
        <v>19</v>
      </c>
      <c r="H733" s="22" t="s">
        <v>2407</v>
      </c>
    </row>
    <row r="734" spans="1:8" x14ac:dyDescent="0.35">
      <c r="A734" s="22" t="s">
        <v>851</v>
      </c>
      <c r="B734" s="22" t="str">
        <f>"00799"</f>
        <v>00799</v>
      </c>
      <c r="C734" s="22" t="str">
        <f t="shared" si="11"/>
        <v>'0799.HK'</v>
      </c>
      <c r="D734" s="22" t="s">
        <v>2408</v>
      </c>
      <c r="E734" s="22" t="s">
        <v>910</v>
      </c>
      <c r="F734" s="22">
        <v>3460470391.1100001</v>
      </c>
      <c r="G734" s="22">
        <v>207</v>
      </c>
      <c r="H734" s="22" t="s">
        <v>2409</v>
      </c>
    </row>
    <row r="735" spans="1:8" x14ac:dyDescent="0.35">
      <c r="A735" s="22" t="s">
        <v>851</v>
      </c>
      <c r="B735" s="22" t="str">
        <f>"01635"</f>
        <v>01635</v>
      </c>
      <c r="C735" s="22" t="str">
        <f t="shared" si="11"/>
        <v>'1635.HK'</v>
      </c>
      <c r="D735" s="22" t="s">
        <v>2410</v>
      </c>
      <c r="E735" s="22" t="s">
        <v>1031</v>
      </c>
      <c r="F735" s="22">
        <v>3454348569.75</v>
      </c>
      <c r="G735" s="22">
        <v>33</v>
      </c>
      <c r="H735" s="22" t="s">
        <v>2411</v>
      </c>
    </row>
    <row r="736" spans="1:8" x14ac:dyDescent="0.35">
      <c r="A736" s="22" t="s">
        <v>851</v>
      </c>
      <c r="B736" s="22" t="str">
        <f>"01873"</f>
        <v>01873</v>
      </c>
      <c r="C736" s="22" t="str">
        <f t="shared" si="11"/>
        <v>'1873.HK'</v>
      </c>
      <c r="D736" s="22" t="s">
        <v>2412</v>
      </c>
      <c r="E736" s="22" t="s">
        <v>941</v>
      </c>
      <c r="F736" s="22">
        <v>3444365512.9000001</v>
      </c>
      <c r="G736" s="22">
        <v>59</v>
      </c>
      <c r="H736" s="22" t="s">
        <v>2413</v>
      </c>
    </row>
    <row r="737" spans="1:8" x14ac:dyDescent="0.35">
      <c r="A737" s="22" t="s">
        <v>851</v>
      </c>
      <c r="B737" s="22" t="str">
        <f>"01463"</f>
        <v>01463</v>
      </c>
      <c r="C737" s="22" t="str">
        <f t="shared" si="11"/>
        <v>'1463.HK'</v>
      </c>
      <c r="D737" s="22" t="s">
        <v>2414</v>
      </c>
      <c r="E737" s="22" t="s">
        <v>1671</v>
      </c>
      <c r="F737" s="22">
        <v>3400000000</v>
      </c>
      <c r="G737" s="22">
        <v>4</v>
      </c>
      <c r="H737" s="22" t="s">
        <v>2415</v>
      </c>
    </row>
    <row r="738" spans="1:8" x14ac:dyDescent="0.35">
      <c r="A738" s="22" t="s">
        <v>851</v>
      </c>
      <c r="B738" s="22" t="str">
        <f>"01428"</f>
        <v>01428</v>
      </c>
      <c r="C738" s="22" t="str">
        <f t="shared" si="11"/>
        <v>'1428.HK'</v>
      </c>
      <c r="D738" s="22" t="s">
        <v>2416</v>
      </c>
      <c r="E738" s="22" t="s">
        <v>1130</v>
      </c>
      <c r="F738" s="22">
        <v>3394592616</v>
      </c>
      <c r="G738" s="22">
        <v>29</v>
      </c>
      <c r="H738" s="22" t="s">
        <v>2417</v>
      </c>
    </row>
    <row r="739" spans="1:8" x14ac:dyDescent="0.35">
      <c r="A739" s="22" t="s">
        <v>851</v>
      </c>
      <c r="B739" s="22" t="str">
        <f>"02197"</f>
        <v>02197</v>
      </c>
      <c r="C739" s="22" t="str">
        <f t="shared" si="11"/>
        <v>'2197.HK'</v>
      </c>
      <c r="D739" s="22" t="s">
        <v>2418</v>
      </c>
      <c r="E739" s="22" t="s">
        <v>941</v>
      </c>
      <c r="F739" s="22">
        <v>3373777958.1300001</v>
      </c>
      <c r="G739" s="22">
        <v>6</v>
      </c>
      <c r="H739" s="22" t="s">
        <v>2419</v>
      </c>
    </row>
    <row r="740" spans="1:8" x14ac:dyDescent="0.35">
      <c r="A740" s="22" t="s">
        <v>851</v>
      </c>
      <c r="B740" s="22" t="str">
        <f>"00662"</f>
        <v>00662</v>
      </c>
      <c r="C740" s="22" t="str">
        <f t="shared" si="11"/>
        <v>'0662.HK'</v>
      </c>
      <c r="D740" s="22" t="s">
        <v>2420</v>
      </c>
      <c r="E740" s="22" t="s">
        <v>870</v>
      </c>
      <c r="F740" s="22">
        <v>3327308500</v>
      </c>
      <c r="G740" s="22">
        <v>5</v>
      </c>
      <c r="H740" s="22" t="s">
        <v>2421</v>
      </c>
    </row>
    <row r="741" spans="1:8" x14ac:dyDescent="0.35">
      <c r="A741" s="22" t="s">
        <v>851</v>
      </c>
      <c r="B741" s="22" t="str">
        <f>"01681"</f>
        <v>01681</v>
      </c>
      <c r="C741" s="22" t="str">
        <f t="shared" si="11"/>
        <v>'1681.HK'</v>
      </c>
      <c r="D741" s="22" t="s">
        <v>2422</v>
      </c>
      <c r="E741" s="22" t="s">
        <v>969</v>
      </c>
      <c r="F741" s="22">
        <v>3308588094.5999999</v>
      </c>
      <c r="G741" s="22">
        <v>51</v>
      </c>
      <c r="H741" s="22" t="s">
        <v>2423</v>
      </c>
    </row>
    <row r="742" spans="1:8" x14ac:dyDescent="0.35">
      <c r="A742" s="22" t="s">
        <v>851</v>
      </c>
      <c r="B742" s="22" t="str">
        <f>"00553"</f>
        <v>00553</v>
      </c>
      <c r="C742" s="22" t="str">
        <f t="shared" si="11"/>
        <v>'0553.HK'</v>
      </c>
      <c r="D742" s="22" t="s">
        <v>2424</v>
      </c>
      <c r="E742" s="22" t="s">
        <v>938</v>
      </c>
      <c r="F742" s="22">
        <v>3308095474.98</v>
      </c>
      <c r="G742" s="22">
        <v>33</v>
      </c>
      <c r="H742" s="22" t="s">
        <v>2425</v>
      </c>
    </row>
    <row r="743" spans="1:8" x14ac:dyDescent="0.35">
      <c r="A743" s="22" t="s">
        <v>851</v>
      </c>
      <c r="B743" s="22" t="str">
        <f>"01205"</f>
        <v>01205</v>
      </c>
      <c r="C743" s="22" t="str">
        <f t="shared" si="11"/>
        <v>'1205.HK'</v>
      </c>
      <c r="D743" s="22" t="s">
        <v>2426</v>
      </c>
      <c r="E743" s="22" t="s">
        <v>1060</v>
      </c>
      <c r="F743" s="22">
        <v>3300245402.5799999</v>
      </c>
      <c r="G743" s="22">
        <v>24</v>
      </c>
      <c r="H743" s="22" t="s">
        <v>2427</v>
      </c>
    </row>
    <row r="744" spans="1:8" x14ac:dyDescent="0.35">
      <c r="A744" s="22" t="s">
        <v>851</v>
      </c>
      <c r="B744" s="22" t="str">
        <f>"00105"</f>
        <v>00105</v>
      </c>
      <c r="C744" s="22" t="str">
        <f t="shared" si="11"/>
        <v>'0105.HK'</v>
      </c>
      <c r="D744" s="22" t="s">
        <v>2428</v>
      </c>
      <c r="E744" s="22" t="s">
        <v>1028</v>
      </c>
      <c r="F744" s="22">
        <v>3240000000</v>
      </c>
      <c r="G744" s="22">
        <v>8</v>
      </c>
      <c r="H744" s="22" t="s">
        <v>2429</v>
      </c>
    </row>
    <row r="745" spans="1:8" x14ac:dyDescent="0.35">
      <c r="A745" s="22" t="s">
        <v>851</v>
      </c>
      <c r="B745" s="22" t="str">
        <f>"00026"</f>
        <v>00026</v>
      </c>
      <c r="C745" s="22" t="str">
        <f t="shared" si="11"/>
        <v>'0026.HK'</v>
      </c>
      <c r="D745" s="22" t="s">
        <v>2430</v>
      </c>
      <c r="E745" s="22" t="s">
        <v>1028</v>
      </c>
      <c r="F745" s="22">
        <v>3230464392.8000002</v>
      </c>
      <c r="G745" s="22">
        <v>19</v>
      </c>
      <c r="H745" s="22" t="s">
        <v>2431</v>
      </c>
    </row>
    <row r="746" spans="1:8" x14ac:dyDescent="0.35">
      <c r="A746" s="22" t="s">
        <v>851</v>
      </c>
      <c r="B746" s="22" t="str">
        <f>"09990"</f>
        <v>09990</v>
      </c>
      <c r="C746" s="22" t="str">
        <f t="shared" si="11"/>
        <v>'9990.HK'</v>
      </c>
      <c r="D746" s="22" t="s">
        <v>2432</v>
      </c>
      <c r="E746" s="22" t="s">
        <v>910</v>
      </c>
      <c r="F746" s="22">
        <v>3190788334.8000002</v>
      </c>
      <c r="G746" s="22">
        <v>23</v>
      </c>
      <c r="H746" s="22" t="s">
        <v>2433</v>
      </c>
    </row>
    <row r="747" spans="1:8" x14ac:dyDescent="0.35">
      <c r="A747" s="22" t="s">
        <v>851</v>
      </c>
      <c r="B747" s="22" t="str">
        <f>"01785"</f>
        <v>01785</v>
      </c>
      <c r="C747" s="22" t="str">
        <f t="shared" si="11"/>
        <v>'1785.HK'</v>
      </c>
      <c r="D747" s="22" t="s">
        <v>2434</v>
      </c>
      <c r="E747" s="22" t="s">
        <v>1367</v>
      </c>
      <c r="F747" s="22">
        <v>3179715840</v>
      </c>
      <c r="G747" s="22">
        <v>17</v>
      </c>
      <c r="H747" s="22" t="s">
        <v>2435</v>
      </c>
    </row>
    <row r="748" spans="1:8" x14ac:dyDescent="0.35">
      <c r="A748" s="22" t="s">
        <v>851</v>
      </c>
      <c r="B748" s="22" t="str">
        <f>"02322"</f>
        <v>02322</v>
      </c>
      <c r="C748" s="22" t="str">
        <f t="shared" si="11"/>
        <v>'2322.HK'</v>
      </c>
      <c r="D748" s="22" t="s">
        <v>2436</v>
      </c>
      <c r="E748" s="22" t="s">
        <v>1600</v>
      </c>
      <c r="F748" s="22">
        <v>3172862000</v>
      </c>
      <c r="G748" s="22">
        <v>1</v>
      </c>
      <c r="H748" s="22" t="s">
        <v>2437</v>
      </c>
    </row>
    <row r="749" spans="1:8" x14ac:dyDescent="0.35">
      <c r="A749" s="22" t="s">
        <v>851</v>
      </c>
      <c r="B749" s="22" t="str">
        <f>"01848"</f>
        <v>01848</v>
      </c>
      <c r="C749" s="22" t="str">
        <f t="shared" si="11"/>
        <v>'1848.HK'</v>
      </c>
      <c r="D749" s="22" t="s">
        <v>2438</v>
      </c>
      <c r="E749" s="22" t="s">
        <v>1081</v>
      </c>
      <c r="F749" s="22">
        <v>3156066692.48</v>
      </c>
      <c r="G749" s="22">
        <v>107</v>
      </c>
      <c r="H749" s="22" t="s">
        <v>2439</v>
      </c>
    </row>
    <row r="750" spans="1:8" x14ac:dyDescent="0.35">
      <c r="A750" s="22" t="s">
        <v>851</v>
      </c>
      <c r="B750" s="22" t="str">
        <f>"00258"</f>
        <v>00258</v>
      </c>
      <c r="C750" s="22" t="str">
        <f t="shared" si="11"/>
        <v>'0258.HK'</v>
      </c>
      <c r="D750" s="22" t="s">
        <v>2440</v>
      </c>
      <c r="E750" s="22" t="s">
        <v>924</v>
      </c>
      <c r="F750" s="22">
        <v>3153640200</v>
      </c>
      <c r="G750" s="22">
        <v>43</v>
      </c>
      <c r="H750" s="22" t="s">
        <v>2441</v>
      </c>
    </row>
    <row r="751" spans="1:8" x14ac:dyDescent="0.35">
      <c r="A751" s="22" t="s">
        <v>851</v>
      </c>
      <c r="B751" s="22" t="str">
        <f>"01855"</f>
        <v>01855</v>
      </c>
      <c r="C751" s="22" t="str">
        <f t="shared" si="11"/>
        <v>'1855.HK'</v>
      </c>
      <c r="D751" s="22" t="s">
        <v>2442</v>
      </c>
      <c r="E751" s="22" t="s">
        <v>1634</v>
      </c>
      <c r="F751" s="22">
        <v>3129500000</v>
      </c>
      <c r="G751" s="22">
        <v>4</v>
      </c>
      <c r="H751" s="22" t="s">
        <v>2443</v>
      </c>
    </row>
    <row r="752" spans="1:8" x14ac:dyDescent="0.35">
      <c r="A752" s="22" t="s">
        <v>851</v>
      </c>
      <c r="B752" s="22" t="str">
        <f>"02219"</f>
        <v>02219</v>
      </c>
      <c r="C752" s="22" t="str">
        <f t="shared" si="11"/>
        <v>'2219.HK'</v>
      </c>
      <c r="D752" s="22" t="s">
        <v>2444</v>
      </c>
      <c r="E752" s="22" t="s">
        <v>1362</v>
      </c>
      <c r="F752" s="22">
        <v>3127702500</v>
      </c>
      <c r="G752" s="22">
        <v>11</v>
      </c>
      <c r="H752" s="22" t="s">
        <v>2445</v>
      </c>
    </row>
    <row r="753" spans="1:8" x14ac:dyDescent="0.35">
      <c r="A753" s="22" t="s">
        <v>851</v>
      </c>
      <c r="B753" s="22" t="str">
        <f>"00810"</f>
        <v>00810</v>
      </c>
      <c r="C753" s="22" t="str">
        <f t="shared" si="11"/>
        <v>'0810.HK'</v>
      </c>
      <c r="D753" s="22" t="s">
        <v>2446</v>
      </c>
      <c r="E753" s="22" t="s">
        <v>964</v>
      </c>
      <c r="F753" s="22">
        <v>3118381273.3499999</v>
      </c>
      <c r="G753" s="22">
        <v>39</v>
      </c>
      <c r="H753" s="22" t="s">
        <v>2447</v>
      </c>
    </row>
    <row r="754" spans="1:8" x14ac:dyDescent="0.35">
      <c r="A754" s="22" t="s">
        <v>851</v>
      </c>
      <c r="B754" s="22" t="str">
        <f>"00563"</f>
        <v>00563</v>
      </c>
      <c r="C754" s="22" t="str">
        <f t="shared" si="11"/>
        <v>'0563.HK'</v>
      </c>
      <c r="D754" s="22" t="s">
        <v>2448</v>
      </c>
      <c r="E754" s="22" t="s">
        <v>924</v>
      </c>
      <c r="F754" s="22">
        <v>3076046840.96</v>
      </c>
      <c r="G754" s="22">
        <v>49</v>
      </c>
      <c r="H754" s="22" t="s">
        <v>2449</v>
      </c>
    </row>
    <row r="755" spans="1:8" x14ac:dyDescent="0.35">
      <c r="A755" s="22" t="s">
        <v>851</v>
      </c>
      <c r="B755" s="22" t="str">
        <f>"00108"</f>
        <v>00108</v>
      </c>
      <c r="C755" s="22" t="str">
        <f t="shared" si="11"/>
        <v>'0108.HK'</v>
      </c>
      <c r="D755" s="22" t="s">
        <v>2450</v>
      </c>
      <c r="E755" s="22" t="s">
        <v>1104</v>
      </c>
      <c r="F755" s="22">
        <v>3071399026.5599999</v>
      </c>
      <c r="G755" s="22">
        <v>12</v>
      </c>
      <c r="H755" s="22" t="s">
        <v>2451</v>
      </c>
    </row>
    <row r="756" spans="1:8" x14ac:dyDescent="0.35">
      <c r="A756" s="22" t="s">
        <v>851</v>
      </c>
      <c r="B756" s="22" t="str">
        <f>"01233"</f>
        <v>01233</v>
      </c>
      <c r="C756" s="22" t="str">
        <f t="shared" si="11"/>
        <v>'1233.HK'</v>
      </c>
      <c r="D756" s="22" t="s">
        <v>2452</v>
      </c>
      <c r="E756" s="22" t="s">
        <v>924</v>
      </c>
      <c r="F756" s="22">
        <v>3068651416.9400001</v>
      </c>
      <c r="G756" s="22">
        <v>203</v>
      </c>
      <c r="H756" s="22" t="s">
        <v>2453</v>
      </c>
    </row>
    <row r="757" spans="1:8" x14ac:dyDescent="0.35">
      <c r="A757" s="22" t="s">
        <v>851</v>
      </c>
      <c r="B757" s="22" t="str">
        <f>"00989"</f>
        <v>00989</v>
      </c>
      <c r="C757" s="22" t="str">
        <f t="shared" si="11"/>
        <v>'0989.HK'</v>
      </c>
      <c r="D757" s="22" t="s">
        <v>2454</v>
      </c>
      <c r="E757" s="22" t="s">
        <v>924</v>
      </c>
      <c r="F757" s="22">
        <v>3061546493.4000001</v>
      </c>
      <c r="G757" s="22">
        <v>7</v>
      </c>
      <c r="H757" s="22" t="s">
        <v>2455</v>
      </c>
    </row>
    <row r="758" spans="1:8" x14ac:dyDescent="0.35">
      <c r="A758" s="22" t="s">
        <v>851</v>
      </c>
      <c r="B758" s="22" t="str">
        <f>"02337"</f>
        <v>02337</v>
      </c>
      <c r="C758" s="22" t="str">
        <f t="shared" si="11"/>
        <v>'2337.HK'</v>
      </c>
      <c r="D758" s="22" t="s">
        <v>2456</v>
      </c>
      <c r="E758" s="22" t="s">
        <v>1031</v>
      </c>
      <c r="F758" s="22">
        <v>3059681340</v>
      </c>
      <c r="G758" s="22">
        <v>7</v>
      </c>
      <c r="H758" s="22" t="s">
        <v>2457</v>
      </c>
    </row>
    <row r="759" spans="1:8" x14ac:dyDescent="0.35">
      <c r="A759" s="22" t="s">
        <v>851</v>
      </c>
      <c r="B759" s="22" t="str">
        <f>"00808"</f>
        <v>00808</v>
      </c>
      <c r="C759" s="22" t="str">
        <f t="shared" si="11"/>
        <v>'0808.HK'</v>
      </c>
      <c r="D759" s="22" t="s">
        <v>2458</v>
      </c>
      <c r="F759" s="22">
        <v>3047091735.0999999</v>
      </c>
      <c r="G759" s="22">
        <v>74</v>
      </c>
      <c r="H759" s="22" t="s">
        <v>2459</v>
      </c>
    </row>
    <row r="760" spans="1:8" x14ac:dyDescent="0.35">
      <c r="A760" s="22" t="s">
        <v>851</v>
      </c>
      <c r="B760" s="22" t="str">
        <f>"00588"</f>
        <v>00588</v>
      </c>
      <c r="C760" s="22" t="str">
        <f t="shared" si="11"/>
        <v>'0588.HK'</v>
      </c>
      <c r="D760" s="22" t="s">
        <v>2460</v>
      </c>
      <c r="E760" s="22" t="s">
        <v>924</v>
      </c>
      <c r="F760" s="22">
        <v>3030318000</v>
      </c>
      <c r="G760" s="22">
        <v>71</v>
      </c>
      <c r="H760" s="22" t="s">
        <v>2461</v>
      </c>
    </row>
    <row r="761" spans="1:8" x14ac:dyDescent="0.35">
      <c r="A761" s="22" t="s">
        <v>851</v>
      </c>
      <c r="B761" s="22" t="str">
        <f>"03318"</f>
        <v>03318</v>
      </c>
      <c r="C761" s="22" t="str">
        <f t="shared" si="11"/>
        <v>'3318.HK'</v>
      </c>
      <c r="D761" s="22" t="s">
        <v>2462</v>
      </c>
      <c r="E761" s="22" t="s">
        <v>1451</v>
      </c>
      <c r="F761" s="22">
        <v>3014628887.3400002</v>
      </c>
      <c r="G761" s="22">
        <v>11</v>
      </c>
      <c r="H761" s="22" t="s">
        <v>2463</v>
      </c>
    </row>
    <row r="762" spans="1:8" x14ac:dyDescent="0.35">
      <c r="A762" s="22" t="s">
        <v>851</v>
      </c>
      <c r="B762" s="22" t="str">
        <f>"01628"</f>
        <v>01628</v>
      </c>
      <c r="C762" s="22" t="str">
        <f t="shared" si="11"/>
        <v>'1628.HK'</v>
      </c>
      <c r="D762" s="22" t="s">
        <v>2464</v>
      </c>
      <c r="E762" s="22" t="s">
        <v>924</v>
      </c>
      <c r="F762" s="22">
        <v>3010198370</v>
      </c>
      <c r="G762" s="22">
        <v>114</v>
      </c>
      <c r="H762" s="22" t="s">
        <v>2465</v>
      </c>
    </row>
    <row r="763" spans="1:8" x14ac:dyDescent="0.35">
      <c r="A763" s="22" t="s">
        <v>851</v>
      </c>
      <c r="B763" s="22" t="str">
        <f>"01084"</f>
        <v>01084</v>
      </c>
      <c r="C763" s="22" t="str">
        <f t="shared" si="11"/>
        <v>'1084.HK'</v>
      </c>
      <c r="D763" s="22" t="s">
        <v>2466</v>
      </c>
      <c r="E763" s="22" t="s">
        <v>1451</v>
      </c>
      <c r="F763" s="22">
        <v>3003931840</v>
      </c>
      <c r="G763" s="22">
        <v>6</v>
      </c>
      <c r="H763" s="22" t="s">
        <v>2467</v>
      </c>
    </row>
    <row r="764" spans="1:8" x14ac:dyDescent="0.35">
      <c r="A764" s="22" t="s">
        <v>851</v>
      </c>
      <c r="B764" s="22" t="str">
        <f>"00798"</f>
        <v>00798</v>
      </c>
      <c r="C764" s="22" t="str">
        <f t="shared" si="11"/>
        <v>'0798.HK'</v>
      </c>
      <c r="D764" s="22" t="s">
        <v>2468</v>
      </c>
      <c r="E764" s="22" t="s">
        <v>1104</v>
      </c>
      <c r="F764" s="22">
        <v>2991869040</v>
      </c>
      <c r="G764" s="22">
        <v>27</v>
      </c>
      <c r="H764" s="22" t="s">
        <v>2469</v>
      </c>
    </row>
    <row r="765" spans="1:8" x14ac:dyDescent="0.35">
      <c r="A765" s="22" t="s">
        <v>851</v>
      </c>
      <c r="B765" s="22" t="str">
        <f>"01050"</f>
        <v>01050</v>
      </c>
      <c r="C765" s="22" t="str">
        <f t="shared" si="11"/>
        <v>'1050.HK'</v>
      </c>
      <c r="D765" s="22" t="s">
        <v>2470</v>
      </c>
      <c r="E765" s="22" t="s">
        <v>1152</v>
      </c>
      <c r="F765" s="22">
        <v>2991537616</v>
      </c>
      <c r="G765" s="22">
        <v>6</v>
      </c>
      <c r="H765" s="22" t="s">
        <v>2471</v>
      </c>
    </row>
    <row r="766" spans="1:8" x14ac:dyDescent="0.35">
      <c r="A766" s="22" t="s">
        <v>851</v>
      </c>
      <c r="B766" s="22" t="str">
        <f>"02448"</f>
        <v>02448</v>
      </c>
      <c r="C766" s="22" t="str">
        <f t="shared" si="11"/>
        <v>'2448.HK'</v>
      </c>
      <c r="D766" s="22" t="s">
        <v>2472</v>
      </c>
      <c r="E766" s="22" t="s">
        <v>1634</v>
      </c>
      <c r="F766" s="22">
        <v>2974140000</v>
      </c>
      <c r="G766" s="22">
        <v>7</v>
      </c>
      <c r="H766" s="22" t="s">
        <v>2473</v>
      </c>
    </row>
    <row r="767" spans="1:8" x14ac:dyDescent="0.35">
      <c r="A767" s="22" t="s">
        <v>851</v>
      </c>
      <c r="B767" s="22" t="str">
        <f>"01098"</f>
        <v>01098</v>
      </c>
      <c r="C767" s="22" t="str">
        <f t="shared" si="11"/>
        <v>'1098.HK'</v>
      </c>
      <c r="D767" s="22" t="s">
        <v>2474</v>
      </c>
      <c r="E767" s="22" t="s">
        <v>924</v>
      </c>
      <c r="F767" s="22">
        <v>2967372801.3600001</v>
      </c>
      <c r="G767" s="22">
        <v>153</v>
      </c>
      <c r="H767" s="22" t="s">
        <v>2475</v>
      </c>
    </row>
    <row r="768" spans="1:8" x14ac:dyDescent="0.35">
      <c r="A768" s="22" t="s">
        <v>851</v>
      </c>
      <c r="B768" s="22" t="str">
        <f>"06667"</f>
        <v>06667</v>
      </c>
      <c r="C768" s="22" t="str">
        <f t="shared" si="11"/>
        <v>'6667.HK'</v>
      </c>
      <c r="D768" s="22" t="s">
        <v>2476</v>
      </c>
      <c r="E768" s="22" t="s">
        <v>941</v>
      </c>
      <c r="F768" s="22">
        <v>2956929768</v>
      </c>
      <c r="G768" s="22">
        <v>1</v>
      </c>
      <c r="H768" s="22" t="s">
        <v>2477</v>
      </c>
    </row>
    <row r="769" spans="1:8" x14ac:dyDescent="0.35">
      <c r="A769" s="22" t="s">
        <v>851</v>
      </c>
      <c r="B769" s="22" t="str">
        <f>"00259"</f>
        <v>00259</v>
      </c>
      <c r="C769" s="22" t="str">
        <f t="shared" si="11"/>
        <v>'0259.HK'</v>
      </c>
      <c r="D769" s="22" t="s">
        <v>2478</v>
      </c>
      <c r="E769" s="22" t="s">
        <v>1167</v>
      </c>
      <c r="F769" s="22">
        <v>2953911660</v>
      </c>
      <c r="G769" s="22">
        <v>8</v>
      </c>
      <c r="H769" s="22" t="s">
        <v>2479</v>
      </c>
    </row>
    <row r="770" spans="1:8" x14ac:dyDescent="0.35">
      <c r="A770" s="22" t="s">
        <v>851</v>
      </c>
      <c r="B770" s="22" t="str">
        <f>"01034"</f>
        <v>01034</v>
      </c>
      <c r="C770" s="22" t="str">
        <f t="shared" si="11"/>
        <v>'1034.HK'</v>
      </c>
      <c r="D770" s="22" t="s">
        <v>2480</v>
      </c>
      <c r="E770" s="22" t="s">
        <v>1078</v>
      </c>
      <c r="F770" s="22">
        <v>2928000000</v>
      </c>
      <c r="G770" s="22">
        <v>2</v>
      </c>
      <c r="H770" s="22" t="s">
        <v>2481</v>
      </c>
    </row>
    <row r="771" spans="1:8" x14ac:dyDescent="0.35">
      <c r="A771" s="22" t="s">
        <v>851</v>
      </c>
      <c r="B771" s="22" t="str">
        <f>"01272"</f>
        <v>01272</v>
      </c>
      <c r="C771" s="22" t="str">
        <f t="shared" ref="C771:C834" si="12">CONCATENATE("'",RIGHT(B771,4),".HK'")</f>
        <v>'1272.HK'</v>
      </c>
      <c r="D771" s="22" t="s">
        <v>2482</v>
      </c>
      <c r="E771" s="22" t="s">
        <v>1301</v>
      </c>
      <c r="F771" s="22">
        <v>2848840320</v>
      </c>
      <c r="G771" s="22">
        <v>20</v>
      </c>
      <c r="H771" s="22" t="s">
        <v>2483</v>
      </c>
    </row>
    <row r="772" spans="1:8" x14ac:dyDescent="0.35">
      <c r="A772" s="22" t="s">
        <v>851</v>
      </c>
      <c r="B772" s="22" t="str">
        <f>"00607"</f>
        <v>00607</v>
      </c>
      <c r="C772" s="22" t="str">
        <f t="shared" si="12"/>
        <v>'0607.HK'</v>
      </c>
      <c r="D772" s="22" t="s">
        <v>2484</v>
      </c>
      <c r="E772" s="22" t="s">
        <v>1301</v>
      </c>
      <c r="F772" s="22">
        <v>2838945050.217</v>
      </c>
      <c r="G772" s="22">
        <v>20</v>
      </c>
      <c r="H772" s="22" t="s">
        <v>2485</v>
      </c>
    </row>
    <row r="773" spans="1:8" x14ac:dyDescent="0.35">
      <c r="A773" s="22" t="s">
        <v>851</v>
      </c>
      <c r="B773" s="22" t="str">
        <f>"02215"</f>
        <v>02215</v>
      </c>
      <c r="C773" s="22" t="str">
        <f t="shared" si="12"/>
        <v>'2215.HK'</v>
      </c>
      <c r="D773" s="22" t="s">
        <v>2486</v>
      </c>
      <c r="E773" s="22" t="s">
        <v>1104</v>
      </c>
      <c r="F773" s="22">
        <v>2838696900</v>
      </c>
      <c r="G773" s="22">
        <v>10</v>
      </c>
      <c r="H773" s="22" t="s">
        <v>2487</v>
      </c>
    </row>
    <row r="774" spans="1:8" x14ac:dyDescent="0.35">
      <c r="A774" s="22" t="s">
        <v>851</v>
      </c>
      <c r="B774" s="22" t="str">
        <f>"00305"</f>
        <v>00305</v>
      </c>
      <c r="C774" s="22" t="str">
        <f t="shared" si="12"/>
        <v>'0305.HK'</v>
      </c>
      <c r="D774" s="22" t="s">
        <v>2488</v>
      </c>
      <c r="E774" s="22" t="s">
        <v>1122</v>
      </c>
      <c r="F774" s="22">
        <v>2836418745.52</v>
      </c>
      <c r="G774" s="22">
        <v>31</v>
      </c>
      <c r="H774" s="22" t="s">
        <v>2489</v>
      </c>
    </row>
    <row r="775" spans="1:8" x14ac:dyDescent="0.35">
      <c r="A775" s="22" t="s">
        <v>851</v>
      </c>
      <c r="B775" s="22" t="str">
        <f>"00050"</f>
        <v>00050</v>
      </c>
      <c r="C775" s="22" t="str">
        <f t="shared" si="12"/>
        <v>'0050.HK'</v>
      </c>
      <c r="D775" s="22" t="s">
        <v>2490</v>
      </c>
      <c r="E775" s="22" t="s">
        <v>1028</v>
      </c>
      <c r="F775" s="22">
        <v>2832377369.8499999</v>
      </c>
      <c r="G775" s="22">
        <v>18</v>
      </c>
      <c r="H775" s="22" t="s">
        <v>2491</v>
      </c>
    </row>
    <row r="776" spans="1:8" x14ac:dyDescent="0.35">
      <c r="A776" s="22" t="s">
        <v>851</v>
      </c>
      <c r="B776" s="22" t="str">
        <f>"01345"</f>
        <v>01345</v>
      </c>
      <c r="C776" s="22" t="str">
        <f t="shared" si="12"/>
        <v>'1345.HK'</v>
      </c>
      <c r="D776" s="22" t="s">
        <v>2492</v>
      </c>
      <c r="E776" s="22" t="s">
        <v>969</v>
      </c>
      <c r="F776" s="22">
        <v>2829255750</v>
      </c>
      <c r="G776" s="22">
        <v>22</v>
      </c>
      <c r="H776" s="22" t="s">
        <v>2493</v>
      </c>
    </row>
    <row r="777" spans="1:8" x14ac:dyDescent="0.35">
      <c r="A777" s="22" t="s">
        <v>851</v>
      </c>
      <c r="B777" s="22" t="str">
        <f>"02420"</f>
        <v>02420</v>
      </c>
      <c r="C777" s="22" t="str">
        <f t="shared" si="12"/>
        <v>'2420.HK'</v>
      </c>
      <c r="D777" s="22" t="s">
        <v>2494</v>
      </c>
      <c r="E777" s="22" t="s">
        <v>853</v>
      </c>
      <c r="F777" s="22">
        <v>2825000000</v>
      </c>
      <c r="H777" s="22" t="s">
        <v>2495</v>
      </c>
    </row>
    <row r="778" spans="1:8" x14ac:dyDescent="0.35">
      <c r="A778" s="22" t="s">
        <v>851</v>
      </c>
      <c r="B778" s="22" t="str">
        <f>"08279"</f>
        <v>08279</v>
      </c>
      <c r="C778" s="22" t="str">
        <f t="shared" si="12"/>
        <v>'8279.HK'</v>
      </c>
      <c r="D778" s="22" t="s">
        <v>2496</v>
      </c>
      <c r="E778" s="22" t="s">
        <v>961</v>
      </c>
      <c r="F778" s="22">
        <v>2824706820.8699999</v>
      </c>
      <c r="G778" s="22">
        <v>6</v>
      </c>
      <c r="H778" s="22" t="s">
        <v>2497</v>
      </c>
    </row>
    <row r="779" spans="1:8" x14ac:dyDescent="0.35">
      <c r="A779" s="22" t="s">
        <v>851</v>
      </c>
      <c r="B779" s="22" t="str">
        <f>"00078"</f>
        <v>00078</v>
      </c>
      <c r="C779" s="22" t="str">
        <f t="shared" si="12"/>
        <v>'0078.HK'</v>
      </c>
      <c r="D779" s="22" t="s">
        <v>2498</v>
      </c>
      <c r="E779" s="22" t="s">
        <v>1070</v>
      </c>
      <c r="F779" s="22">
        <v>2786225232.3000002</v>
      </c>
      <c r="G779" s="22">
        <v>10</v>
      </c>
      <c r="H779" s="22" t="s">
        <v>2499</v>
      </c>
    </row>
    <row r="780" spans="1:8" x14ac:dyDescent="0.35">
      <c r="A780" s="22" t="s">
        <v>851</v>
      </c>
      <c r="B780" s="22" t="str">
        <f>"00580"</f>
        <v>00580</v>
      </c>
      <c r="C780" s="22" t="str">
        <f t="shared" si="12"/>
        <v>'0580.HK'</v>
      </c>
      <c r="D780" s="22" t="s">
        <v>2500</v>
      </c>
      <c r="E780" s="22" t="s">
        <v>1224</v>
      </c>
      <c r="F780" s="22">
        <v>2772067600</v>
      </c>
      <c r="G780" s="22">
        <v>15</v>
      </c>
      <c r="H780" s="22" t="s">
        <v>2501</v>
      </c>
    </row>
    <row r="781" spans="1:8" x14ac:dyDescent="0.35">
      <c r="A781" s="22" t="s">
        <v>851</v>
      </c>
      <c r="B781" s="22" t="str">
        <f>"06677"</f>
        <v>06677</v>
      </c>
      <c r="C781" s="22" t="str">
        <f t="shared" si="12"/>
        <v>'6677.HK'</v>
      </c>
      <c r="D781" s="22" t="s">
        <v>2502</v>
      </c>
      <c r="E781" s="22" t="s">
        <v>1104</v>
      </c>
      <c r="F781" s="22">
        <v>2770560000</v>
      </c>
      <c r="G781" s="22">
        <v>26</v>
      </c>
      <c r="H781" s="22" t="s">
        <v>2503</v>
      </c>
    </row>
    <row r="782" spans="1:8" x14ac:dyDescent="0.35">
      <c r="A782" s="22" t="s">
        <v>851</v>
      </c>
      <c r="B782" s="22" t="str">
        <f>"03833"</f>
        <v>03833</v>
      </c>
      <c r="C782" s="22" t="str">
        <f t="shared" si="12"/>
        <v>'3833.HK'</v>
      </c>
      <c r="D782" s="22" t="s">
        <v>2504</v>
      </c>
      <c r="E782" s="22" t="s">
        <v>1060</v>
      </c>
      <c r="F782" s="22">
        <v>2762500000</v>
      </c>
      <c r="G782" s="22">
        <v>13</v>
      </c>
      <c r="H782" s="22" t="s">
        <v>2505</v>
      </c>
    </row>
    <row r="783" spans="1:8" x14ac:dyDescent="0.35">
      <c r="A783" s="22" t="s">
        <v>851</v>
      </c>
      <c r="B783" s="22" t="str">
        <f>"02772"</f>
        <v>02772</v>
      </c>
      <c r="C783" s="22" t="str">
        <f t="shared" si="12"/>
        <v>'2772.HK'</v>
      </c>
      <c r="D783" s="22" t="s">
        <v>2506</v>
      </c>
      <c r="E783" s="22" t="s">
        <v>924</v>
      </c>
      <c r="F783" s="22">
        <v>2757979455</v>
      </c>
      <c r="G783" s="22">
        <v>37</v>
      </c>
      <c r="H783" s="22" t="s">
        <v>2507</v>
      </c>
    </row>
    <row r="784" spans="1:8" x14ac:dyDescent="0.35">
      <c r="A784" s="22" t="s">
        <v>851</v>
      </c>
      <c r="B784" s="22" t="str">
        <f>"02225"</f>
        <v>02225</v>
      </c>
      <c r="C784" s="22" t="str">
        <f t="shared" si="12"/>
        <v>'2225.HK'</v>
      </c>
      <c r="D784" s="22" t="s">
        <v>2508</v>
      </c>
      <c r="E784" s="22" t="s">
        <v>1671</v>
      </c>
      <c r="F784" s="22">
        <v>2755200000</v>
      </c>
      <c r="G784" s="22">
        <v>2</v>
      </c>
      <c r="H784" s="22" t="s">
        <v>2509</v>
      </c>
    </row>
    <row r="785" spans="1:8" x14ac:dyDescent="0.35">
      <c r="A785" s="22" t="s">
        <v>851</v>
      </c>
      <c r="B785" s="22" t="str">
        <f>"00194"</f>
        <v>00194</v>
      </c>
      <c r="C785" s="22" t="str">
        <f t="shared" si="12"/>
        <v>'0194.HK'</v>
      </c>
      <c r="D785" s="22" t="s">
        <v>2510</v>
      </c>
      <c r="E785" s="22" t="s">
        <v>1028</v>
      </c>
      <c r="F785" s="22">
        <v>2744729940</v>
      </c>
      <c r="G785" s="22">
        <v>22</v>
      </c>
      <c r="H785" s="22" t="s">
        <v>2511</v>
      </c>
    </row>
    <row r="786" spans="1:8" x14ac:dyDescent="0.35">
      <c r="A786" s="22" t="s">
        <v>851</v>
      </c>
      <c r="B786" s="22" t="str">
        <f>"02385"</f>
        <v>02385</v>
      </c>
      <c r="C786" s="22" t="str">
        <f t="shared" si="12"/>
        <v>'2385.HK'</v>
      </c>
      <c r="D786" s="22" t="s">
        <v>2512</v>
      </c>
      <c r="E786" s="22" t="s">
        <v>1270</v>
      </c>
      <c r="F786" s="22">
        <v>2742080000</v>
      </c>
      <c r="G786" s="22">
        <v>1</v>
      </c>
      <c r="H786" s="22" t="s">
        <v>2513</v>
      </c>
    </row>
    <row r="787" spans="1:8" x14ac:dyDescent="0.35">
      <c r="A787" s="22" t="s">
        <v>851</v>
      </c>
      <c r="B787" s="22" t="str">
        <f>"01651"</f>
        <v>01651</v>
      </c>
      <c r="C787" s="22" t="str">
        <f t="shared" si="12"/>
        <v>'1651.HK'</v>
      </c>
      <c r="D787" s="22" t="s">
        <v>2514</v>
      </c>
      <c r="E787" s="22" t="s">
        <v>1224</v>
      </c>
      <c r="F787" s="22">
        <v>2741788800</v>
      </c>
      <c r="G787" s="22">
        <v>11</v>
      </c>
      <c r="H787" s="22" t="s">
        <v>2515</v>
      </c>
    </row>
    <row r="788" spans="1:8" x14ac:dyDescent="0.35">
      <c r="A788" s="22" t="s">
        <v>851</v>
      </c>
      <c r="B788" s="22" t="str">
        <f>"00807"</f>
        <v>00807</v>
      </c>
      <c r="C788" s="22" t="str">
        <f t="shared" si="12"/>
        <v>'0807.HK'</v>
      </c>
      <c r="D788" s="22" t="s">
        <v>2516</v>
      </c>
      <c r="E788" s="22" t="s">
        <v>1255</v>
      </c>
      <c r="F788" s="22">
        <v>2730205669.5599999</v>
      </c>
      <c r="G788" s="22">
        <v>53</v>
      </c>
      <c r="H788" s="22" t="s">
        <v>2517</v>
      </c>
    </row>
    <row r="789" spans="1:8" x14ac:dyDescent="0.35">
      <c r="A789" s="22" t="s">
        <v>851</v>
      </c>
      <c r="B789" s="22" t="str">
        <f>"00158"</f>
        <v>00158</v>
      </c>
      <c r="C789" s="22" t="str">
        <f t="shared" si="12"/>
        <v>'0158.HK'</v>
      </c>
      <c r="D789" s="22" t="s">
        <v>2518</v>
      </c>
      <c r="E789" s="22" t="s">
        <v>1028</v>
      </c>
      <c r="F789" s="22">
        <v>2725000000</v>
      </c>
      <c r="G789" s="22">
        <v>11</v>
      </c>
      <c r="H789" s="22" t="s">
        <v>2519</v>
      </c>
    </row>
    <row r="790" spans="1:8" x14ac:dyDescent="0.35">
      <c r="A790" s="22" t="s">
        <v>851</v>
      </c>
      <c r="B790" s="22" t="str">
        <f>"01729"</f>
        <v>01729</v>
      </c>
      <c r="C790" s="22" t="str">
        <f t="shared" si="12"/>
        <v>'1729.HK'</v>
      </c>
      <c r="D790" s="22" t="s">
        <v>2520</v>
      </c>
      <c r="E790" s="22" t="s">
        <v>938</v>
      </c>
      <c r="F790" s="22">
        <v>2724332800</v>
      </c>
      <c r="G790" s="22">
        <v>9</v>
      </c>
      <c r="H790" s="22" t="s">
        <v>2521</v>
      </c>
    </row>
    <row r="791" spans="1:8" x14ac:dyDescent="0.35">
      <c r="A791" s="22" t="s">
        <v>851</v>
      </c>
      <c r="B791" s="22" t="str">
        <f>"00709"</f>
        <v>00709</v>
      </c>
      <c r="C791" s="22" t="str">
        <f t="shared" si="12"/>
        <v>'0709.HK'</v>
      </c>
      <c r="D791" s="22" t="s">
        <v>2522</v>
      </c>
      <c r="E791" s="22" t="s">
        <v>889</v>
      </c>
      <c r="F791" s="22">
        <v>2718402410.96</v>
      </c>
      <c r="G791" s="22">
        <v>34</v>
      </c>
      <c r="H791" s="22" t="s">
        <v>2523</v>
      </c>
    </row>
    <row r="792" spans="1:8" x14ac:dyDescent="0.35">
      <c r="A792" s="22" t="s">
        <v>851</v>
      </c>
      <c r="B792" s="22" t="str">
        <f>"01450"</f>
        <v>01450</v>
      </c>
      <c r="C792" s="22" t="str">
        <f t="shared" si="12"/>
        <v>'1450.HK'</v>
      </c>
      <c r="D792" s="22" t="s">
        <v>2524</v>
      </c>
      <c r="E792" s="22" t="s">
        <v>1202</v>
      </c>
      <c r="F792" s="22">
        <v>2714330959.6500001</v>
      </c>
      <c r="G792" s="22">
        <v>2</v>
      </c>
      <c r="H792" s="22" t="s">
        <v>2525</v>
      </c>
    </row>
    <row r="793" spans="1:8" x14ac:dyDescent="0.35">
      <c r="A793" s="22" t="s">
        <v>851</v>
      </c>
      <c r="B793" s="22" t="str">
        <f>"00978"</f>
        <v>00978</v>
      </c>
      <c r="C793" s="22" t="str">
        <f t="shared" si="12"/>
        <v>'0978.HK'</v>
      </c>
      <c r="D793" s="22" t="s">
        <v>2526</v>
      </c>
      <c r="E793" s="22" t="s">
        <v>924</v>
      </c>
      <c r="F793" s="22">
        <v>2697891823</v>
      </c>
      <c r="G793" s="22">
        <v>72</v>
      </c>
      <c r="H793" s="22" t="s">
        <v>2527</v>
      </c>
    </row>
    <row r="794" spans="1:8" x14ac:dyDescent="0.35">
      <c r="A794" s="22" t="s">
        <v>851</v>
      </c>
      <c r="B794" s="22" t="str">
        <f>"01970"</f>
        <v>01970</v>
      </c>
      <c r="C794" s="22" t="str">
        <f t="shared" si="12"/>
        <v>'1970.HK'</v>
      </c>
      <c r="D794" s="22" t="s">
        <v>2528</v>
      </c>
      <c r="E794" s="22" t="s">
        <v>1185</v>
      </c>
      <c r="F794" s="22">
        <v>2697856159.6799998</v>
      </c>
      <c r="G794" s="22">
        <v>40</v>
      </c>
      <c r="H794" s="22" t="s">
        <v>2529</v>
      </c>
    </row>
    <row r="795" spans="1:8" x14ac:dyDescent="0.35">
      <c r="A795" s="22" t="s">
        <v>851</v>
      </c>
      <c r="B795" s="22" t="str">
        <f>"01432"</f>
        <v>01432</v>
      </c>
      <c r="C795" s="22" t="str">
        <f t="shared" si="12"/>
        <v>'1432.HK'</v>
      </c>
      <c r="D795" s="22" t="s">
        <v>2530</v>
      </c>
      <c r="E795" s="22" t="s">
        <v>1019</v>
      </c>
      <c r="F795" s="22">
        <v>2682014473.2800002</v>
      </c>
      <c r="G795" s="22">
        <v>19</v>
      </c>
      <c r="H795" s="22" t="s">
        <v>2531</v>
      </c>
    </row>
    <row r="796" spans="1:8" x14ac:dyDescent="0.35">
      <c r="A796" s="22" t="s">
        <v>851</v>
      </c>
      <c r="B796" s="22" t="str">
        <f>"09960"</f>
        <v>09960</v>
      </c>
      <c r="C796" s="22" t="str">
        <f t="shared" si="12"/>
        <v>'9960.HK'</v>
      </c>
      <c r="D796" s="22" t="s">
        <v>2532</v>
      </c>
      <c r="E796" s="22" t="s">
        <v>1362</v>
      </c>
      <c r="F796" s="22">
        <v>2681360452.48</v>
      </c>
      <c r="G796" s="22">
        <v>5</v>
      </c>
      <c r="H796" s="22" t="s">
        <v>2533</v>
      </c>
    </row>
    <row r="797" spans="1:8" x14ac:dyDescent="0.35">
      <c r="A797" s="22" t="s">
        <v>851</v>
      </c>
      <c r="B797" s="22" t="str">
        <f>"00085"</f>
        <v>00085</v>
      </c>
      <c r="C797" s="22" t="str">
        <f t="shared" si="12"/>
        <v>'0085.HK'</v>
      </c>
      <c r="D797" s="22" t="s">
        <v>2534</v>
      </c>
      <c r="E797" s="22" t="s">
        <v>1040</v>
      </c>
      <c r="F797" s="22">
        <v>2679431040</v>
      </c>
      <c r="G797" s="22">
        <v>21</v>
      </c>
      <c r="H797" s="22" t="s">
        <v>2535</v>
      </c>
    </row>
    <row r="798" spans="1:8" x14ac:dyDescent="0.35">
      <c r="A798" s="22" t="s">
        <v>851</v>
      </c>
      <c r="B798" s="22" t="str">
        <f>"00185"</f>
        <v>00185</v>
      </c>
      <c r="C798" s="22" t="str">
        <f t="shared" si="12"/>
        <v>'0185.HK'</v>
      </c>
      <c r="D798" s="22" t="s">
        <v>2536</v>
      </c>
      <c r="E798" s="22" t="s">
        <v>924</v>
      </c>
      <c r="F798" s="22">
        <v>2678741336.5999999</v>
      </c>
      <c r="G798" s="22">
        <v>9</v>
      </c>
      <c r="H798" s="22" t="s">
        <v>2537</v>
      </c>
    </row>
    <row r="799" spans="1:8" x14ac:dyDescent="0.35">
      <c r="A799" s="22" t="s">
        <v>851</v>
      </c>
      <c r="B799" s="22" t="str">
        <f>"01599"</f>
        <v>01599</v>
      </c>
      <c r="C799" s="22" t="str">
        <f t="shared" si="12"/>
        <v>'1599.HK'</v>
      </c>
      <c r="D799" s="22" t="s">
        <v>2538</v>
      </c>
      <c r="E799" s="22" t="s">
        <v>1634</v>
      </c>
      <c r="F799" s="22">
        <v>2670366600</v>
      </c>
      <c r="G799" s="22">
        <v>51</v>
      </c>
      <c r="H799" s="22" t="s">
        <v>2539</v>
      </c>
    </row>
    <row r="800" spans="1:8" x14ac:dyDescent="0.35">
      <c r="A800" s="22" t="s">
        <v>851</v>
      </c>
      <c r="B800" s="22" t="str">
        <f>"01899"</f>
        <v>01899</v>
      </c>
      <c r="C800" s="22" t="str">
        <f t="shared" si="12"/>
        <v>'1899.HK'</v>
      </c>
      <c r="D800" s="22" t="s">
        <v>2540</v>
      </c>
      <c r="E800" s="22" t="s">
        <v>1109</v>
      </c>
      <c r="F800" s="22">
        <v>2659912318.4000001</v>
      </c>
      <c r="G800" s="22">
        <v>38</v>
      </c>
      <c r="H800" s="22" t="s">
        <v>2541</v>
      </c>
    </row>
    <row r="801" spans="1:8" x14ac:dyDescent="0.35">
      <c r="A801" s="22" t="s">
        <v>851</v>
      </c>
      <c r="B801" s="22" t="str">
        <f>"03393"</f>
        <v>03393</v>
      </c>
      <c r="C801" s="22" t="str">
        <f t="shared" si="12"/>
        <v>'3393.HK'</v>
      </c>
      <c r="D801" s="22" t="s">
        <v>2542</v>
      </c>
      <c r="E801" s="22" t="s">
        <v>1224</v>
      </c>
      <c r="F801" s="22">
        <v>2658998732.25</v>
      </c>
      <c r="G801" s="22">
        <v>27</v>
      </c>
      <c r="H801" s="22" t="s">
        <v>2543</v>
      </c>
    </row>
    <row r="802" spans="1:8" x14ac:dyDescent="0.35">
      <c r="A802" s="22" t="s">
        <v>851</v>
      </c>
      <c r="B802" s="22" t="str">
        <f>"00088"</f>
        <v>00088</v>
      </c>
      <c r="C802" s="22" t="str">
        <f t="shared" si="12"/>
        <v>'0088.HK'</v>
      </c>
      <c r="D802" s="22" t="s">
        <v>2544</v>
      </c>
      <c r="E802" s="22" t="s">
        <v>924</v>
      </c>
      <c r="F802" s="22">
        <v>2655385127.5</v>
      </c>
      <c r="G802" s="22">
        <v>14</v>
      </c>
      <c r="H802" s="22" t="s">
        <v>2545</v>
      </c>
    </row>
    <row r="803" spans="1:8" x14ac:dyDescent="0.35">
      <c r="A803" s="22" t="s">
        <v>851</v>
      </c>
      <c r="B803" s="22" t="str">
        <f>"01223"</f>
        <v>01223</v>
      </c>
      <c r="C803" s="22" t="str">
        <f t="shared" si="12"/>
        <v>'1223.HK'</v>
      </c>
      <c r="D803" s="22" t="s">
        <v>2546</v>
      </c>
      <c r="E803" s="22" t="s">
        <v>1332</v>
      </c>
      <c r="F803" s="22">
        <v>2647060457.3699999</v>
      </c>
      <c r="G803" s="22">
        <v>2</v>
      </c>
      <c r="H803" s="22" t="s">
        <v>2547</v>
      </c>
    </row>
    <row r="804" spans="1:8" x14ac:dyDescent="0.35">
      <c r="A804" s="22" t="s">
        <v>851</v>
      </c>
      <c r="B804" s="22" t="str">
        <f>"01680"</f>
        <v>01680</v>
      </c>
      <c r="C804" s="22" t="str">
        <f t="shared" si="12"/>
        <v>'1680.HK'</v>
      </c>
      <c r="D804" s="22" t="s">
        <v>2548</v>
      </c>
      <c r="E804" s="22" t="s">
        <v>961</v>
      </c>
      <c r="F804" s="22">
        <v>2635504526</v>
      </c>
      <c r="G804" s="22">
        <v>12</v>
      </c>
      <c r="H804" s="22" t="s">
        <v>2549</v>
      </c>
    </row>
    <row r="805" spans="1:8" x14ac:dyDescent="0.35">
      <c r="A805" s="22" t="s">
        <v>851</v>
      </c>
      <c r="B805" s="22" t="str">
        <f>"00626"</f>
        <v>00626</v>
      </c>
      <c r="C805" s="22" t="str">
        <f t="shared" si="12"/>
        <v>'0626.HK'</v>
      </c>
      <c r="D805" s="22" t="s">
        <v>2550</v>
      </c>
      <c r="E805" s="22" t="s">
        <v>858</v>
      </c>
      <c r="F805" s="22">
        <v>2635002283.1999998</v>
      </c>
      <c r="G805" s="22">
        <v>19</v>
      </c>
      <c r="H805" s="22" t="s">
        <v>2551</v>
      </c>
    </row>
    <row r="806" spans="1:8" x14ac:dyDescent="0.35">
      <c r="A806" s="22" t="s">
        <v>851</v>
      </c>
      <c r="B806" s="22" t="str">
        <f>"01660"</f>
        <v>01660</v>
      </c>
      <c r="C806" s="22" t="str">
        <f t="shared" si="12"/>
        <v>'1660.HK'</v>
      </c>
      <c r="D806" s="22" t="s">
        <v>2552</v>
      </c>
      <c r="E806" s="22" t="s">
        <v>1395</v>
      </c>
      <c r="F806" s="22">
        <v>2632875000</v>
      </c>
      <c r="G806" s="22">
        <v>3</v>
      </c>
      <c r="H806" s="22" t="s">
        <v>2553</v>
      </c>
    </row>
    <row r="807" spans="1:8" x14ac:dyDescent="0.35">
      <c r="A807" s="22" t="s">
        <v>851</v>
      </c>
      <c r="B807" s="22" t="str">
        <f>"01931"</f>
        <v>01931</v>
      </c>
      <c r="C807" s="22" t="str">
        <f t="shared" si="12"/>
        <v>'1931.HK'</v>
      </c>
      <c r="D807" s="22" t="s">
        <v>2554</v>
      </c>
      <c r="E807" s="22" t="s">
        <v>1232</v>
      </c>
      <c r="F807" s="22">
        <v>2627904755.1999998</v>
      </c>
      <c r="G807" s="22">
        <v>3</v>
      </c>
      <c r="H807" s="22" t="s">
        <v>2555</v>
      </c>
    </row>
    <row r="808" spans="1:8" x14ac:dyDescent="0.35">
      <c r="A808" s="22" t="s">
        <v>851</v>
      </c>
      <c r="B808" s="22" t="str">
        <f>"01231"</f>
        <v>01231</v>
      </c>
      <c r="C808" s="22" t="str">
        <f t="shared" si="12"/>
        <v>'1231.HK'</v>
      </c>
      <c r="D808" s="22" t="s">
        <v>2556</v>
      </c>
      <c r="E808" s="22" t="s">
        <v>1579</v>
      </c>
      <c r="F808" s="22">
        <v>2600000000</v>
      </c>
      <c r="G808" s="22">
        <v>3</v>
      </c>
      <c r="H808" s="22" t="s">
        <v>2557</v>
      </c>
    </row>
    <row r="809" spans="1:8" x14ac:dyDescent="0.35">
      <c r="A809" s="22" t="s">
        <v>851</v>
      </c>
      <c r="B809" s="22" t="str">
        <f>"01122"</f>
        <v>01122</v>
      </c>
      <c r="C809" s="22" t="str">
        <f t="shared" si="12"/>
        <v>'1122.HK'</v>
      </c>
      <c r="D809" s="22" t="s">
        <v>2558</v>
      </c>
      <c r="E809" s="22" t="s">
        <v>1109</v>
      </c>
      <c r="F809" s="22">
        <v>2581558998.7199998</v>
      </c>
      <c r="G809" s="22">
        <v>33</v>
      </c>
      <c r="H809" s="22" t="s">
        <v>2559</v>
      </c>
    </row>
    <row r="810" spans="1:8" x14ac:dyDescent="0.35">
      <c r="A810" s="22" t="s">
        <v>851</v>
      </c>
      <c r="B810" s="22" t="str">
        <f>"03611"</f>
        <v>03611</v>
      </c>
      <c r="C810" s="22" t="str">
        <f t="shared" si="12"/>
        <v>'3611.HK'</v>
      </c>
      <c r="D810" s="22" t="s">
        <v>2560</v>
      </c>
      <c r="E810" s="22" t="s">
        <v>853</v>
      </c>
      <c r="F810" s="22">
        <v>2580000000</v>
      </c>
      <c r="H810" s="22" t="s">
        <v>2561</v>
      </c>
    </row>
    <row r="811" spans="1:8" x14ac:dyDescent="0.35">
      <c r="A811" s="22" t="s">
        <v>851</v>
      </c>
      <c r="B811" s="22" t="str">
        <f>"00411"</f>
        <v>00411</v>
      </c>
      <c r="C811" s="22" t="str">
        <f t="shared" si="12"/>
        <v>'0411.HK'</v>
      </c>
      <c r="D811" s="22" t="s">
        <v>2562</v>
      </c>
      <c r="E811" s="22" t="s">
        <v>1329</v>
      </c>
      <c r="F811" s="22">
        <v>2579554149</v>
      </c>
      <c r="G811" s="22">
        <v>25</v>
      </c>
      <c r="H811" s="22" t="s">
        <v>2563</v>
      </c>
    </row>
    <row r="812" spans="1:8" x14ac:dyDescent="0.35">
      <c r="A812" s="22" t="s">
        <v>851</v>
      </c>
      <c r="B812" s="22" t="str">
        <f>"02383"</f>
        <v>02383</v>
      </c>
      <c r="C812" s="22" t="str">
        <f t="shared" si="12"/>
        <v>'2383.HK'</v>
      </c>
      <c r="D812" s="22" t="s">
        <v>2564</v>
      </c>
      <c r="E812" s="22" t="s">
        <v>1400</v>
      </c>
      <c r="F812" s="22">
        <v>2533446757.1199999</v>
      </c>
      <c r="G812" s="22">
        <v>7</v>
      </c>
      <c r="H812" s="22" t="s">
        <v>2565</v>
      </c>
    </row>
    <row r="813" spans="1:8" x14ac:dyDescent="0.35">
      <c r="A813" s="22" t="s">
        <v>851</v>
      </c>
      <c r="B813" s="22" t="str">
        <f>"03886"</f>
        <v>03886</v>
      </c>
      <c r="C813" s="22" t="str">
        <f t="shared" si="12"/>
        <v>'3886.HK'</v>
      </c>
      <c r="D813" s="22" t="s">
        <v>2566</v>
      </c>
      <c r="E813" s="22" t="s">
        <v>1362</v>
      </c>
      <c r="F813" s="22">
        <v>2529458547.2399998</v>
      </c>
      <c r="G813" s="22">
        <v>6</v>
      </c>
      <c r="H813" s="22" t="s">
        <v>2567</v>
      </c>
    </row>
    <row r="814" spans="1:8" x14ac:dyDescent="0.35">
      <c r="A814" s="22" t="s">
        <v>851</v>
      </c>
      <c r="B814" s="22" t="str">
        <f>"00400"</f>
        <v>00400</v>
      </c>
      <c r="C814" s="22" t="str">
        <f t="shared" si="12"/>
        <v>'0400.HK'</v>
      </c>
      <c r="D814" s="22" t="s">
        <v>2568</v>
      </c>
      <c r="E814" s="22" t="s">
        <v>853</v>
      </c>
      <c r="F814" s="22">
        <v>2509672917.5999999</v>
      </c>
      <c r="G814" s="22">
        <v>35</v>
      </c>
      <c r="H814" s="22" t="s">
        <v>2569</v>
      </c>
    </row>
    <row r="815" spans="1:8" x14ac:dyDescent="0.35">
      <c r="A815" s="22" t="s">
        <v>851</v>
      </c>
      <c r="B815" s="22" t="str">
        <f>"00163"</f>
        <v>00163</v>
      </c>
      <c r="C815" s="22" t="str">
        <f t="shared" si="12"/>
        <v>'0163.HK'</v>
      </c>
      <c r="D815" s="22" t="s">
        <v>2570</v>
      </c>
      <c r="E815" s="22" t="s">
        <v>1028</v>
      </c>
      <c r="F815" s="22">
        <v>2463955596.8899999</v>
      </c>
      <c r="G815" s="22">
        <v>41</v>
      </c>
      <c r="H815" s="22" t="s">
        <v>2571</v>
      </c>
    </row>
    <row r="816" spans="1:8" x14ac:dyDescent="0.35">
      <c r="A816" s="22" t="s">
        <v>851</v>
      </c>
      <c r="B816" s="22" t="str">
        <f>"09991"</f>
        <v>09991</v>
      </c>
      <c r="C816" s="22" t="str">
        <f t="shared" si="12"/>
        <v>'9991.HK'</v>
      </c>
      <c r="D816" s="22" t="s">
        <v>2572</v>
      </c>
      <c r="E816" s="22" t="s">
        <v>853</v>
      </c>
      <c r="F816" s="22">
        <v>2454735234.2399998</v>
      </c>
      <c r="G816" s="22">
        <v>13</v>
      </c>
      <c r="H816" s="22" t="s">
        <v>2573</v>
      </c>
    </row>
    <row r="817" spans="1:8" x14ac:dyDescent="0.35">
      <c r="A817" s="22" t="s">
        <v>851</v>
      </c>
      <c r="B817" s="22" t="str">
        <f>"00331"</f>
        <v>00331</v>
      </c>
      <c r="C817" s="22" t="str">
        <f t="shared" si="12"/>
        <v>'0331.HK'</v>
      </c>
      <c r="D817" s="22" t="s">
        <v>2574</v>
      </c>
      <c r="E817" s="22" t="s">
        <v>1634</v>
      </c>
      <c r="F817" s="22">
        <v>2452500000</v>
      </c>
      <c r="G817" s="22">
        <v>14</v>
      </c>
      <c r="H817" s="22" t="s">
        <v>2575</v>
      </c>
    </row>
    <row r="818" spans="1:8" x14ac:dyDescent="0.35">
      <c r="A818" s="22" t="s">
        <v>851</v>
      </c>
      <c r="B818" s="22" t="str">
        <f>"00846"</f>
        <v>00846</v>
      </c>
      <c r="C818" s="22" t="str">
        <f t="shared" si="12"/>
        <v>'0846.HK'</v>
      </c>
      <c r="D818" s="22" t="s">
        <v>2576</v>
      </c>
      <c r="E818" s="22" t="s">
        <v>924</v>
      </c>
      <c r="F818" s="22">
        <v>2437380410.4000001</v>
      </c>
      <c r="G818" s="22">
        <v>8</v>
      </c>
      <c r="H818" s="22" t="s">
        <v>2577</v>
      </c>
    </row>
    <row r="819" spans="1:8" x14ac:dyDescent="0.35">
      <c r="A819" s="22" t="s">
        <v>851</v>
      </c>
      <c r="B819" s="22" t="str">
        <f>"01442"</f>
        <v>01442</v>
      </c>
      <c r="C819" s="22" t="str">
        <f t="shared" si="12"/>
        <v>'1442.HK'</v>
      </c>
      <c r="D819" s="22" t="s">
        <v>2578</v>
      </c>
      <c r="E819" s="22" t="s">
        <v>974</v>
      </c>
      <c r="F819" s="22">
        <v>2435520000</v>
      </c>
      <c r="G819" s="22">
        <v>4</v>
      </c>
      <c r="H819" s="22" t="s">
        <v>2579</v>
      </c>
    </row>
    <row r="820" spans="1:8" x14ac:dyDescent="0.35">
      <c r="A820" s="22" t="s">
        <v>851</v>
      </c>
      <c r="B820" s="22" t="str">
        <f>"02722"</f>
        <v>02722</v>
      </c>
      <c r="C820" s="22" t="str">
        <f t="shared" si="12"/>
        <v>'2722.HK'</v>
      </c>
      <c r="D820" s="22" t="s">
        <v>2580</v>
      </c>
      <c r="E820" s="22" t="s">
        <v>1224</v>
      </c>
      <c r="F820" s="22">
        <v>2431862501.6399999</v>
      </c>
      <c r="G820" s="22">
        <v>24</v>
      </c>
      <c r="H820" s="22" t="s">
        <v>2581</v>
      </c>
    </row>
    <row r="821" spans="1:8" x14ac:dyDescent="0.35">
      <c r="A821" s="22" t="s">
        <v>851</v>
      </c>
      <c r="B821" s="22" t="str">
        <f>"01543"</f>
        <v>01543</v>
      </c>
      <c r="C821" s="22" t="str">
        <f t="shared" si="12"/>
        <v>'1543.HK'</v>
      </c>
      <c r="D821" s="22" t="s">
        <v>2582</v>
      </c>
      <c r="E821" s="22" t="s">
        <v>1498</v>
      </c>
      <c r="F821" s="22">
        <v>2419228664.8499999</v>
      </c>
      <c r="G821" s="22">
        <v>7</v>
      </c>
      <c r="H821" s="22" t="s">
        <v>2583</v>
      </c>
    </row>
    <row r="822" spans="1:8" x14ac:dyDescent="0.35">
      <c r="A822" s="22" t="s">
        <v>851</v>
      </c>
      <c r="B822" s="22" t="str">
        <f>"06978"</f>
        <v>06978</v>
      </c>
      <c r="C822" s="22" t="str">
        <f t="shared" si="12"/>
        <v>'6978.HK'</v>
      </c>
      <c r="D822" s="22" t="s">
        <v>2584</v>
      </c>
      <c r="E822" s="22" t="s">
        <v>941</v>
      </c>
      <c r="F822" s="22">
        <v>2408253120</v>
      </c>
      <c r="G822" s="22">
        <v>12</v>
      </c>
      <c r="H822" s="22" t="s">
        <v>2585</v>
      </c>
    </row>
    <row r="823" spans="1:8" x14ac:dyDescent="0.35">
      <c r="A823" s="22" t="s">
        <v>851</v>
      </c>
      <c r="B823" s="22" t="str">
        <f>"00330"</f>
        <v>00330</v>
      </c>
      <c r="C823" s="22" t="str">
        <f t="shared" si="12"/>
        <v>'0330.HK'</v>
      </c>
      <c r="D823" s="22" t="s">
        <v>2586</v>
      </c>
      <c r="E823" s="22" t="s">
        <v>889</v>
      </c>
      <c r="F823" s="22">
        <v>2406194741.5500002</v>
      </c>
      <c r="G823" s="22">
        <v>17</v>
      </c>
      <c r="H823" s="22" t="s">
        <v>2587</v>
      </c>
    </row>
    <row r="824" spans="1:8" x14ac:dyDescent="0.35">
      <c r="A824" s="22" t="s">
        <v>851</v>
      </c>
      <c r="B824" s="22" t="str">
        <f>"01184"</f>
        <v>01184</v>
      </c>
      <c r="C824" s="22" t="str">
        <f t="shared" si="12"/>
        <v>'1184.HK'</v>
      </c>
      <c r="D824" s="22" t="s">
        <v>2588</v>
      </c>
      <c r="E824" s="22" t="s">
        <v>1224</v>
      </c>
      <c r="F824" s="22">
        <v>2378182272</v>
      </c>
      <c r="G824" s="22">
        <v>17</v>
      </c>
      <c r="H824" s="22" t="s">
        <v>2589</v>
      </c>
    </row>
    <row r="825" spans="1:8" x14ac:dyDescent="0.35">
      <c r="A825" s="22" t="s">
        <v>851</v>
      </c>
      <c r="B825" s="22" t="str">
        <f>"06601"</f>
        <v>06601</v>
      </c>
      <c r="C825" s="22" t="str">
        <f t="shared" si="12"/>
        <v>'6601.HK'</v>
      </c>
      <c r="D825" s="22" t="s">
        <v>2590</v>
      </c>
      <c r="E825" s="22" t="s">
        <v>1429</v>
      </c>
      <c r="F825" s="22">
        <v>2373333630</v>
      </c>
      <c r="G825" s="22">
        <v>19</v>
      </c>
      <c r="H825" s="22" t="s">
        <v>2591</v>
      </c>
    </row>
    <row r="826" spans="1:8" x14ac:dyDescent="0.35">
      <c r="A826" s="22" t="s">
        <v>851</v>
      </c>
      <c r="B826" s="22" t="str">
        <f>"02191"</f>
        <v>02191</v>
      </c>
      <c r="C826" s="22" t="str">
        <f t="shared" si="12"/>
        <v>'2191.HK'</v>
      </c>
      <c r="D826" s="22" t="s">
        <v>2592</v>
      </c>
      <c r="F826" s="22">
        <v>2368000000</v>
      </c>
      <c r="G826" s="22">
        <v>9</v>
      </c>
      <c r="H826" s="22" t="s">
        <v>2593</v>
      </c>
    </row>
    <row r="827" spans="1:8" x14ac:dyDescent="0.35">
      <c r="A827" s="22" t="s">
        <v>851</v>
      </c>
      <c r="B827" s="22" t="str">
        <f>"00818"</f>
        <v>00818</v>
      </c>
      <c r="C827" s="22" t="str">
        <f t="shared" si="12"/>
        <v>'0818.HK'</v>
      </c>
      <c r="D827" s="22" t="s">
        <v>2594</v>
      </c>
      <c r="E827" s="22" t="s">
        <v>853</v>
      </c>
      <c r="F827" s="22">
        <v>2360308759.75</v>
      </c>
      <c r="G827" s="22">
        <v>14</v>
      </c>
      <c r="H827" s="22" t="s">
        <v>2595</v>
      </c>
    </row>
    <row r="828" spans="1:8" x14ac:dyDescent="0.35">
      <c r="A828" s="22" t="s">
        <v>851</v>
      </c>
      <c r="B828" s="22" t="str">
        <f>"02361"</f>
        <v>02361</v>
      </c>
      <c r="C828" s="22" t="str">
        <f t="shared" si="12"/>
        <v>'2361.HK'</v>
      </c>
      <c r="D828" s="22" t="s">
        <v>2596</v>
      </c>
      <c r="E828" s="22" t="s">
        <v>1202</v>
      </c>
      <c r="F828" s="22">
        <v>2349204000</v>
      </c>
      <c r="G828" s="22">
        <v>1</v>
      </c>
      <c r="H828" s="22" t="s">
        <v>2597</v>
      </c>
    </row>
    <row r="829" spans="1:8" x14ac:dyDescent="0.35">
      <c r="A829" s="22" t="s">
        <v>851</v>
      </c>
      <c r="B829" s="22" t="str">
        <f>"02130"</f>
        <v>02130</v>
      </c>
      <c r="C829" s="22" t="str">
        <f t="shared" si="12"/>
        <v>'2130.HK'</v>
      </c>
      <c r="D829" s="22" t="s">
        <v>2598</v>
      </c>
      <c r="E829" s="22" t="s">
        <v>974</v>
      </c>
      <c r="F829" s="22">
        <v>2341328000</v>
      </c>
      <c r="G829" s="22">
        <v>2</v>
      </c>
      <c r="H829" s="22" t="s">
        <v>2599</v>
      </c>
    </row>
    <row r="830" spans="1:8" x14ac:dyDescent="0.35">
      <c r="A830" s="22" t="s">
        <v>851</v>
      </c>
      <c r="B830" s="22" t="str">
        <f>"02142"</f>
        <v>02142</v>
      </c>
      <c r="C830" s="22" t="str">
        <f t="shared" si="12"/>
        <v>'2142.HK'</v>
      </c>
      <c r="D830" s="22" t="s">
        <v>2600</v>
      </c>
      <c r="E830" s="22" t="s">
        <v>941</v>
      </c>
      <c r="F830" s="22">
        <v>2334506926.4000001</v>
      </c>
      <c r="G830" s="22">
        <v>26</v>
      </c>
      <c r="H830" s="22" t="s">
        <v>2601</v>
      </c>
    </row>
    <row r="831" spans="1:8" x14ac:dyDescent="0.35">
      <c r="A831" s="22" t="s">
        <v>851</v>
      </c>
      <c r="B831" s="22" t="str">
        <f>"01061"</f>
        <v>01061</v>
      </c>
      <c r="C831" s="22" t="str">
        <f t="shared" si="12"/>
        <v>'1061.HK'</v>
      </c>
      <c r="D831" s="22" t="s">
        <v>2602</v>
      </c>
      <c r="E831" s="22" t="s">
        <v>969</v>
      </c>
      <c r="F831" s="22">
        <v>2333213280</v>
      </c>
      <c r="G831" s="22">
        <v>54</v>
      </c>
      <c r="H831" s="22" t="s">
        <v>2603</v>
      </c>
    </row>
    <row r="832" spans="1:8" x14ac:dyDescent="0.35">
      <c r="A832" s="22" t="s">
        <v>851</v>
      </c>
      <c r="B832" s="22" t="str">
        <f>"09616"</f>
        <v>09616</v>
      </c>
      <c r="C832" s="22" t="str">
        <f t="shared" si="12"/>
        <v>'9616.HK'</v>
      </c>
      <c r="D832" s="22" t="s">
        <v>2604</v>
      </c>
      <c r="E832" s="22" t="s">
        <v>1270</v>
      </c>
      <c r="F832" s="22">
        <v>2326332726</v>
      </c>
      <c r="G832" s="22">
        <v>7</v>
      </c>
      <c r="H832" s="22" t="s">
        <v>2605</v>
      </c>
    </row>
    <row r="833" spans="1:8" x14ac:dyDescent="0.35">
      <c r="A833" s="22" t="s">
        <v>851</v>
      </c>
      <c r="B833" s="22" t="str">
        <f>"00750"</f>
        <v>00750</v>
      </c>
      <c r="C833" s="22" t="str">
        <f t="shared" si="12"/>
        <v>'0750.HK'</v>
      </c>
      <c r="D833" s="22" t="s">
        <v>2606</v>
      </c>
      <c r="E833" s="22" t="s">
        <v>1634</v>
      </c>
      <c r="F833" s="22">
        <v>2319395237.5999999</v>
      </c>
      <c r="G833" s="22">
        <v>17</v>
      </c>
      <c r="H833" s="22" t="s">
        <v>2607</v>
      </c>
    </row>
    <row r="834" spans="1:8" x14ac:dyDescent="0.35">
      <c r="A834" s="22" t="s">
        <v>851</v>
      </c>
      <c r="B834" s="22" t="str">
        <f>"02019"</f>
        <v>02019</v>
      </c>
      <c r="C834" s="22" t="str">
        <f t="shared" si="12"/>
        <v>'2019.HK'</v>
      </c>
      <c r="D834" s="22" t="s">
        <v>2608</v>
      </c>
      <c r="E834" s="22" t="s">
        <v>924</v>
      </c>
      <c r="F834" s="22">
        <v>2316085980</v>
      </c>
      <c r="G834" s="22">
        <v>25</v>
      </c>
      <c r="H834" s="22" t="s">
        <v>2609</v>
      </c>
    </row>
    <row r="835" spans="1:8" x14ac:dyDescent="0.35">
      <c r="A835" s="22" t="s">
        <v>851</v>
      </c>
      <c r="B835" s="22" t="str">
        <f>"00975"</f>
        <v>00975</v>
      </c>
      <c r="C835" s="22" t="str">
        <f t="shared" ref="C835:C898" si="13">CONCATENATE("'",RIGHT(B835,4),".HK'")</f>
        <v>'0975.HK'</v>
      </c>
      <c r="D835" s="22" t="s">
        <v>2610</v>
      </c>
      <c r="E835" s="22" t="s">
        <v>904</v>
      </c>
      <c r="F835" s="22">
        <v>2314298464.9200001</v>
      </c>
      <c r="G835" s="22">
        <v>10</v>
      </c>
      <c r="H835" s="22" t="s">
        <v>2611</v>
      </c>
    </row>
    <row r="836" spans="1:8" x14ac:dyDescent="0.35">
      <c r="A836" s="22" t="s">
        <v>851</v>
      </c>
      <c r="B836" s="22" t="str">
        <f>"03718"</f>
        <v>03718</v>
      </c>
      <c r="C836" s="22" t="str">
        <f t="shared" si="13"/>
        <v>'3718.HK'</v>
      </c>
      <c r="D836" s="22" t="s">
        <v>2612</v>
      </c>
      <c r="E836" s="22" t="s">
        <v>1301</v>
      </c>
      <c r="F836" s="22">
        <v>2304000000</v>
      </c>
      <c r="G836" s="22">
        <v>17</v>
      </c>
      <c r="H836" s="22" t="s">
        <v>2613</v>
      </c>
    </row>
    <row r="837" spans="1:8" x14ac:dyDescent="0.35">
      <c r="A837" s="22" t="s">
        <v>851</v>
      </c>
      <c r="B837" s="22" t="str">
        <f>"00860"</f>
        <v>00860</v>
      </c>
      <c r="C837" s="22" t="str">
        <f t="shared" si="13"/>
        <v>'0860.HK'</v>
      </c>
      <c r="D837" s="22" t="s">
        <v>2614</v>
      </c>
      <c r="E837" s="22" t="s">
        <v>886</v>
      </c>
      <c r="F837" s="22">
        <v>2297530556.3179998</v>
      </c>
      <c r="G837" s="22">
        <v>6</v>
      </c>
      <c r="H837" s="22" t="s">
        <v>2615</v>
      </c>
    </row>
    <row r="838" spans="1:8" x14ac:dyDescent="0.35">
      <c r="A838" s="22" t="s">
        <v>851</v>
      </c>
      <c r="B838" s="22" t="str">
        <f>"03989"</f>
        <v>03989</v>
      </c>
      <c r="C838" s="22" t="str">
        <f t="shared" si="13"/>
        <v>'3989.HK'</v>
      </c>
      <c r="D838" s="22" t="s">
        <v>2616</v>
      </c>
      <c r="E838" s="22" t="s">
        <v>1127</v>
      </c>
      <c r="F838" s="22">
        <v>2287157306.7199998</v>
      </c>
      <c r="G838" s="22">
        <v>12</v>
      </c>
      <c r="H838" s="22" t="s">
        <v>2617</v>
      </c>
    </row>
    <row r="839" spans="1:8" x14ac:dyDescent="0.35">
      <c r="A839" s="22" t="s">
        <v>851</v>
      </c>
      <c r="B839" s="22" t="str">
        <f>"03600"</f>
        <v>03600</v>
      </c>
      <c r="C839" s="22" t="str">
        <f t="shared" si="13"/>
        <v>'3600.HK'</v>
      </c>
      <c r="D839" s="22" t="s">
        <v>2618</v>
      </c>
      <c r="E839" s="22" t="s">
        <v>1232</v>
      </c>
      <c r="F839" s="22">
        <v>2282428490</v>
      </c>
      <c r="G839" s="22">
        <v>24</v>
      </c>
      <c r="H839" s="22" t="s">
        <v>2619</v>
      </c>
    </row>
    <row r="840" spans="1:8" x14ac:dyDescent="0.35">
      <c r="A840" s="22" t="s">
        <v>851</v>
      </c>
      <c r="B840" s="22" t="str">
        <f>"01523"</f>
        <v>01523</v>
      </c>
      <c r="C840" s="22" t="str">
        <f t="shared" si="13"/>
        <v>'1523.HK'</v>
      </c>
      <c r="D840" s="22" t="s">
        <v>2620</v>
      </c>
      <c r="E840" s="22" t="s">
        <v>1152</v>
      </c>
      <c r="F840" s="22">
        <v>2281427200</v>
      </c>
      <c r="G840" s="22">
        <v>33</v>
      </c>
      <c r="H840" s="22" t="s">
        <v>2621</v>
      </c>
    </row>
    <row r="841" spans="1:8" x14ac:dyDescent="0.35">
      <c r="A841" s="22" t="s">
        <v>851</v>
      </c>
      <c r="B841" s="22" t="str">
        <f>"01503"</f>
        <v>01503</v>
      </c>
      <c r="C841" s="22" t="str">
        <f t="shared" si="13"/>
        <v>'1503.HK'</v>
      </c>
      <c r="D841" s="22" t="s">
        <v>2622</v>
      </c>
      <c r="F841" s="22">
        <v>2278195488.98</v>
      </c>
      <c r="G841" s="22">
        <v>24</v>
      </c>
      <c r="H841" s="22" t="s">
        <v>2623</v>
      </c>
    </row>
    <row r="842" spans="1:8" x14ac:dyDescent="0.35">
      <c r="A842" s="22" t="s">
        <v>851</v>
      </c>
      <c r="B842" s="22" t="str">
        <f>"09911"</f>
        <v>09911</v>
      </c>
      <c r="C842" s="22" t="str">
        <f t="shared" si="13"/>
        <v>'9911.HK'</v>
      </c>
      <c r="D842" s="22" t="s">
        <v>2624</v>
      </c>
      <c r="E842" s="22" t="s">
        <v>853</v>
      </c>
      <c r="F842" s="22">
        <v>2275222560</v>
      </c>
      <c r="G842" s="22">
        <v>23</v>
      </c>
      <c r="H842" s="22" t="s">
        <v>2625</v>
      </c>
    </row>
    <row r="843" spans="1:8" x14ac:dyDescent="0.35">
      <c r="A843" s="22" t="s">
        <v>851</v>
      </c>
      <c r="B843" s="22" t="str">
        <f>"01005"</f>
        <v>01005</v>
      </c>
      <c r="C843" s="22" t="str">
        <f t="shared" si="13"/>
        <v>'1005.HK'</v>
      </c>
      <c r="D843" s="22" t="s">
        <v>2626</v>
      </c>
      <c r="E843" s="22" t="s">
        <v>1446</v>
      </c>
      <c r="F843" s="22">
        <v>2268609939</v>
      </c>
      <c r="G843" s="22">
        <v>5</v>
      </c>
      <c r="H843" s="22" t="s">
        <v>2627</v>
      </c>
    </row>
    <row r="844" spans="1:8" x14ac:dyDescent="0.35">
      <c r="A844" s="22" t="s">
        <v>851</v>
      </c>
      <c r="B844" s="22" t="str">
        <f>"06819"</f>
        <v>06819</v>
      </c>
      <c r="C844" s="22" t="str">
        <f t="shared" si="13"/>
        <v>'6819.HK'</v>
      </c>
      <c r="D844" s="22" t="s">
        <v>2628</v>
      </c>
      <c r="E844" s="22" t="s">
        <v>1671</v>
      </c>
      <c r="F844" s="22">
        <v>2267248721.5500002</v>
      </c>
      <c r="G844" s="22">
        <v>2</v>
      </c>
      <c r="H844" s="22" t="s">
        <v>2629</v>
      </c>
    </row>
    <row r="845" spans="1:8" x14ac:dyDescent="0.35">
      <c r="A845" s="22" t="s">
        <v>851</v>
      </c>
      <c r="B845" s="22" t="str">
        <f>"00029"</f>
        <v>00029</v>
      </c>
      <c r="C845" s="22" t="str">
        <f t="shared" si="13"/>
        <v>'0029.HK'</v>
      </c>
      <c r="D845" s="22" t="s">
        <v>2630</v>
      </c>
      <c r="E845" s="22" t="s">
        <v>1028</v>
      </c>
      <c r="F845" s="22">
        <v>2258184969.5</v>
      </c>
      <c r="G845" s="22">
        <v>18</v>
      </c>
      <c r="H845" s="22" t="s">
        <v>2631</v>
      </c>
    </row>
    <row r="846" spans="1:8" x14ac:dyDescent="0.35">
      <c r="A846" s="22" t="s">
        <v>851</v>
      </c>
      <c r="B846" s="22" t="str">
        <f>"01571"</f>
        <v>01571</v>
      </c>
      <c r="C846" s="22" t="str">
        <f t="shared" si="13"/>
        <v>'1571.HK'</v>
      </c>
      <c r="D846" s="22" t="s">
        <v>2632</v>
      </c>
      <c r="E846" s="22" t="s">
        <v>1122</v>
      </c>
      <c r="F846" s="22">
        <v>2256536250</v>
      </c>
      <c r="G846" s="22">
        <v>11</v>
      </c>
      <c r="H846" s="22" t="s">
        <v>2633</v>
      </c>
    </row>
    <row r="847" spans="1:8" x14ac:dyDescent="0.35">
      <c r="A847" s="22" t="s">
        <v>851</v>
      </c>
      <c r="B847" s="22" t="str">
        <f>"01090"</f>
        <v>01090</v>
      </c>
      <c r="C847" s="22" t="str">
        <f t="shared" si="13"/>
        <v>'1090.HK'</v>
      </c>
      <c r="D847" s="22" t="s">
        <v>2634</v>
      </c>
      <c r="E847" s="22" t="s">
        <v>1579</v>
      </c>
      <c r="F847" s="22">
        <v>2255914560</v>
      </c>
      <c r="G847" s="22">
        <v>5</v>
      </c>
      <c r="H847" s="22" t="s">
        <v>2635</v>
      </c>
    </row>
    <row r="848" spans="1:8" x14ac:dyDescent="0.35">
      <c r="A848" s="22" t="s">
        <v>851</v>
      </c>
      <c r="B848" s="22" t="str">
        <f>"06928"</f>
        <v>06928</v>
      </c>
      <c r="C848" s="22" t="str">
        <f t="shared" si="13"/>
        <v>'6928.HK'</v>
      </c>
      <c r="D848" s="22" t="s">
        <v>2636</v>
      </c>
      <c r="E848" s="22" t="s">
        <v>1122</v>
      </c>
      <c r="F848" s="22">
        <v>2250000000</v>
      </c>
      <c r="G848" s="22">
        <v>1</v>
      </c>
      <c r="H848" s="22" t="s">
        <v>2637</v>
      </c>
    </row>
    <row r="849" spans="1:8" x14ac:dyDescent="0.35">
      <c r="A849" s="22" t="s">
        <v>851</v>
      </c>
      <c r="B849" s="22" t="str">
        <f>"02418"</f>
        <v>02418</v>
      </c>
      <c r="C849" s="22" t="str">
        <f t="shared" si="13"/>
        <v>'2418.HK'</v>
      </c>
      <c r="D849" s="22" t="s">
        <v>2638</v>
      </c>
      <c r="E849" s="22" t="s">
        <v>1086</v>
      </c>
      <c r="F849" s="22">
        <v>2236042500</v>
      </c>
      <c r="G849" s="22">
        <v>1</v>
      </c>
      <c r="H849" s="22" t="s">
        <v>2639</v>
      </c>
    </row>
    <row r="850" spans="1:8" x14ac:dyDescent="0.35">
      <c r="A850" s="22" t="s">
        <v>851</v>
      </c>
      <c r="B850" s="22" t="str">
        <f>"02218"</f>
        <v>02218</v>
      </c>
      <c r="C850" s="22" t="str">
        <f t="shared" si="13"/>
        <v>'2218.HK'</v>
      </c>
      <c r="D850" s="22" t="s">
        <v>2640</v>
      </c>
      <c r="E850" s="22" t="s">
        <v>892</v>
      </c>
      <c r="F850" s="22">
        <v>2235625000</v>
      </c>
      <c r="G850" s="22">
        <v>22</v>
      </c>
      <c r="H850" s="22" t="s">
        <v>2641</v>
      </c>
    </row>
    <row r="851" spans="1:8" x14ac:dyDescent="0.35">
      <c r="A851" s="22" t="s">
        <v>851</v>
      </c>
      <c r="B851" s="22" t="str">
        <f>"00568"</f>
        <v>00568</v>
      </c>
      <c r="C851" s="22" t="str">
        <f t="shared" si="13"/>
        <v>'0568.HK'</v>
      </c>
      <c r="D851" s="22" t="s">
        <v>2642</v>
      </c>
      <c r="E851" s="22" t="s">
        <v>1294</v>
      </c>
      <c r="F851" s="22">
        <v>2233975520</v>
      </c>
      <c r="G851" s="22">
        <v>34</v>
      </c>
      <c r="H851" s="22" t="s">
        <v>2643</v>
      </c>
    </row>
    <row r="852" spans="1:8" x14ac:dyDescent="0.35">
      <c r="A852" s="22" t="s">
        <v>851</v>
      </c>
      <c r="B852" s="22" t="str">
        <f>"03700"</f>
        <v>03700</v>
      </c>
      <c r="C852" s="22" t="str">
        <f t="shared" si="13"/>
        <v>'3700.HK'</v>
      </c>
      <c r="D852" s="22" t="s">
        <v>2644</v>
      </c>
      <c r="E852" s="22" t="s">
        <v>2645</v>
      </c>
      <c r="F852" s="22">
        <v>2229050750</v>
      </c>
      <c r="G852" s="22">
        <v>14</v>
      </c>
      <c r="H852" s="22" t="s">
        <v>2646</v>
      </c>
    </row>
    <row r="853" spans="1:8" x14ac:dyDescent="0.35">
      <c r="A853" s="22" t="s">
        <v>851</v>
      </c>
      <c r="B853" s="22" t="str">
        <f>"02167"</f>
        <v>02167</v>
      </c>
      <c r="C853" s="22" t="str">
        <f t="shared" si="13"/>
        <v>'2167.HK'</v>
      </c>
      <c r="D853" s="22" t="s">
        <v>2647</v>
      </c>
      <c r="E853" s="22" t="s">
        <v>1202</v>
      </c>
      <c r="F853" s="22">
        <v>2206325072</v>
      </c>
      <c r="G853" s="22">
        <v>2</v>
      </c>
      <c r="H853" s="22" t="s">
        <v>2648</v>
      </c>
    </row>
    <row r="854" spans="1:8" x14ac:dyDescent="0.35">
      <c r="A854" s="22" t="s">
        <v>851</v>
      </c>
      <c r="B854" s="22" t="str">
        <f>"09982"</f>
        <v>09982</v>
      </c>
      <c r="C854" s="22" t="str">
        <f t="shared" si="13"/>
        <v>'9982.HK'</v>
      </c>
      <c r="D854" s="22" t="s">
        <v>2649</v>
      </c>
      <c r="E854" s="22" t="s">
        <v>1634</v>
      </c>
      <c r="F854" s="22">
        <v>2204103100.4000001</v>
      </c>
      <c r="G854" s="22">
        <v>6</v>
      </c>
      <c r="H854" s="22" t="s">
        <v>2650</v>
      </c>
    </row>
    <row r="855" spans="1:8" x14ac:dyDescent="0.35">
      <c r="A855" s="22" t="s">
        <v>851</v>
      </c>
      <c r="B855" s="22" t="str">
        <f>"01593"</f>
        <v>01593</v>
      </c>
      <c r="C855" s="22" t="str">
        <f t="shared" si="13"/>
        <v>'1593.HK'</v>
      </c>
      <c r="D855" s="22" t="s">
        <v>2651</v>
      </c>
      <c r="E855" s="22" t="s">
        <v>1270</v>
      </c>
      <c r="F855" s="22">
        <v>2200000000</v>
      </c>
      <c r="G855" s="22">
        <v>5</v>
      </c>
      <c r="H855" s="22" t="s">
        <v>2652</v>
      </c>
    </row>
    <row r="856" spans="1:8" x14ac:dyDescent="0.35">
      <c r="A856" s="22" t="s">
        <v>851</v>
      </c>
      <c r="B856" s="22" t="str">
        <f>"00279"</f>
        <v>00279</v>
      </c>
      <c r="C856" s="22" t="str">
        <f t="shared" si="13"/>
        <v>'0279.HK'</v>
      </c>
      <c r="D856" s="22" t="s">
        <v>2653</v>
      </c>
      <c r="E856" s="22" t="s">
        <v>1130</v>
      </c>
      <c r="F856" s="22">
        <v>2196355354.0799999</v>
      </c>
      <c r="G856" s="22">
        <v>10</v>
      </c>
      <c r="H856" s="22" t="s">
        <v>2654</v>
      </c>
    </row>
    <row r="857" spans="1:8" x14ac:dyDescent="0.35">
      <c r="A857" s="22" t="s">
        <v>851</v>
      </c>
      <c r="B857" s="22" t="str">
        <f>"00895"</f>
        <v>00895</v>
      </c>
      <c r="C857" s="22" t="str">
        <f t="shared" si="13"/>
        <v>'0895.HK'</v>
      </c>
      <c r="D857" s="22" t="s">
        <v>2655</v>
      </c>
      <c r="E857" s="22" t="s">
        <v>1301</v>
      </c>
      <c r="F857" s="22">
        <v>2189375083.98</v>
      </c>
      <c r="G857" s="22">
        <v>79</v>
      </c>
      <c r="H857" s="22" t="s">
        <v>2656</v>
      </c>
    </row>
    <row r="858" spans="1:8" x14ac:dyDescent="0.35">
      <c r="A858" s="22" t="s">
        <v>851</v>
      </c>
      <c r="B858" s="22" t="str">
        <f>"01981"</f>
        <v>01981</v>
      </c>
      <c r="C858" s="22" t="str">
        <f t="shared" si="13"/>
        <v>'1981.HK'</v>
      </c>
      <c r="D858" s="22" t="s">
        <v>2657</v>
      </c>
      <c r="E858" s="22" t="s">
        <v>1185</v>
      </c>
      <c r="F858" s="22">
        <v>2184516840</v>
      </c>
      <c r="G858" s="22">
        <v>18</v>
      </c>
      <c r="H858" s="22" t="s">
        <v>2658</v>
      </c>
    </row>
    <row r="859" spans="1:8" x14ac:dyDescent="0.35">
      <c r="A859" s="22" t="s">
        <v>851</v>
      </c>
      <c r="B859" s="22" t="str">
        <f>"02002"</f>
        <v>02002</v>
      </c>
      <c r="C859" s="22" t="str">
        <f t="shared" si="13"/>
        <v>'2002.HK'</v>
      </c>
      <c r="D859" s="22" t="s">
        <v>2659</v>
      </c>
      <c r="E859" s="22" t="s">
        <v>1378</v>
      </c>
      <c r="F859" s="22">
        <v>2164130681.0799999</v>
      </c>
      <c r="G859" s="22">
        <v>120</v>
      </c>
      <c r="H859" s="22" t="s">
        <v>2660</v>
      </c>
    </row>
    <row r="860" spans="1:8" x14ac:dyDescent="0.35">
      <c r="A860" s="22" t="s">
        <v>851</v>
      </c>
      <c r="B860" s="22" t="str">
        <f>"02368"</f>
        <v>02368</v>
      </c>
      <c r="C860" s="22" t="str">
        <f t="shared" si="13"/>
        <v>'2368.HK'</v>
      </c>
      <c r="D860" s="22" t="s">
        <v>2661</v>
      </c>
      <c r="E860" s="22" t="s">
        <v>889</v>
      </c>
      <c r="F860" s="22">
        <v>2161890000</v>
      </c>
      <c r="G860" s="22">
        <v>12</v>
      </c>
      <c r="H860" s="22" t="s">
        <v>2662</v>
      </c>
    </row>
    <row r="861" spans="1:8" x14ac:dyDescent="0.35">
      <c r="A861" s="22" t="s">
        <v>851</v>
      </c>
      <c r="B861" s="22" t="str">
        <f>"01091"</f>
        <v>01091</v>
      </c>
      <c r="C861" s="22" t="str">
        <f t="shared" si="13"/>
        <v>'1091.HK'</v>
      </c>
      <c r="D861" s="22" t="s">
        <v>2663</v>
      </c>
      <c r="E861" s="22" t="s">
        <v>1060</v>
      </c>
      <c r="F861" s="22">
        <v>2159929170</v>
      </c>
      <c r="G861" s="22">
        <v>18</v>
      </c>
      <c r="H861" s="22" t="s">
        <v>2664</v>
      </c>
    </row>
    <row r="862" spans="1:8" x14ac:dyDescent="0.35">
      <c r="A862" s="22" t="s">
        <v>851</v>
      </c>
      <c r="B862" s="22" t="str">
        <f>"02246"</f>
        <v>02246</v>
      </c>
      <c r="C862" s="22" t="str">
        <f t="shared" si="13"/>
        <v>'2246.HK'</v>
      </c>
      <c r="D862" s="22" t="s">
        <v>2665</v>
      </c>
      <c r="E862" s="22" t="s">
        <v>974</v>
      </c>
      <c r="F862" s="22">
        <v>2148192674.6300001</v>
      </c>
      <c r="G862" s="22">
        <v>1</v>
      </c>
      <c r="H862" s="22" t="s">
        <v>2666</v>
      </c>
    </row>
    <row r="863" spans="1:8" x14ac:dyDescent="0.35">
      <c r="A863" s="22" t="s">
        <v>851</v>
      </c>
      <c r="B863" s="22" t="str">
        <f>"06913"</f>
        <v>06913</v>
      </c>
      <c r="C863" s="22" t="str">
        <f t="shared" si="13"/>
        <v>'6913.HK'</v>
      </c>
      <c r="D863" s="22" t="s">
        <v>2667</v>
      </c>
      <c r="E863" s="22" t="s">
        <v>1270</v>
      </c>
      <c r="F863" s="22">
        <v>2147740000</v>
      </c>
      <c r="G863" s="22">
        <v>1</v>
      </c>
      <c r="H863" s="22" t="s">
        <v>2668</v>
      </c>
    </row>
    <row r="864" spans="1:8" x14ac:dyDescent="0.35">
      <c r="A864" s="22" t="s">
        <v>851</v>
      </c>
      <c r="B864" s="22" t="str">
        <f>"00025"</f>
        <v>00025</v>
      </c>
      <c r="C864" s="22" t="str">
        <f t="shared" si="13"/>
        <v>'0025.HK'</v>
      </c>
      <c r="D864" s="22" t="s">
        <v>2669</v>
      </c>
      <c r="E864" s="22" t="s">
        <v>958</v>
      </c>
      <c r="F864" s="22">
        <v>2143691924</v>
      </c>
      <c r="G864" s="22">
        <v>10</v>
      </c>
      <c r="H864" s="22" t="s">
        <v>2670</v>
      </c>
    </row>
    <row r="865" spans="1:8" x14ac:dyDescent="0.35">
      <c r="A865" s="22" t="s">
        <v>851</v>
      </c>
      <c r="B865" s="22" t="str">
        <f>"06668"</f>
        <v>06668</v>
      </c>
      <c r="C865" s="22" t="str">
        <f t="shared" si="13"/>
        <v>'6668.HK'</v>
      </c>
      <c r="D865" s="22" t="s">
        <v>2671</v>
      </c>
      <c r="E865" s="22" t="s">
        <v>1104</v>
      </c>
      <c r="F865" s="22">
        <v>2142081900</v>
      </c>
      <c r="G865" s="22">
        <v>18</v>
      </c>
      <c r="H865" s="22" t="s">
        <v>2672</v>
      </c>
    </row>
    <row r="866" spans="1:8" x14ac:dyDescent="0.35">
      <c r="A866" s="22" t="s">
        <v>851</v>
      </c>
      <c r="B866" s="22" t="str">
        <f>"01373"</f>
        <v>01373</v>
      </c>
      <c r="C866" s="22" t="str">
        <f t="shared" si="13"/>
        <v>'1373.HK'</v>
      </c>
      <c r="D866" s="22" t="s">
        <v>2673</v>
      </c>
      <c r="E866" s="22" t="s">
        <v>2334</v>
      </c>
      <c r="F866" s="22">
        <v>2135867850</v>
      </c>
      <c r="G866" s="22">
        <v>13</v>
      </c>
      <c r="H866" s="22" t="s">
        <v>2674</v>
      </c>
    </row>
    <row r="867" spans="1:8" x14ac:dyDescent="0.35">
      <c r="A867" s="22" t="s">
        <v>851</v>
      </c>
      <c r="B867" s="22" t="str">
        <f>"02207"</f>
        <v>02207</v>
      </c>
      <c r="C867" s="22" t="str">
        <f t="shared" si="13"/>
        <v>'2207.HK'</v>
      </c>
      <c r="D867" s="22" t="s">
        <v>2675</v>
      </c>
      <c r="E867" s="22" t="s">
        <v>1104</v>
      </c>
      <c r="F867" s="22">
        <v>2134036800</v>
      </c>
      <c r="G867" s="22">
        <v>9</v>
      </c>
      <c r="H867" s="22" t="s">
        <v>2676</v>
      </c>
    </row>
    <row r="868" spans="1:8" x14ac:dyDescent="0.35">
      <c r="A868" s="22" t="s">
        <v>851</v>
      </c>
      <c r="B868" s="22" t="str">
        <f>"02256"</f>
        <v>02256</v>
      </c>
      <c r="C868" s="22" t="str">
        <f t="shared" si="13"/>
        <v>'2256.HK'</v>
      </c>
      <c r="D868" s="22" t="s">
        <v>2677</v>
      </c>
      <c r="E868" s="22" t="s">
        <v>941</v>
      </c>
      <c r="F868" s="22">
        <v>2133394024</v>
      </c>
      <c r="G868" s="22">
        <v>5</v>
      </c>
      <c r="H868" s="22" t="s">
        <v>2678</v>
      </c>
    </row>
    <row r="869" spans="1:8" x14ac:dyDescent="0.35">
      <c r="A869" s="22" t="s">
        <v>851</v>
      </c>
      <c r="B869" s="22" t="str">
        <f>"01321"</f>
        <v>01321</v>
      </c>
      <c r="C869" s="22" t="str">
        <f t="shared" si="13"/>
        <v>'1321.HK'</v>
      </c>
      <c r="D869" s="22" t="s">
        <v>2679</v>
      </c>
      <c r="E869" s="22" t="s">
        <v>924</v>
      </c>
      <c r="F869" s="22">
        <v>2131414080</v>
      </c>
      <c r="G869" s="22">
        <v>7</v>
      </c>
      <c r="H869" s="22" t="s">
        <v>2680</v>
      </c>
    </row>
    <row r="870" spans="1:8" x14ac:dyDescent="0.35">
      <c r="A870" s="22" t="s">
        <v>851</v>
      </c>
      <c r="B870" s="22" t="str">
        <f>"06909"</f>
        <v>06909</v>
      </c>
      <c r="C870" s="22" t="str">
        <f t="shared" si="13"/>
        <v>'6909.HK'</v>
      </c>
      <c r="D870" s="22" t="s">
        <v>2681</v>
      </c>
      <c r="E870" s="22" t="s">
        <v>1089</v>
      </c>
      <c r="F870" s="22">
        <v>2128950000</v>
      </c>
      <c r="G870" s="22">
        <v>5</v>
      </c>
      <c r="H870" s="22" t="s">
        <v>2682</v>
      </c>
    </row>
    <row r="871" spans="1:8" x14ac:dyDescent="0.35">
      <c r="A871" s="22" t="s">
        <v>851</v>
      </c>
      <c r="B871" s="22" t="str">
        <f>"02886"</f>
        <v>02886</v>
      </c>
      <c r="C871" s="22" t="str">
        <f t="shared" si="13"/>
        <v>'2886.HK'</v>
      </c>
      <c r="D871" s="22" t="s">
        <v>2683</v>
      </c>
      <c r="E871" s="22" t="s">
        <v>1031</v>
      </c>
      <c r="F871" s="22">
        <v>2122679458.8099999</v>
      </c>
      <c r="G871" s="22">
        <v>9</v>
      </c>
      <c r="H871" s="22" t="s">
        <v>2684</v>
      </c>
    </row>
    <row r="872" spans="1:8" x14ac:dyDescent="0.35">
      <c r="A872" s="22" t="s">
        <v>851</v>
      </c>
      <c r="B872" s="22" t="str">
        <f>"06820"</f>
        <v>06820</v>
      </c>
      <c r="C872" s="22" t="str">
        <f t="shared" si="13"/>
        <v>'6820.HK'</v>
      </c>
      <c r="D872" s="22" t="s">
        <v>2685</v>
      </c>
      <c r="E872" s="22" t="s">
        <v>910</v>
      </c>
      <c r="F872" s="22">
        <v>2115424500</v>
      </c>
      <c r="G872" s="22">
        <v>18</v>
      </c>
      <c r="H872" s="22" t="s">
        <v>2686</v>
      </c>
    </row>
    <row r="873" spans="1:8" x14ac:dyDescent="0.35">
      <c r="A873" s="22" t="s">
        <v>851</v>
      </c>
      <c r="B873" s="22" t="str">
        <f>"02360"</f>
        <v>02360</v>
      </c>
      <c r="C873" s="22" t="str">
        <f t="shared" si="13"/>
        <v>'2360.HK'</v>
      </c>
      <c r="D873" s="22" t="s">
        <v>2687</v>
      </c>
      <c r="E873" s="22" t="s">
        <v>1503</v>
      </c>
      <c r="F873" s="22">
        <v>2110000000</v>
      </c>
      <c r="G873" s="22">
        <v>19</v>
      </c>
      <c r="H873" s="22" t="s">
        <v>2688</v>
      </c>
    </row>
    <row r="874" spans="1:8" x14ac:dyDescent="0.35">
      <c r="A874" s="22" t="s">
        <v>851</v>
      </c>
      <c r="B874" s="22" t="str">
        <f>"01569"</f>
        <v>01569</v>
      </c>
      <c r="C874" s="22" t="str">
        <f t="shared" si="13"/>
        <v>'1569.HK'</v>
      </c>
      <c r="D874" s="22" t="s">
        <v>2689</v>
      </c>
      <c r="E874" s="22" t="s">
        <v>1270</v>
      </c>
      <c r="F874" s="22">
        <v>2108860000</v>
      </c>
      <c r="G874" s="22">
        <v>60</v>
      </c>
      <c r="H874" s="22" t="s">
        <v>2690</v>
      </c>
    </row>
    <row r="875" spans="1:8" x14ac:dyDescent="0.35">
      <c r="A875" s="22" t="s">
        <v>851</v>
      </c>
      <c r="B875" s="22" t="str">
        <f>"02355"</f>
        <v>02355</v>
      </c>
      <c r="C875" s="22" t="str">
        <f t="shared" si="13"/>
        <v>'2355.HK'</v>
      </c>
      <c r="D875" s="22" t="s">
        <v>2691</v>
      </c>
      <c r="E875" s="22" t="s">
        <v>1634</v>
      </c>
      <c r="F875" s="22">
        <v>2104619606.7</v>
      </c>
      <c r="G875" s="22">
        <v>30</v>
      </c>
      <c r="H875" s="22" t="s">
        <v>2692</v>
      </c>
    </row>
    <row r="876" spans="1:8" x14ac:dyDescent="0.35">
      <c r="A876" s="22" t="s">
        <v>851</v>
      </c>
      <c r="B876" s="22" t="str">
        <f>"09913"</f>
        <v>09913</v>
      </c>
      <c r="C876" s="22" t="str">
        <f t="shared" si="13"/>
        <v>'9913.HK'</v>
      </c>
      <c r="D876" s="22" t="s">
        <v>2693</v>
      </c>
      <c r="E876" s="22" t="s">
        <v>1634</v>
      </c>
      <c r="F876" s="22">
        <v>2100000000</v>
      </c>
      <c r="G876" s="22">
        <v>2</v>
      </c>
      <c r="H876" s="22" t="s">
        <v>2694</v>
      </c>
    </row>
    <row r="877" spans="1:8" x14ac:dyDescent="0.35">
      <c r="A877" s="22" t="s">
        <v>851</v>
      </c>
      <c r="B877" s="22" t="str">
        <f>"09977"</f>
        <v>09977</v>
      </c>
      <c r="C877" s="22" t="str">
        <f t="shared" si="13"/>
        <v>'9977.HK'</v>
      </c>
      <c r="D877" s="22" t="s">
        <v>2695</v>
      </c>
      <c r="E877" s="22" t="s">
        <v>1229</v>
      </c>
      <c r="F877" s="22">
        <v>2100000000</v>
      </c>
      <c r="G877" s="22">
        <v>13</v>
      </c>
      <c r="H877" s="22" t="s">
        <v>2696</v>
      </c>
    </row>
    <row r="878" spans="1:8" x14ac:dyDescent="0.35">
      <c r="A878" s="22" t="s">
        <v>851</v>
      </c>
      <c r="B878" s="22" t="str">
        <f>"01948"</f>
        <v>01948</v>
      </c>
      <c r="C878" s="22" t="str">
        <f t="shared" si="13"/>
        <v>'1948.HK'</v>
      </c>
      <c r="D878" s="22" t="s">
        <v>2697</v>
      </c>
      <c r="E878" s="22" t="s">
        <v>1627</v>
      </c>
      <c r="F878" s="22">
        <v>2094000000</v>
      </c>
      <c r="G878" s="22">
        <v>1</v>
      </c>
      <c r="H878" s="22" t="s">
        <v>2698</v>
      </c>
    </row>
    <row r="879" spans="1:8" x14ac:dyDescent="0.35">
      <c r="A879" s="22" t="s">
        <v>851</v>
      </c>
      <c r="B879" s="22" t="str">
        <f>"00337"</f>
        <v>00337</v>
      </c>
      <c r="C879" s="22" t="str">
        <f t="shared" si="13"/>
        <v>'0337.HK'</v>
      </c>
      <c r="D879" s="22" t="s">
        <v>2699</v>
      </c>
      <c r="E879" s="22" t="s">
        <v>924</v>
      </c>
      <c r="F879" s="22">
        <v>2093913512.25</v>
      </c>
      <c r="G879" s="22">
        <v>137</v>
      </c>
      <c r="H879" s="22" t="s">
        <v>2700</v>
      </c>
    </row>
    <row r="880" spans="1:8" x14ac:dyDescent="0.35">
      <c r="A880" s="22" t="s">
        <v>851</v>
      </c>
      <c r="B880" s="22" t="str">
        <f>"02101"</f>
        <v>02101</v>
      </c>
      <c r="C880" s="22" t="str">
        <f t="shared" si="13"/>
        <v>'2101.HK'</v>
      </c>
      <c r="D880" s="22" t="s">
        <v>2701</v>
      </c>
      <c r="E880" s="22" t="s">
        <v>853</v>
      </c>
      <c r="F880" s="22">
        <v>2093305276.5999999</v>
      </c>
      <c r="G880" s="22">
        <v>3</v>
      </c>
      <c r="H880" s="22" t="s">
        <v>2702</v>
      </c>
    </row>
    <row r="881" spans="1:8" x14ac:dyDescent="0.35">
      <c r="A881" s="22" t="s">
        <v>851</v>
      </c>
      <c r="B881" s="22" t="str">
        <f>"01221"</f>
        <v>01221</v>
      </c>
      <c r="C881" s="22" t="str">
        <f t="shared" si="13"/>
        <v>'1221.HK'</v>
      </c>
      <c r="D881" s="22" t="s">
        <v>2703</v>
      </c>
      <c r="E881" s="22" t="s">
        <v>1070</v>
      </c>
      <c r="F881" s="22">
        <v>2091071090.3399999</v>
      </c>
      <c r="G881" s="22">
        <v>6</v>
      </c>
      <c r="H881" s="22" t="s">
        <v>2704</v>
      </c>
    </row>
    <row r="882" spans="1:8" x14ac:dyDescent="0.35">
      <c r="A882" s="22" t="s">
        <v>851</v>
      </c>
      <c r="B882" s="22" t="str">
        <f>"00398"</f>
        <v>00398</v>
      </c>
      <c r="C882" s="22" t="str">
        <f t="shared" si="13"/>
        <v>'0398.HK'</v>
      </c>
      <c r="D882" s="22" t="s">
        <v>2705</v>
      </c>
      <c r="E882" s="22" t="s">
        <v>1002</v>
      </c>
      <c r="F882" s="22">
        <v>2090766780.96</v>
      </c>
      <c r="G882" s="22">
        <v>13</v>
      </c>
      <c r="H882" s="22" t="s">
        <v>2706</v>
      </c>
    </row>
    <row r="883" spans="1:8" x14ac:dyDescent="0.35">
      <c r="A883" s="22" t="s">
        <v>851</v>
      </c>
      <c r="B883" s="22" t="str">
        <f>"01341"</f>
        <v>01341</v>
      </c>
      <c r="C883" s="22" t="str">
        <f t="shared" si="13"/>
        <v>'1341.HK'</v>
      </c>
      <c r="D883" s="22" t="s">
        <v>2707</v>
      </c>
      <c r="E883" s="22" t="s">
        <v>1395</v>
      </c>
      <c r="F883" s="22">
        <v>2087785016.9000001</v>
      </c>
      <c r="G883" s="22">
        <v>1</v>
      </c>
      <c r="H883" s="22" t="s">
        <v>2708</v>
      </c>
    </row>
    <row r="884" spans="1:8" x14ac:dyDescent="0.35">
      <c r="A884" s="22" t="s">
        <v>851</v>
      </c>
      <c r="B884" s="22" t="str">
        <f>"00900"</f>
        <v>00900</v>
      </c>
      <c r="C884" s="22" t="str">
        <f t="shared" si="13"/>
        <v>'0900.HK'</v>
      </c>
      <c r="D884" s="22" t="s">
        <v>2709</v>
      </c>
      <c r="E884" s="22" t="s">
        <v>1498</v>
      </c>
      <c r="F884" s="22">
        <v>2072889720</v>
      </c>
      <c r="G884" s="22">
        <v>24</v>
      </c>
      <c r="H884" s="22" t="s">
        <v>2710</v>
      </c>
    </row>
    <row r="885" spans="1:8" x14ac:dyDescent="0.35">
      <c r="A885" s="22" t="s">
        <v>851</v>
      </c>
      <c r="B885" s="22" t="str">
        <f>"00617"</f>
        <v>00617</v>
      </c>
      <c r="C885" s="22" t="str">
        <f t="shared" si="13"/>
        <v>'0617.HK'</v>
      </c>
      <c r="D885" s="22" t="s">
        <v>2711</v>
      </c>
      <c r="E885" s="22" t="s">
        <v>1070</v>
      </c>
      <c r="F885" s="22">
        <v>2061983126.9000001</v>
      </c>
      <c r="G885" s="22">
        <v>7</v>
      </c>
      <c r="H885" s="22" t="s">
        <v>2712</v>
      </c>
    </row>
    <row r="886" spans="1:8" x14ac:dyDescent="0.35">
      <c r="A886" s="22" t="s">
        <v>851</v>
      </c>
      <c r="B886" s="22" t="str">
        <f>"00251"</f>
        <v>00251</v>
      </c>
      <c r="C886" s="22" t="str">
        <f t="shared" si="13"/>
        <v>'0251.HK'</v>
      </c>
      <c r="D886" s="22" t="s">
        <v>2713</v>
      </c>
      <c r="E886" s="22" t="s">
        <v>1028</v>
      </c>
      <c r="F886" s="22">
        <v>2053238495.6600001</v>
      </c>
      <c r="G886" s="22">
        <v>9</v>
      </c>
      <c r="H886" s="22" t="s">
        <v>2714</v>
      </c>
    </row>
    <row r="887" spans="1:8" x14ac:dyDescent="0.35">
      <c r="A887" s="22" t="s">
        <v>851</v>
      </c>
      <c r="B887" s="22" t="str">
        <f>"02231"</f>
        <v>02231</v>
      </c>
      <c r="C887" s="22" t="str">
        <f t="shared" si="13"/>
        <v>'2231.HK'</v>
      </c>
      <c r="D887" s="22" t="s">
        <v>2715</v>
      </c>
      <c r="E887" s="22" t="s">
        <v>924</v>
      </c>
      <c r="F887" s="22">
        <v>2041254520</v>
      </c>
      <c r="G887" s="22">
        <v>4</v>
      </c>
      <c r="H887" s="22" t="s">
        <v>2716</v>
      </c>
    </row>
    <row r="888" spans="1:8" x14ac:dyDescent="0.35">
      <c r="A888" s="22" t="s">
        <v>851</v>
      </c>
      <c r="B888" s="22" t="str">
        <f>"00776"</f>
        <v>00776</v>
      </c>
      <c r="C888" s="22" t="str">
        <f t="shared" si="13"/>
        <v>'0776.HK'</v>
      </c>
      <c r="D888" s="22" t="s">
        <v>2717</v>
      </c>
      <c r="E888" s="22" t="s">
        <v>1429</v>
      </c>
      <c r="F888" s="22">
        <v>2021734000</v>
      </c>
      <c r="G888" s="22">
        <v>2</v>
      </c>
      <c r="H888" s="22" t="s">
        <v>2718</v>
      </c>
    </row>
    <row r="889" spans="1:8" x14ac:dyDescent="0.35">
      <c r="A889" s="22" t="s">
        <v>851</v>
      </c>
      <c r="B889" s="22" t="str">
        <f>"00468"</f>
        <v>00468</v>
      </c>
      <c r="C889" s="22" t="str">
        <f t="shared" si="13"/>
        <v>'0468.HK'</v>
      </c>
      <c r="D889" s="22" t="s">
        <v>2719</v>
      </c>
      <c r="E889" s="22" t="s">
        <v>2259</v>
      </c>
      <c r="F889" s="22">
        <v>2018312810</v>
      </c>
      <c r="G889" s="22">
        <v>46</v>
      </c>
      <c r="H889" s="22" t="s">
        <v>2720</v>
      </c>
    </row>
    <row r="890" spans="1:8" x14ac:dyDescent="0.35">
      <c r="A890" s="22" t="s">
        <v>851</v>
      </c>
      <c r="B890" s="22" t="str">
        <f>"02276"</f>
        <v>02276</v>
      </c>
      <c r="C890" s="22" t="str">
        <f t="shared" si="13"/>
        <v>'2276.HK'</v>
      </c>
      <c r="D890" s="22" t="s">
        <v>2721</v>
      </c>
      <c r="E890" s="22" t="s">
        <v>1224</v>
      </c>
      <c r="F890" s="22">
        <v>2005020000</v>
      </c>
      <c r="G890" s="22">
        <v>3</v>
      </c>
      <c r="H890" s="22" t="s">
        <v>2722</v>
      </c>
    </row>
    <row r="891" spans="1:8" x14ac:dyDescent="0.35">
      <c r="A891" s="22" t="s">
        <v>851</v>
      </c>
      <c r="B891" s="22" t="str">
        <f>"06093"</f>
        <v>06093</v>
      </c>
      <c r="C891" s="22" t="str">
        <f t="shared" si="13"/>
        <v>'6093.HK'</v>
      </c>
      <c r="D891" s="22" t="s">
        <v>2723</v>
      </c>
      <c r="E891" s="22" t="s">
        <v>1104</v>
      </c>
      <c r="F891" s="22">
        <v>2004800000</v>
      </c>
      <c r="G891" s="22">
        <v>21</v>
      </c>
      <c r="H891" s="22" t="s">
        <v>2724</v>
      </c>
    </row>
    <row r="892" spans="1:8" x14ac:dyDescent="0.35">
      <c r="A892" s="22" t="s">
        <v>851</v>
      </c>
      <c r="B892" s="22" t="str">
        <f>"02422"</f>
        <v>02422</v>
      </c>
      <c r="C892" s="22" t="str">
        <f t="shared" si="13"/>
        <v>'2422.HK'</v>
      </c>
      <c r="D892" s="22" t="s">
        <v>2725</v>
      </c>
      <c r="E892" s="22" t="s">
        <v>1627</v>
      </c>
      <c r="F892" s="22">
        <v>1990000000</v>
      </c>
      <c r="H892" s="22" t="s">
        <v>2726</v>
      </c>
    </row>
    <row r="893" spans="1:8" x14ac:dyDescent="0.35">
      <c r="A893" s="22" t="s">
        <v>851</v>
      </c>
      <c r="B893" s="22" t="str">
        <f>"00878"</f>
        <v>00878</v>
      </c>
      <c r="C893" s="22" t="str">
        <f t="shared" si="13"/>
        <v>'0878.HK'</v>
      </c>
      <c r="D893" s="22" t="s">
        <v>2727</v>
      </c>
      <c r="E893" s="22" t="s">
        <v>1028</v>
      </c>
      <c r="F893" s="22">
        <v>1980327358.6500001</v>
      </c>
      <c r="G893" s="22">
        <v>34</v>
      </c>
      <c r="H893" s="22" t="s">
        <v>2728</v>
      </c>
    </row>
    <row r="894" spans="1:8" x14ac:dyDescent="0.35">
      <c r="A894" s="22" t="s">
        <v>851</v>
      </c>
      <c r="B894" s="22" t="str">
        <f>"00931"</f>
        <v>00931</v>
      </c>
      <c r="C894" s="22" t="str">
        <f t="shared" si="13"/>
        <v>'0931.HK'</v>
      </c>
      <c r="D894" s="22" t="s">
        <v>2729</v>
      </c>
      <c r="E894" s="22" t="s">
        <v>1127</v>
      </c>
      <c r="F894" s="22">
        <v>1975328981.5</v>
      </c>
      <c r="G894" s="22">
        <v>8</v>
      </c>
      <c r="H894" s="22" t="s">
        <v>2730</v>
      </c>
    </row>
    <row r="895" spans="1:8" x14ac:dyDescent="0.35">
      <c r="A895" s="22" t="s">
        <v>851</v>
      </c>
      <c r="B895" s="22" t="str">
        <f>"03818"</f>
        <v>03818</v>
      </c>
      <c r="C895" s="22" t="str">
        <f t="shared" si="13"/>
        <v>'3818.HK'</v>
      </c>
      <c r="D895" s="22" t="s">
        <v>2731</v>
      </c>
      <c r="E895" s="22" t="s">
        <v>889</v>
      </c>
      <c r="F895" s="22">
        <v>1972332943.375</v>
      </c>
      <c r="G895" s="22">
        <v>93</v>
      </c>
      <c r="H895" s="22" t="s">
        <v>2732</v>
      </c>
    </row>
    <row r="896" spans="1:8" x14ac:dyDescent="0.35">
      <c r="A896" s="22" t="s">
        <v>851</v>
      </c>
      <c r="B896" s="22" t="str">
        <f>"00419"</f>
        <v>00419</v>
      </c>
      <c r="C896" s="22" t="str">
        <f t="shared" si="13"/>
        <v>'0419.HK'</v>
      </c>
      <c r="D896" s="22" t="s">
        <v>2733</v>
      </c>
      <c r="E896" s="22" t="s">
        <v>1744</v>
      </c>
      <c r="F896" s="22">
        <v>1969874098.3050001</v>
      </c>
      <c r="G896" s="22">
        <v>17</v>
      </c>
      <c r="H896" s="22" t="s">
        <v>2734</v>
      </c>
    </row>
    <row r="897" spans="1:8" x14ac:dyDescent="0.35">
      <c r="A897" s="22" t="s">
        <v>851</v>
      </c>
      <c r="B897" s="22" t="str">
        <f>"01045"</f>
        <v>01045</v>
      </c>
      <c r="C897" s="22" t="str">
        <f t="shared" si="13"/>
        <v>'1045.HK'</v>
      </c>
      <c r="D897" s="22" t="s">
        <v>2735</v>
      </c>
      <c r="E897" s="22" t="s">
        <v>1013</v>
      </c>
      <c r="F897" s="22">
        <v>1968573700</v>
      </c>
      <c r="G897" s="22">
        <v>35</v>
      </c>
      <c r="H897" s="22" t="s">
        <v>2736</v>
      </c>
    </row>
    <row r="898" spans="1:8" x14ac:dyDescent="0.35">
      <c r="A898" s="22" t="s">
        <v>851</v>
      </c>
      <c r="B898" s="22" t="str">
        <f>"06858"</f>
        <v>06858</v>
      </c>
      <c r="C898" s="22" t="str">
        <f t="shared" si="13"/>
        <v>'6858.HK'</v>
      </c>
      <c r="D898" s="22" t="s">
        <v>2737</v>
      </c>
      <c r="E898" s="22" t="s">
        <v>1446</v>
      </c>
      <c r="F898" s="22">
        <v>1968338125</v>
      </c>
      <c r="G898" s="22">
        <v>7</v>
      </c>
      <c r="H898" s="22" t="s">
        <v>2738</v>
      </c>
    </row>
    <row r="899" spans="1:8" x14ac:dyDescent="0.35">
      <c r="A899" s="22" t="s">
        <v>851</v>
      </c>
      <c r="B899" s="22" t="str">
        <f>"01725"</f>
        <v>01725</v>
      </c>
      <c r="C899" s="22" t="str">
        <f t="shared" ref="C899:C962" si="14">CONCATENATE("'",RIGHT(B899,4),".HK'")</f>
        <v>'1725.HK'</v>
      </c>
      <c r="D899" s="22" t="s">
        <v>2739</v>
      </c>
      <c r="E899" s="22" t="s">
        <v>1224</v>
      </c>
      <c r="F899" s="22">
        <v>1968330000</v>
      </c>
      <c r="G899" s="22">
        <v>2</v>
      </c>
      <c r="H899" s="22" t="s">
        <v>2740</v>
      </c>
    </row>
    <row r="900" spans="1:8" x14ac:dyDescent="0.35">
      <c r="A900" s="22" t="s">
        <v>851</v>
      </c>
      <c r="B900" s="22" t="str">
        <f>"02698"</f>
        <v>02698</v>
      </c>
      <c r="C900" s="22" t="str">
        <f t="shared" si="14"/>
        <v>'2698.HK'</v>
      </c>
      <c r="D900" s="22" t="s">
        <v>2741</v>
      </c>
      <c r="E900" s="22" t="s">
        <v>1914</v>
      </c>
      <c r="F900" s="22">
        <v>1958797960</v>
      </c>
      <c r="G900" s="22">
        <v>56</v>
      </c>
      <c r="H900" s="22" t="s">
        <v>2742</v>
      </c>
    </row>
    <row r="901" spans="1:8" x14ac:dyDescent="0.35">
      <c r="A901" s="22" t="s">
        <v>851</v>
      </c>
      <c r="B901" s="22" t="str">
        <f>"02392"</f>
        <v>02392</v>
      </c>
      <c r="C901" s="22" t="str">
        <f t="shared" si="14"/>
        <v>'2392.HK'</v>
      </c>
      <c r="D901" s="22" t="s">
        <v>2743</v>
      </c>
      <c r="E901" s="22" t="s">
        <v>910</v>
      </c>
      <c r="F901" s="22">
        <v>1955518545</v>
      </c>
      <c r="G901" s="22">
        <v>2</v>
      </c>
      <c r="H901" s="22" t="s">
        <v>2744</v>
      </c>
    </row>
    <row r="902" spans="1:8" x14ac:dyDescent="0.35">
      <c r="A902" s="22" t="s">
        <v>851</v>
      </c>
      <c r="B902" s="22" t="str">
        <f>"00842"</f>
        <v>00842</v>
      </c>
      <c r="C902" s="22" t="str">
        <f t="shared" si="14"/>
        <v>'0842.HK'</v>
      </c>
      <c r="D902" s="22" t="s">
        <v>2745</v>
      </c>
      <c r="E902" s="22" t="s">
        <v>1145</v>
      </c>
      <c r="F902" s="22">
        <v>1955310719.04</v>
      </c>
      <c r="G902" s="22">
        <v>11</v>
      </c>
      <c r="H902" s="22" t="s">
        <v>2746</v>
      </c>
    </row>
    <row r="903" spans="1:8" x14ac:dyDescent="0.35">
      <c r="A903" s="22" t="s">
        <v>851</v>
      </c>
      <c r="B903" s="22" t="str">
        <f>"03390"</f>
        <v>03390</v>
      </c>
      <c r="C903" s="22" t="str">
        <f t="shared" si="14"/>
        <v>'3390.HK'</v>
      </c>
      <c r="D903" s="22" t="s">
        <v>2747</v>
      </c>
      <c r="E903" s="22" t="s">
        <v>969</v>
      </c>
      <c r="F903" s="22">
        <v>1952000000</v>
      </c>
      <c r="G903" s="22">
        <v>3</v>
      </c>
      <c r="H903" s="22" t="s">
        <v>2748</v>
      </c>
    </row>
    <row r="904" spans="1:8" x14ac:dyDescent="0.35">
      <c r="A904" s="22" t="s">
        <v>851</v>
      </c>
      <c r="B904" s="22" t="str">
        <f>"01085"</f>
        <v>01085</v>
      </c>
      <c r="C904" s="22" t="str">
        <f t="shared" si="14"/>
        <v>'1085.HK'</v>
      </c>
      <c r="D904" s="22" t="s">
        <v>2749</v>
      </c>
      <c r="E904" s="22" t="s">
        <v>938</v>
      </c>
      <c r="F904" s="22">
        <v>1940000000</v>
      </c>
      <c r="G904" s="22">
        <v>3</v>
      </c>
      <c r="H904" s="22" t="s">
        <v>2750</v>
      </c>
    </row>
    <row r="905" spans="1:8" x14ac:dyDescent="0.35">
      <c r="A905" s="22" t="s">
        <v>851</v>
      </c>
      <c r="B905" s="22" t="str">
        <f>"02187"</f>
        <v>02187</v>
      </c>
      <c r="C905" s="22" t="str">
        <f t="shared" si="14"/>
        <v>'2187.HK'</v>
      </c>
      <c r="D905" s="22" t="s">
        <v>2751</v>
      </c>
      <c r="E905" s="22" t="s">
        <v>1016</v>
      </c>
      <c r="F905" s="22">
        <v>1937320000</v>
      </c>
      <c r="G905" s="22">
        <v>3</v>
      </c>
      <c r="H905" s="22" t="s">
        <v>2752</v>
      </c>
    </row>
    <row r="906" spans="1:8" x14ac:dyDescent="0.35">
      <c r="A906" s="22" t="s">
        <v>851</v>
      </c>
      <c r="B906" s="22" t="str">
        <f>"06158"</f>
        <v>06158</v>
      </c>
      <c r="C906" s="22" t="str">
        <f t="shared" si="14"/>
        <v>'6158.HK'</v>
      </c>
      <c r="D906" s="22" t="s">
        <v>2753</v>
      </c>
      <c r="E906" s="22" t="s">
        <v>924</v>
      </c>
      <c r="F906" s="22">
        <v>1921812640</v>
      </c>
      <c r="G906" s="22">
        <v>40</v>
      </c>
      <c r="H906" s="22" t="s">
        <v>2754</v>
      </c>
    </row>
    <row r="907" spans="1:8" x14ac:dyDescent="0.35">
      <c r="A907" s="22" t="s">
        <v>851</v>
      </c>
      <c r="B907" s="22" t="str">
        <f>"00408"</f>
        <v>00408</v>
      </c>
      <c r="C907" s="22" t="str">
        <f t="shared" si="14"/>
        <v>'0408.HK'</v>
      </c>
      <c r="D907" s="22" t="s">
        <v>2755</v>
      </c>
      <c r="E907" s="22" t="s">
        <v>1600</v>
      </c>
      <c r="F907" s="22">
        <v>1921476244.48</v>
      </c>
      <c r="G907" s="22">
        <v>16</v>
      </c>
      <c r="H907" s="22" t="s">
        <v>2756</v>
      </c>
    </row>
    <row r="908" spans="1:8" x14ac:dyDescent="0.35">
      <c r="A908" s="22" t="s">
        <v>851</v>
      </c>
      <c r="B908" s="22" t="str">
        <f>"00329"</f>
        <v>00329</v>
      </c>
      <c r="C908" s="22" t="str">
        <f t="shared" si="14"/>
        <v>'0329.HK'</v>
      </c>
      <c r="D908" s="22" t="s">
        <v>2757</v>
      </c>
      <c r="E908" s="22" t="s">
        <v>1130</v>
      </c>
      <c r="F908" s="22">
        <v>1919679897.5999999</v>
      </c>
      <c r="G908" s="22">
        <v>3</v>
      </c>
      <c r="H908" s="22" t="s">
        <v>2758</v>
      </c>
    </row>
    <row r="909" spans="1:8" x14ac:dyDescent="0.35">
      <c r="A909" s="22" t="s">
        <v>851</v>
      </c>
      <c r="B909" s="22" t="str">
        <f>"02348"</f>
        <v>02348</v>
      </c>
      <c r="C909" s="22" t="str">
        <f t="shared" si="14"/>
        <v>'2348.HK'</v>
      </c>
      <c r="D909" s="22" t="s">
        <v>2759</v>
      </c>
      <c r="E909" s="22" t="s">
        <v>969</v>
      </c>
      <c r="F909" s="22">
        <v>1918255360</v>
      </c>
      <c r="G909" s="22">
        <v>23</v>
      </c>
      <c r="H909" s="22" t="s">
        <v>2760</v>
      </c>
    </row>
    <row r="910" spans="1:8" x14ac:dyDescent="0.35">
      <c r="A910" s="22" t="s">
        <v>851</v>
      </c>
      <c r="B910" s="22" t="str">
        <f>"00951"</f>
        <v>00951</v>
      </c>
      <c r="C910" s="22" t="str">
        <f t="shared" si="14"/>
        <v>'0951.HK'</v>
      </c>
      <c r="D910" s="22" t="s">
        <v>2761</v>
      </c>
      <c r="E910" s="22" t="s">
        <v>1145</v>
      </c>
      <c r="F910" s="22">
        <v>1899098403.8800001</v>
      </c>
      <c r="G910" s="22">
        <v>62</v>
      </c>
      <c r="H910" s="22" t="s">
        <v>2762</v>
      </c>
    </row>
    <row r="911" spans="1:8" x14ac:dyDescent="0.35">
      <c r="A911" s="22" t="s">
        <v>851</v>
      </c>
      <c r="B911" s="22" t="str">
        <f>"01665"</f>
        <v>01665</v>
      </c>
      <c r="C911" s="22" t="str">
        <f t="shared" si="14"/>
        <v>'1665.HK'</v>
      </c>
      <c r="D911" s="22" t="s">
        <v>2763</v>
      </c>
      <c r="E911" s="22" t="s">
        <v>1202</v>
      </c>
      <c r="F911" s="22">
        <v>1896000000</v>
      </c>
      <c r="G911" s="22">
        <v>19</v>
      </c>
      <c r="H911" s="22" t="s">
        <v>2764</v>
      </c>
    </row>
    <row r="912" spans="1:8" x14ac:dyDescent="0.35">
      <c r="A912" s="22" t="s">
        <v>851</v>
      </c>
      <c r="B912" s="22" t="str">
        <f>"01728"</f>
        <v>01728</v>
      </c>
      <c r="C912" s="22" t="str">
        <f t="shared" si="14"/>
        <v>'1728.HK'</v>
      </c>
      <c r="D912" s="22" t="s">
        <v>2765</v>
      </c>
      <c r="E912" s="22" t="s">
        <v>1089</v>
      </c>
      <c r="F912" s="22">
        <v>1893734269.8</v>
      </c>
      <c r="G912" s="22">
        <v>45</v>
      </c>
      <c r="H912" s="22" t="s">
        <v>2766</v>
      </c>
    </row>
    <row r="913" spans="1:8" x14ac:dyDescent="0.35">
      <c r="A913" s="22" t="s">
        <v>851</v>
      </c>
      <c r="B913" s="22" t="str">
        <f>"03301"</f>
        <v>03301</v>
      </c>
      <c r="C913" s="22" t="str">
        <f t="shared" si="14"/>
        <v>'3301.HK'</v>
      </c>
      <c r="D913" s="22" t="s">
        <v>2767</v>
      </c>
      <c r="E913" s="22" t="s">
        <v>924</v>
      </c>
      <c r="F913" s="22">
        <v>1885443187.04</v>
      </c>
      <c r="G913" s="22">
        <v>105</v>
      </c>
      <c r="H913" s="22" t="s">
        <v>2768</v>
      </c>
    </row>
    <row r="914" spans="1:8" x14ac:dyDescent="0.35">
      <c r="A914" s="22" t="s">
        <v>851</v>
      </c>
      <c r="B914" s="22" t="str">
        <f>"01263"</f>
        <v>01263</v>
      </c>
      <c r="C914" s="22" t="str">
        <f t="shared" si="14"/>
        <v>'1263.HK'</v>
      </c>
      <c r="D914" s="22" t="s">
        <v>2769</v>
      </c>
      <c r="E914" s="22" t="s">
        <v>1152</v>
      </c>
      <c r="F914" s="22">
        <v>1880265789.8</v>
      </c>
      <c r="G914" s="22">
        <v>16</v>
      </c>
      <c r="H914" s="22" t="s">
        <v>2770</v>
      </c>
    </row>
    <row r="915" spans="1:8" x14ac:dyDescent="0.35">
      <c r="A915" s="22" t="s">
        <v>851</v>
      </c>
      <c r="B915" s="22" t="str">
        <f>"00609"</f>
        <v>00609</v>
      </c>
      <c r="C915" s="22" t="str">
        <f t="shared" si="14"/>
        <v>'0609.HK'</v>
      </c>
      <c r="D915" s="22" t="s">
        <v>2771</v>
      </c>
      <c r="E915" s="22" t="s">
        <v>1600</v>
      </c>
      <c r="F915" s="22">
        <v>1877942880</v>
      </c>
      <c r="G915" s="22">
        <v>21</v>
      </c>
      <c r="H915" s="22" t="s">
        <v>2772</v>
      </c>
    </row>
    <row r="916" spans="1:8" x14ac:dyDescent="0.35">
      <c r="A916" s="22" t="s">
        <v>851</v>
      </c>
      <c r="B916" s="22" t="str">
        <f>"01141"</f>
        <v>01141</v>
      </c>
      <c r="C916" s="22" t="str">
        <f t="shared" si="14"/>
        <v>'1141.HK'</v>
      </c>
      <c r="D916" s="22" t="s">
        <v>2773</v>
      </c>
      <c r="E916" s="22" t="s">
        <v>1130</v>
      </c>
      <c r="F916" s="22">
        <v>1865283390.3800001</v>
      </c>
      <c r="G916" s="22">
        <v>16</v>
      </c>
      <c r="H916" s="22" t="s">
        <v>2774</v>
      </c>
    </row>
    <row r="917" spans="1:8" x14ac:dyDescent="0.35">
      <c r="A917" s="22" t="s">
        <v>851</v>
      </c>
      <c r="B917" s="22" t="str">
        <f>"03681"</f>
        <v>03681</v>
      </c>
      <c r="C917" s="22" t="str">
        <f t="shared" si="14"/>
        <v>'3681.HK'</v>
      </c>
      <c r="D917" s="22" t="s">
        <v>2775</v>
      </c>
      <c r="E917" s="22" t="s">
        <v>941</v>
      </c>
      <c r="F917" s="22">
        <v>1862856720</v>
      </c>
      <c r="G917" s="22">
        <v>8</v>
      </c>
      <c r="H917" s="22" t="s">
        <v>2776</v>
      </c>
    </row>
    <row r="918" spans="1:8" x14ac:dyDescent="0.35">
      <c r="A918" s="22" t="s">
        <v>851</v>
      </c>
      <c r="B918" s="22" t="str">
        <f>"01820"</f>
        <v>01820</v>
      </c>
      <c r="C918" s="22" t="str">
        <f t="shared" si="14"/>
        <v>'1820.HK'</v>
      </c>
      <c r="D918" s="22" t="s">
        <v>2777</v>
      </c>
      <c r="E918" s="22" t="s">
        <v>2259</v>
      </c>
      <c r="F918" s="22">
        <v>1860912080</v>
      </c>
      <c r="G918" s="22">
        <v>2</v>
      </c>
      <c r="H918" s="22" t="s">
        <v>2778</v>
      </c>
    </row>
    <row r="919" spans="1:8" x14ac:dyDescent="0.35">
      <c r="A919" s="22" t="s">
        <v>851</v>
      </c>
      <c r="B919" s="22" t="str">
        <f>"03836"</f>
        <v>03836</v>
      </c>
      <c r="C919" s="22" t="str">
        <f t="shared" si="14"/>
        <v>'3836.HK'</v>
      </c>
      <c r="D919" s="22" t="s">
        <v>2779</v>
      </c>
      <c r="E919" s="22" t="s">
        <v>1089</v>
      </c>
      <c r="F919" s="22">
        <v>1856396012.4000001</v>
      </c>
      <c r="G919" s="22">
        <v>35</v>
      </c>
      <c r="H919" s="22" t="s">
        <v>2780</v>
      </c>
    </row>
    <row r="920" spans="1:8" x14ac:dyDescent="0.35">
      <c r="A920" s="22" t="s">
        <v>851</v>
      </c>
      <c r="B920" s="22" t="str">
        <f>"02126"</f>
        <v>02126</v>
      </c>
      <c r="C920" s="22" t="str">
        <f t="shared" si="14"/>
        <v>'2126.HK'</v>
      </c>
      <c r="D920" s="22" t="s">
        <v>2781</v>
      </c>
      <c r="E920" s="22" t="s">
        <v>941</v>
      </c>
      <c r="F920" s="22">
        <v>1853765549.9000001</v>
      </c>
      <c r="G920" s="22">
        <v>35</v>
      </c>
      <c r="H920" s="22" t="s">
        <v>2782</v>
      </c>
    </row>
    <row r="921" spans="1:8" x14ac:dyDescent="0.35">
      <c r="A921" s="22" t="s">
        <v>851</v>
      </c>
      <c r="B921" s="22" t="str">
        <f>"02633"</f>
        <v>02633</v>
      </c>
      <c r="C921" s="22" t="str">
        <f t="shared" si="14"/>
        <v>'2633.HK'</v>
      </c>
      <c r="D921" s="22" t="s">
        <v>2783</v>
      </c>
      <c r="E921" s="22" t="s">
        <v>969</v>
      </c>
      <c r="F921" s="22">
        <v>1837509950</v>
      </c>
      <c r="G921" s="22">
        <v>10</v>
      </c>
      <c r="H921" s="22" t="s">
        <v>2784</v>
      </c>
    </row>
    <row r="922" spans="1:8" x14ac:dyDescent="0.35">
      <c r="A922" s="22" t="s">
        <v>851</v>
      </c>
      <c r="B922" s="22" t="str">
        <f>"01846"</f>
        <v>01846</v>
      </c>
      <c r="C922" s="22" t="str">
        <f t="shared" si="14"/>
        <v>'1846.HK'</v>
      </c>
      <c r="D922" s="22" t="s">
        <v>2785</v>
      </c>
      <c r="E922" s="22" t="s">
        <v>1362</v>
      </c>
      <c r="F922" s="22">
        <v>1829487600</v>
      </c>
      <c r="G922" s="22">
        <v>15</v>
      </c>
      <c r="H922" s="22" t="s">
        <v>2786</v>
      </c>
    </row>
    <row r="923" spans="1:8" x14ac:dyDescent="0.35">
      <c r="A923" s="22" t="s">
        <v>851</v>
      </c>
      <c r="B923" s="22" t="str">
        <f>"00286"</f>
        <v>00286</v>
      </c>
      <c r="C923" s="22" t="str">
        <f t="shared" si="14"/>
        <v>'0286.HK'</v>
      </c>
      <c r="D923" s="22" t="s">
        <v>2787</v>
      </c>
      <c r="E923" s="22" t="s">
        <v>1362</v>
      </c>
      <c r="F923" s="22">
        <v>1824906289.0799999</v>
      </c>
      <c r="G923" s="22">
        <v>10</v>
      </c>
      <c r="H923" s="22" t="s">
        <v>2788</v>
      </c>
    </row>
    <row r="924" spans="1:8" x14ac:dyDescent="0.35">
      <c r="A924" s="22" t="s">
        <v>851</v>
      </c>
      <c r="B924" s="22" t="str">
        <f>"01697"</f>
        <v>01697</v>
      </c>
      <c r="C924" s="22" t="str">
        <f t="shared" si="14"/>
        <v>'1697.HK'</v>
      </c>
      <c r="D924" s="22" t="s">
        <v>2789</v>
      </c>
      <c r="E924" s="22" t="s">
        <v>964</v>
      </c>
      <c r="F924" s="22">
        <v>1816951500</v>
      </c>
      <c r="G924" s="22">
        <v>20</v>
      </c>
      <c r="H924" s="22" t="s">
        <v>2790</v>
      </c>
    </row>
    <row r="925" spans="1:8" x14ac:dyDescent="0.35">
      <c r="A925" s="22" t="s">
        <v>851</v>
      </c>
      <c r="B925" s="22" t="str">
        <f>"02297"</f>
        <v>02297</v>
      </c>
      <c r="C925" s="22" t="str">
        <f t="shared" si="14"/>
        <v>'2297.HK'</v>
      </c>
      <c r="D925" s="22" t="s">
        <v>2791</v>
      </c>
      <c r="E925" s="22" t="s">
        <v>1232</v>
      </c>
      <c r="F925" s="22">
        <v>1810088450</v>
      </c>
      <c r="G925" s="22">
        <v>1</v>
      </c>
      <c r="H925" s="22" t="s">
        <v>2792</v>
      </c>
    </row>
    <row r="926" spans="1:8" x14ac:dyDescent="0.35">
      <c r="A926" s="22" t="s">
        <v>851</v>
      </c>
      <c r="B926" s="22" t="str">
        <f>"00695"</f>
        <v>00695</v>
      </c>
      <c r="C926" s="22" t="str">
        <f t="shared" si="14"/>
        <v>'0695.HK'</v>
      </c>
      <c r="D926" s="22" t="s">
        <v>2793</v>
      </c>
      <c r="E926" s="22" t="s">
        <v>1016</v>
      </c>
      <c r="F926" s="22">
        <v>1805040000</v>
      </c>
      <c r="G926" s="22">
        <v>5</v>
      </c>
      <c r="H926" s="22" t="s">
        <v>2794</v>
      </c>
    </row>
    <row r="927" spans="1:8" x14ac:dyDescent="0.35">
      <c r="A927" s="22" t="s">
        <v>851</v>
      </c>
      <c r="B927" s="22" t="str">
        <f>"01126"</f>
        <v>01126</v>
      </c>
      <c r="C927" s="22" t="str">
        <f t="shared" si="14"/>
        <v>'1126.HK'</v>
      </c>
      <c r="D927" s="22" t="s">
        <v>2795</v>
      </c>
      <c r="E927" s="22" t="s">
        <v>1446</v>
      </c>
      <c r="F927" s="22">
        <v>1800460900</v>
      </c>
      <c r="G927" s="22">
        <v>15</v>
      </c>
      <c r="H927" s="22" t="s">
        <v>2796</v>
      </c>
    </row>
    <row r="928" spans="1:8" x14ac:dyDescent="0.35">
      <c r="A928" s="22" t="s">
        <v>851</v>
      </c>
      <c r="B928" s="22" t="str">
        <f>"00321"</f>
        <v>00321</v>
      </c>
      <c r="C928" s="22" t="str">
        <f t="shared" si="14"/>
        <v>'0321.HK'</v>
      </c>
      <c r="D928" s="22" t="s">
        <v>2797</v>
      </c>
      <c r="E928" s="22" t="s">
        <v>1914</v>
      </c>
      <c r="F928" s="22">
        <v>1796204935.2</v>
      </c>
      <c r="G928" s="22">
        <v>38</v>
      </c>
      <c r="H928" s="22" t="s">
        <v>2798</v>
      </c>
    </row>
    <row r="929" spans="1:8" x14ac:dyDescent="0.35">
      <c r="A929" s="22" t="s">
        <v>851</v>
      </c>
      <c r="B929" s="22" t="str">
        <f>"02181"</f>
        <v>02181</v>
      </c>
      <c r="C929" s="22" t="str">
        <f t="shared" si="14"/>
        <v>'2181.HK'</v>
      </c>
      <c r="D929" s="22" t="s">
        <v>2799</v>
      </c>
      <c r="E929" s="22" t="s">
        <v>941</v>
      </c>
      <c r="F929" s="22">
        <v>1793974800</v>
      </c>
      <c r="G929" s="22">
        <v>7</v>
      </c>
      <c r="H929" s="22" t="s">
        <v>2800</v>
      </c>
    </row>
    <row r="930" spans="1:8" x14ac:dyDescent="0.35">
      <c r="A930" s="22" t="s">
        <v>851</v>
      </c>
      <c r="B930" s="22" t="str">
        <f>"00052"</f>
        <v>00052</v>
      </c>
      <c r="C930" s="22" t="str">
        <f t="shared" si="14"/>
        <v>'0052.HK'</v>
      </c>
      <c r="D930" s="22" t="s">
        <v>2801</v>
      </c>
      <c r="E930" s="22" t="s">
        <v>981</v>
      </c>
      <c r="F930" s="22">
        <v>1785237308.4000001</v>
      </c>
      <c r="G930" s="22">
        <v>27</v>
      </c>
      <c r="H930" s="22" t="s">
        <v>2802</v>
      </c>
    </row>
    <row r="931" spans="1:8" x14ac:dyDescent="0.35">
      <c r="A931" s="22" t="s">
        <v>851</v>
      </c>
      <c r="B931" s="22" t="str">
        <f>"03639"</f>
        <v>03639</v>
      </c>
      <c r="C931" s="22" t="str">
        <f t="shared" si="14"/>
        <v>'3639.HK'</v>
      </c>
      <c r="D931" s="22" t="s">
        <v>2803</v>
      </c>
      <c r="E931" s="22" t="s">
        <v>924</v>
      </c>
      <c r="F931" s="22">
        <v>1782939300</v>
      </c>
      <c r="G931" s="22">
        <v>15</v>
      </c>
      <c r="H931" s="22" t="s">
        <v>2804</v>
      </c>
    </row>
    <row r="932" spans="1:8" x14ac:dyDescent="0.35">
      <c r="A932" s="22" t="s">
        <v>851</v>
      </c>
      <c r="B932" s="22" t="str">
        <f>"02250"</f>
        <v>02250</v>
      </c>
      <c r="C932" s="22" t="str">
        <f t="shared" si="14"/>
        <v>'2250.HK'</v>
      </c>
      <c r="D932" s="22" t="s">
        <v>2805</v>
      </c>
      <c r="E932" s="22" t="s">
        <v>853</v>
      </c>
      <c r="F932" s="22">
        <v>1780000000</v>
      </c>
      <c r="G932" s="22">
        <v>1</v>
      </c>
      <c r="H932" s="22" t="s">
        <v>2806</v>
      </c>
    </row>
    <row r="933" spans="1:8" x14ac:dyDescent="0.35">
      <c r="A933" s="22" t="s">
        <v>851</v>
      </c>
      <c r="B933" s="22" t="str">
        <f>"02768"</f>
        <v>02768</v>
      </c>
      <c r="C933" s="22" t="str">
        <f t="shared" si="14"/>
        <v>'2768.HK'</v>
      </c>
      <c r="D933" s="22" t="s">
        <v>2807</v>
      </c>
      <c r="E933" s="22" t="s">
        <v>924</v>
      </c>
      <c r="F933" s="22">
        <v>1779970650.3800001</v>
      </c>
      <c r="G933" s="22">
        <v>45</v>
      </c>
      <c r="H933" s="22" t="s">
        <v>2808</v>
      </c>
    </row>
    <row r="934" spans="1:8" x14ac:dyDescent="0.35">
      <c r="A934" s="22" t="s">
        <v>851</v>
      </c>
      <c r="B934" s="22" t="str">
        <f>"01935"</f>
        <v>01935</v>
      </c>
      <c r="C934" s="22" t="str">
        <f t="shared" si="14"/>
        <v>'1935.HK'</v>
      </c>
      <c r="D934" s="22" t="s">
        <v>2809</v>
      </c>
      <c r="E934" s="22" t="s">
        <v>1270</v>
      </c>
      <c r="F934" s="22">
        <v>1776921300</v>
      </c>
      <c r="G934" s="22">
        <v>11</v>
      </c>
      <c r="H934" s="22" t="s">
        <v>2810</v>
      </c>
    </row>
    <row r="935" spans="1:8" x14ac:dyDescent="0.35">
      <c r="A935" s="22" t="s">
        <v>851</v>
      </c>
      <c r="B935" s="22" t="str">
        <f>"00139"</f>
        <v>00139</v>
      </c>
      <c r="C935" s="22" t="str">
        <f t="shared" si="14"/>
        <v>'0139.HK'</v>
      </c>
      <c r="D935" s="22" t="s">
        <v>2811</v>
      </c>
      <c r="E935" s="22" t="s">
        <v>1130</v>
      </c>
      <c r="F935" s="22">
        <v>1773186201.171</v>
      </c>
      <c r="G935" s="22">
        <v>3</v>
      </c>
      <c r="H935" s="22" t="s">
        <v>2812</v>
      </c>
    </row>
    <row r="936" spans="1:8" x14ac:dyDescent="0.35">
      <c r="A936" s="22" t="s">
        <v>851</v>
      </c>
      <c r="B936" s="22" t="str">
        <f>"03798"</f>
        <v>03798</v>
      </c>
      <c r="C936" s="22" t="str">
        <f t="shared" si="14"/>
        <v>'3798.HK'</v>
      </c>
      <c r="D936" s="22" t="s">
        <v>2813</v>
      </c>
      <c r="E936" s="22" t="s">
        <v>910</v>
      </c>
      <c r="F936" s="22">
        <v>1771096830</v>
      </c>
      <c r="G936" s="22">
        <v>16</v>
      </c>
      <c r="H936" s="22" t="s">
        <v>2814</v>
      </c>
    </row>
    <row r="937" spans="1:8" x14ac:dyDescent="0.35">
      <c r="A937" s="22" t="s">
        <v>851</v>
      </c>
      <c r="B937" s="22" t="str">
        <f>"02779"</f>
        <v>02779</v>
      </c>
      <c r="C937" s="22" t="str">
        <f t="shared" si="14"/>
        <v>'2779.HK'</v>
      </c>
      <c r="D937" s="22" t="s">
        <v>2815</v>
      </c>
      <c r="E937" s="22" t="s">
        <v>1270</v>
      </c>
      <c r="F937" s="22">
        <v>1769441300</v>
      </c>
      <c r="G937" s="22">
        <v>26</v>
      </c>
      <c r="H937" s="22" t="s">
        <v>2816</v>
      </c>
    </row>
    <row r="938" spans="1:8" x14ac:dyDescent="0.35">
      <c r="A938" s="22" t="s">
        <v>851</v>
      </c>
      <c r="B938" s="22" t="str">
        <f>"01469"</f>
        <v>01469</v>
      </c>
      <c r="C938" s="22" t="str">
        <f t="shared" si="14"/>
        <v>'1469.HK'</v>
      </c>
      <c r="D938" s="22" t="s">
        <v>2817</v>
      </c>
      <c r="E938" s="22" t="s">
        <v>1130</v>
      </c>
      <c r="F938" s="22">
        <v>1750000000</v>
      </c>
      <c r="G938" s="22">
        <v>3</v>
      </c>
      <c r="H938" s="22" t="s">
        <v>2818</v>
      </c>
    </row>
    <row r="939" spans="1:8" x14ac:dyDescent="0.35">
      <c r="A939" s="22" t="s">
        <v>851</v>
      </c>
      <c r="B939" s="22" t="str">
        <f>"00222"</f>
        <v>00222</v>
      </c>
      <c r="C939" s="22" t="str">
        <f t="shared" si="14"/>
        <v>'0222.HK'</v>
      </c>
      <c r="D939" s="22" t="s">
        <v>2819</v>
      </c>
      <c r="E939" s="22" t="s">
        <v>870</v>
      </c>
      <c r="F939" s="22">
        <v>1749963748.3599999</v>
      </c>
      <c r="G939" s="22">
        <v>17</v>
      </c>
      <c r="H939" s="22" t="s">
        <v>2820</v>
      </c>
    </row>
    <row r="940" spans="1:8" x14ac:dyDescent="0.35">
      <c r="A940" s="22" t="s">
        <v>851</v>
      </c>
      <c r="B940" s="22" t="str">
        <f>"02008"</f>
        <v>02008</v>
      </c>
      <c r="C940" s="22" t="str">
        <f t="shared" si="14"/>
        <v>'2008.HK'</v>
      </c>
      <c r="D940" s="22" t="s">
        <v>2821</v>
      </c>
      <c r="E940" s="22" t="s">
        <v>2645</v>
      </c>
      <c r="F940" s="22">
        <v>1747780825</v>
      </c>
      <c r="G940" s="22">
        <v>19</v>
      </c>
      <c r="H940" s="22" t="s">
        <v>2822</v>
      </c>
    </row>
    <row r="941" spans="1:8" x14ac:dyDescent="0.35">
      <c r="A941" s="22" t="s">
        <v>851</v>
      </c>
      <c r="B941" s="22" t="str">
        <f>"00438"</f>
        <v>00438</v>
      </c>
      <c r="C941" s="22" t="str">
        <f t="shared" si="14"/>
        <v>'0438.HK'</v>
      </c>
      <c r="D941" s="22" t="s">
        <v>2823</v>
      </c>
      <c r="E941" s="22" t="s">
        <v>1145</v>
      </c>
      <c r="F941" s="22">
        <v>1743825272.3</v>
      </c>
      <c r="G941" s="22">
        <v>18</v>
      </c>
      <c r="H941" s="22" t="s">
        <v>2824</v>
      </c>
    </row>
    <row r="942" spans="1:8" x14ac:dyDescent="0.35">
      <c r="A942" s="22" t="s">
        <v>851</v>
      </c>
      <c r="B942" s="22" t="str">
        <f>"02660"</f>
        <v>02660</v>
      </c>
      <c r="C942" s="22" t="str">
        <f t="shared" si="14"/>
        <v>'2660.HK'</v>
      </c>
      <c r="D942" s="22" t="s">
        <v>2825</v>
      </c>
      <c r="E942" s="22" t="s">
        <v>910</v>
      </c>
      <c r="F942" s="22">
        <v>1737660851.03</v>
      </c>
      <c r="G942" s="22">
        <v>15</v>
      </c>
      <c r="H942" s="22" t="s">
        <v>2826</v>
      </c>
    </row>
    <row r="943" spans="1:8" x14ac:dyDescent="0.35">
      <c r="A943" s="22" t="s">
        <v>851</v>
      </c>
      <c r="B943" s="22" t="str">
        <f>"06638"</f>
        <v>06638</v>
      </c>
      <c r="C943" s="22" t="str">
        <f t="shared" si="14"/>
        <v>'6638.HK'</v>
      </c>
      <c r="D943" s="22" t="s">
        <v>2827</v>
      </c>
      <c r="E943" s="22" t="s">
        <v>910</v>
      </c>
      <c r="F943" s="22">
        <v>1719871559.9100001</v>
      </c>
      <c r="G943" s="22">
        <v>2</v>
      </c>
      <c r="H943" s="22" t="s">
        <v>2828</v>
      </c>
    </row>
    <row r="944" spans="1:8" x14ac:dyDescent="0.35">
      <c r="A944" s="22" t="s">
        <v>851</v>
      </c>
      <c r="B944" s="22" t="str">
        <f>"00716"</f>
        <v>00716</v>
      </c>
      <c r="C944" s="22" t="str">
        <f t="shared" si="14"/>
        <v>'0716.HK'</v>
      </c>
      <c r="D944" s="22" t="s">
        <v>2829</v>
      </c>
      <c r="E944" s="22" t="s">
        <v>1109</v>
      </c>
      <c r="F944" s="22">
        <v>1715188260.96</v>
      </c>
      <c r="G944" s="22">
        <v>40</v>
      </c>
      <c r="H944" s="22" t="s">
        <v>2830</v>
      </c>
    </row>
    <row r="945" spans="1:8" x14ac:dyDescent="0.35">
      <c r="A945" s="22" t="s">
        <v>851</v>
      </c>
      <c r="B945" s="22" t="str">
        <f>"00187"</f>
        <v>00187</v>
      </c>
      <c r="C945" s="22" t="str">
        <f t="shared" si="14"/>
        <v>'0187.HK'</v>
      </c>
      <c r="D945" s="22" t="s">
        <v>2831</v>
      </c>
      <c r="E945" s="22" t="s">
        <v>1224</v>
      </c>
      <c r="F945" s="22">
        <v>1708137862.2</v>
      </c>
      <c r="G945" s="22">
        <v>17</v>
      </c>
      <c r="H945" s="22" t="s">
        <v>2832</v>
      </c>
    </row>
    <row r="946" spans="1:8" x14ac:dyDescent="0.35">
      <c r="A946" s="22" t="s">
        <v>851</v>
      </c>
      <c r="B946" s="22" t="str">
        <f>"00230"</f>
        <v>00230</v>
      </c>
      <c r="C946" s="22" t="str">
        <f t="shared" si="14"/>
        <v>'0230.HK'</v>
      </c>
      <c r="D946" s="22" t="s">
        <v>2833</v>
      </c>
      <c r="E946" s="22" t="s">
        <v>924</v>
      </c>
      <c r="F946" s="22">
        <v>1706923098.8699999</v>
      </c>
      <c r="G946" s="22">
        <v>40</v>
      </c>
      <c r="H946" s="22" t="s">
        <v>2834</v>
      </c>
    </row>
    <row r="947" spans="1:8" x14ac:dyDescent="0.35">
      <c r="A947" s="22" t="s">
        <v>851</v>
      </c>
      <c r="B947" s="22" t="str">
        <f>"00838"</f>
        <v>00838</v>
      </c>
      <c r="C947" s="22" t="str">
        <f t="shared" si="14"/>
        <v>'0838.HK'</v>
      </c>
      <c r="D947" s="22" t="s">
        <v>2835</v>
      </c>
      <c r="E947" s="22" t="s">
        <v>1224</v>
      </c>
      <c r="F947" s="22">
        <v>1706101404</v>
      </c>
      <c r="G947" s="22">
        <v>10</v>
      </c>
      <c r="H947" s="22" t="s">
        <v>2836</v>
      </c>
    </row>
    <row r="948" spans="1:8" x14ac:dyDescent="0.35">
      <c r="A948" s="22" t="s">
        <v>851</v>
      </c>
      <c r="B948" s="22" t="str">
        <f>"00255"</f>
        <v>00255</v>
      </c>
      <c r="C948" s="22" t="str">
        <f t="shared" si="14"/>
        <v>'0255.HK'</v>
      </c>
      <c r="D948" s="22" t="s">
        <v>2837</v>
      </c>
      <c r="E948" s="22" t="s">
        <v>1224</v>
      </c>
      <c r="F948" s="22">
        <v>1705528718.0999999</v>
      </c>
      <c r="G948" s="22">
        <v>37</v>
      </c>
      <c r="H948" s="22" t="s">
        <v>2838</v>
      </c>
    </row>
    <row r="949" spans="1:8" x14ac:dyDescent="0.35">
      <c r="A949" s="22" t="s">
        <v>851</v>
      </c>
      <c r="B949" s="22" t="str">
        <f>"01996"</f>
        <v>01996</v>
      </c>
      <c r="C949" s="22" t="str">
        <f t="shared" si="14"/>
        <v>'1996.HK'</v>
      </c>
      <c r="D949" s="22" t="s">
        <v>2839</v>
      </c>
      <c r="E949" s="22" t="s">
        <v>924</v>
      </c>
      <c r="F949" s="22">
        <v>1702837980</v>
      </c>
      <c r="G949" s="22">
        <v>24</v>
      </c>
      <c r="H949" s="22" t="s">
        <v>2840</v>
      </c>
    </row>
    <row r="950" spans="1:8" x14ac:dyDescent="0.35">
      <c r="A950" s="22" t="s">
        <v>851</v>
      </c>
      <c r="B950" s="22" t="str">
        <f>"00610"</f>
        <v>00610</v>
      </c>
      <c r="C950" s="22" t="str">
        <f t="shared" si="14"/>
        <v>'0610.HK'</v>
      </c>
      <c r="D950" s="22" t="s">
        <v>2841</v>
      </c>
      <c r="E950" s="22" t="s">
        <v>1078</v>
      </c>
      <c r="F950" s="22">
        <v>1697285432.76</v>
      </c>
      <c r="G950" s="22">
        <v>35</v>
      </c>
      <c r="H950" s="22" t="s">
        <v>2842</v>
      </c>
    </row>
    <row r="951" spans="1:8" x14ac:dyDescent="0.35">
      <c r="A951" s="22" t="s">
        <v>851</v>
      </c>
      <c r="B951" s="22" t="str">
        <f>"06908"</f>
        <v>06908</v>
      </c>
      <c r="C951" s="22" t="str">
        <f t="shared" si="14"/>
        <v>'6908.HK'</v>
      </c>
      <c r="D951" s="22" t="s">
        <v>2843</v>
      </c>
      <c r="E951" s="22" t="s">
        <v>1040</v>
      </c>
      <c r="F951" s="22">
        <v>1686642900</v>
      </c>
      <c r="G951" s="22">
        <v>1</v>
      </c>
      <c r="H951" s="22" t="s">
        <v>2844</v>
      </c>
    </row>
    <row r="952" spans="1:8" x14ac:dyDescent="0.35">
      <c r="A952" s="22" t="s">
        <v>851</v>
      </c>
      <c r="B952" s="22" t="str">
        <f>"00542"</f>
        <v>00542</v>
      </c>
      <c r="C952" s="22" t="str">
        <f t="shared" si="14"/>
        <v>'0542.HK'</v>
      </c>
      <c r="D952" s="22" t="s">
        <v>2845</v>
      </c>
      <c r="E952" s="22" t="s">
        <v>1070</v>
      </c>
      <c r="F952" s="22">
        <v>1681016709.6800001</v>
      </c>
      <c r="G952" s="22">
        <v>1</v>
      </c>
      <c r="H952" s="22" t="s">
        <v>2846</v>
      </c>
    </row>
    <row r="953" spans="1:8" x14ac:dyDescent="0.35">
      <c r="A953" s="22" t="s">
        <v>851</v>
      </c>
      <c r="B953" s="22" t="str">
        <f>"00622"</f>
        <v>00622</v>
      </c>
      <c r="C953" s="22" t="str">
        <f t="shared" si="14"/>
        <v>'0622.HK'</v>
      </c>
      <c r="D953" s="22" t="s">
        <v>2847</v>
      </c>
      <c r="E953" s="22" t="s">
        <v>1130</v>
      </c>
      <c r="F953" s="22">
        <v>1680046263.2249999</v>
      </c>
      <c r="G953" s="22">
        <v>5</v>
      </c>
      <c r="H953" s="22" t="s">
        <v>2848</v>
      </c>
    </row>
    <row r="954" spans="1:8" x14ac:dyDescent="0.35">
      <c r="A954" s="22" t="s">
        <v>851</v>
      </c>
      <c r="B954" s="22" t="str">
        <f>"01719"</f>
        <v>01719</v>
      </c>
      <c r="C954" s="22" t="str">
        <f t="shared" si="14"/>
        <v>'1719.HK'</v>
      </c>
      <c r="D954" s="22" t="s">
        <v>2849</v>
      </c>
      <c r="E954" s="22" t="s">
        <v>1047</v>
      </c>
      <c r="F954" s="22">
        <v>1673314688.3299999</v>
      </c>
      <c r="G954" s="22">
        <v>3</v>
      </c>
      <c r="H954" s="22" t="s">
        <v>2850</v>
      </c>
    </row>
    <row r="955" spans="1:8" x14ac:dyDescent="0.35">
      <c r="A955" s="22" t="s">
        <v>851</v>
      </c>
      <c r="B955" s="22" t="str">
        <f>"00266"</f>
        <v>00266</v>
      </c>
      <c r="C955" s="22" t="str">
        <f t="shared" si="14"/>
        <v>'0266.HK'</v>
      </c>
      <c r="D955" s="22" t="s">
        <v>2851</v>
      </c>
      <c r="E955" s="22" t="s">
        <v>1028</v>
      </c>
      <c r="F955" s="22">
        <v>1666308702.24</v>
      </c>
      <c r="G955" s="22">
        <v>14</v>
      </c>
      <c r="H955" s="22" t="s">
        <v>2852</v>
      </c>
    </row>
    <row r="956" spans="1:8" x14ac:dyDescent="0.35">
      <c r="A956" s="22" t="s">
        <v>851</v>
      </c>
      <c r="B956" s="22" t="str">
        <f>"02198"</f>
        <v>02198</v>
      </c>
      <c r="C956" s="22" t="str">
        <f t="shared" si="14"/>
        <v>'2198.HK'</v>
      </c>
      <c r="D956" s="22" t="s">
        <v>2853</v>
      </c>
      <c r="E956" s="22" t="s">
        <v>1600</v>
      </c>
      <c r="F956" s="22">
        <v>1666000000</v>
      </c>
      <c r="G956" s="22">
        <v>49</v>
      </c>
      <c r="H956" s="22" t="s">
        <v>2854</v>
      </c>
    </row>
    <row r="957" spans="1:8" x14ac:dyDescent="0.35">
      <c r="A957" s="22" t="s">
        <v>851</v>
      </c>
      <c r="B957" s="22" t="str">
        <f>"03903"</f>
        <v>03903</v>
      </c>
      <c r="C957" s="22" t="str">
        <f t="shared" si="14"/>
        <v>'3903.HK'</v>
      </c>
      <c r="D957" s="22" t="s">
        <v>2855</v>
      </c>
      <c r="E957" s="22" t="s">
        <v>1498</v>
      </c>
      <c r="F957" s="22">
        <v>1656000000</v>
      </c>
      <c r="G957" s="22">
        <v>14</v>
      </c>
      <c r="H957" s="22" t="s">
        <v>2856</v>
      </c>
    </row>
    <row r="958" spans="1:8" x14ac:dyDescent="0.35">
      <c r="A958" s="22" t="s">
        <v>851</v>
      </c>
      <c r="B958" s="22" t="str">
        <f>"01875"</f>
        <v>01875</v>
      </c>
      <c r="C958" s="22" t="str">
        <f t="shared" si="14"/>
        <v>'1875.HK'</v>
      </c>
      <c r="D958" s="22" t="s">
        <v>2857</v>
      </c>
      <c r="E958" s="22" t="s">
        <v>941</v>
      </c>
      <c r="F958" s="22">
        <v>1637591123.5799999</v>
      </c>
      <c r="G958" s="22">
        <v>11</v>
      </c>
      <c r="H958" s="22" t="s">
        <v>2858</v>
      </c>
    </row>
    <row r="959" spans="1:8" x14ac:dyDescent="0.35">
      <c r="A959" s="22" t="s">
        <v>851</v>
      </c>
      <c r="B959" s="22" t="str">
        <f>"00511"</f>
        <v>00511</v>
      </c>
      <c r="C959" s="22" t="str">
        <f t="shared" si="14"/>
        <v>'0511.HK'</v>
      </c>
      <c r="D959" s="22" t="s">
        <v>2859</v>
      </c>
      <c r="E959" s="22" t="s">
        <v>2645</v>
      </c>
      <c r="F959" s="22">
        <v>1633740000</v>
      </c>
      <c r="G959" s="22">
        <v>18</v>
      </c>
      <c r="H959" s="22" t="s">
        <v>2860</v>
      </c>
    </row>
    <row r="960" spans="1:8" x14ac:dyDescent="0.35">
      <c r="A960" s="22" t="s">
        <v>851</v>
      </c>
      <c r="B960" s="22" t="str">
        <f>"01713"</f>
        <v>01713</v>
      </c>
      <c r="C960" s="22" t="str">
        <f t="shared" si="14"/>
        <v>'1713.HK'</v>
      </c>
      <c r="D960" s="22" t="s">
        <v>2861</v>
      </c>
      <c r="E960" s="22" t="s">
        <v>1022</v>
      </c>
      <c r="F960" s="22">
        <v>1633023704</v>
      </c>
      <c r="G960" s="22">
        <v>11</v>
      </c>
      <c r="H960" s="22" t="s">
        <v>2862</v>
      </c>
    </row>
    <row r="961" spans="1:8" x14ac:dyDescent="0.35">
      <c r="A961" s="22" t="s">
        <v>851</v>
      </c>
      <c r="B961" s="22" t="str">
        <f>"01588"</f>
        <v>01588</v>
      </c>
      <c r="C961" s="22" t="str">
        <f t="shared" si="14"/>
        <v>'1588.HK'</v>
      </c>
      <c r="D961" s="22" t="s">
        <v>2863</v>
      </c>
      <c r="E961" s="22" t="s">
        <v>910</v>
      </c>
      <c r="F961" s="22">
        <v>1632120219.99</v>
      </c>
      <c r="G961" s="22">
        <v>15</v>
      </c>
      <c r="H961" s="22" t="s">
        <v>2864</v>
      </c>
    </row>
    <row r="962" spans="1:8" x14ac:dyDescent="0.35">
      <c r="A962" s="22" t="s">
        <v>851</v>
      </c>
      <c r="B962" s="22" t="str">
        <f>"01795"</f>
        <v>01795</v>
      </c>
      <c r="C962" s="22" t="str">
        <f t="shared" si="14"/>
        <v>'1795.HK'</v>
      </c>
      <c r="D962" s="22" t="s">
        <v>2865</v>
      </c>
      <c r="E962" s="22" t="s">
        <v>1914</v>
      </c>
      <c r="F962" s="22">
        <v>1632000000</v>
      </c>
      <c r="G962" s="22">
        <v>2</v>
      </c>
      <c r="H962" s="22" t="s">
        <v>2866</v>
      </c>
    </row>
    <row r="963" spans="1:8" x14ac:dyDescent="0.35">
      <c r="A963" s="22" t="s">
        <v>851</v>
      </c>
      <c r="B963" s="22" t="str">
        <f>"06622"</f>
        <v>06622</v>
      </c>
      <c r="C963" s="22" t="str">
        <f t="shared" ref="C963:C1026" si="15">CONCATENATE("'",RIGHT(B963,4),".HK'")</f>
        <v>'6622.HK'</v>
      </c>
      <c r="D963" s="22" t="s">
        <v>2867</v>
      </c>
      <c r="E963" s="22" t="s">
        <v>969</v>
      </c>
      <c r="F963" s="22">
        <v>1631531976</v>
      </c>
      <c r="G963" s="22">
        <v>14</v>
      </c>
      <c r="H963" s="22" t="s">
        <v>2868</v>
      </c>
    </row>
    <row r="964" spans="1:8" x14ac:dyDescent="0.35">
      <c r="A964" s="22" t="s">
        <v>851</v>
      </c>
      <c r="B964" s="22" t="str">
        <f>"00882"</f>
        <v>00882</v>
      </c>
      <c r="C964" s="22" t="str">
        <f t="shared" si="15"/>
        <v>'0882.HK'</v>
      </c>
      <c r="D964" s="22" t="s">
        <v>2869</v>
      </c>
      <c r="E964" s="22" t="s">
        <v>958</v>
      </c>
      <c r="F964" s="22">
        <v>1630610590</v>
      </c>
      <c r="G964" s="22">
        <v>30</v>
      </c>
      <c r="H964" s="22" t="s">
        <v>2870</v>
      </c>
    </row>
    <row r="965" spans="1:8" x14ac:dyDescent="0.35">
      <c r="A965" s="22" t="s">
        <v>851</v>
      </c>
      <c r="B965" s="22" t="str">
        <f>"00875"</f>
        <v>00875</v>
      </c>
      <c r="C965" s="22" t="str">
        <f t="shared" si="15"/>
        <v>'0875.HK'</v>
      </c>
      <c r="D965" s="22" t="s">
        <v>2871</v>
      </c>
      <c r="E965" s="22" t="s">
        <v>1329</v>
      </c>
      <c r="F965" s="22">
        <v>1627012693.02</v>
      </c>
      <c r="G965" s="22">
        <v>1</v>
      </c>
      <c r="H965" s="22" t="s">
        <v>2872</v>
      </c>
    </row>
    <row r="966" spans="1:8" x14ac:dyDescent="0.35">
      <c r="A966" s="22" t="s">
        <v>851</v>
      </c>
      <c r="B966" s="22" t="str">
        <f>"01702"</f>
        <v>01702</v>
      </c>
      <c r="C966" s="22" t="str">
        <f t="shared" si="15"/>
        <v>'1702.HK'</v>
      </c>
      <c r="D966" s="22" t="s">
        <v>2873</v>
      </c>
      <c r="E966" s="22" t="s">
        <v>1903</v>
      </c>
      <c r="F966" s="22">
        <v>1626873280</v>
      </c>
      <c r="G966" s="22">
        <v>9</v>
      </c>
      <c r="H966" s="22" t="s">
        <v>2874</v>
      </c>
    </row>
    <row r="967" spans="1:8" x14ac:dyDescent="0.35">
      <c r="A967" s="22" t="s">
        <v>851</v>
      </c>
      <c r="B967" s="22" t="str">
        <f>"01977"</f>
        <v>01977</v>
      </c>
      <c r="C967" s="22" t="str">
        <f t="shared" si="15"/>
        <v>'1977.HK'</v>
      </c>
      <c r="D967" s="22" t="s">
        <v>2875</v>
      </c>
      <c r="E967" s="22" t="s">
        <v>1634</v>
      </c>
      <c r="F967" s="22">
        <v>1624000000</v>
      </c>
      <c r="G967" s="22">
        <v>4</v>
      </c>
      <c r="H967" s="22" t="s">
        <v>2876</v>
      </c>
    </row>
    <row r="968" spans="1:8" x14ac:dyDescent="0.35">
      <c r="A968" s="22" t="s">
        <v>851</v>
      </c>
      <c r="B968" s="22" t="str">
        <f>"03939"</f>
        <v>03939</v>
      </c>
      <c r="C968" s="22" t="str">
        <f t="shared" si="15"/>
        <v>'3939.HK'</v>
      </c>
      <c r="D968" s="22" t="s">
        <v>2877</v>
      </c>
      <c r="E968" s="22" t="s">
        <v>1316</v>
      </c>
      <c r="F968" s="22">
        <v>1622880000</v>
      </c>
      <c r="G968" s="22">
        <v>2</v>
      </c>
      <c r="H968" s="22" t="s">
        <v>2878</v>
      </c>
    </row>
    <row r="969" spans="1:8" x14ac:dyDescent="0.35">
      <c r="A969" s="22" t="s">
        <v>851</v>
      </c>
      <c r="B969" s="22" t="str">
        <f>"01525"</f>
        <v>01525</v>
      </c>
      <c r="C969" s="22" t="str">
        <f t="shared" si="15"/>
        <v>'1525.HK'</v>
      </c>
      <c r="D969" s="22" t="s">
        <v>2879</v>
      </c>
      <c r="E969" s="22" t="s">
        <v>1270</v>
      </c>
      <c r="F969" s="22">
        <v>1610200000</v>
      </c>
      <c r="G969" s="22">
        <v>21</v>
      </c>
      <c r="H969" s="22" t="s">
        <v>2880</v>
      </c>
    </row>
    <row r="970" spans="1:8" x14ac:dyDescent="0.35">
      <c r="A970" s="22" t="s">
        <v>851</v>
      </c>
      <c r="B970" s="22" t="str">
        <f>"00982"</f>
        <v>00982</v>
      </c>
      <c r="C970" s="22" t="str">
        <f t="shared" si="15"/>
        <v>'0982.HK'</v>
      </c>
      <c r="D970" s="22" t="s">
        <v>2881</v>
      </c>
      <c r="E970" s="22" t="s">
        <v>1104</v>
      </c>
      <c r="F970" s="22">
        <v>1609747200</v>
      </c>
      <c r="G970" s="22">
        <v>17</v>
      </c>
      <c r="H970" s="22" t="s">
        <v>2882</v>
      </c>
    </row>
    <row r="971" spans="1:8" x14ac:dyDescent="0.35">
      <c r="A971" s="22" t="s">
        <v>851</v>
      </c>
      <c r="B971" s="22" t="str">
        <f>"00335"</f>
        <v>00335</v>
      </c>
      <c r="C971" s="22" t="str">
        <f t="shared" si="15"/>
        <v>'0335.HK'</v>
      </c>
      <c r="D971" s="22" t="s">
        <v>2883</v>
      </c>
      <c r="E971" s="22" t="s">
        <v>1498</v>
      </c>
      <c r="F971" s="22">
        <v>1609390054.8</v>
      </c>
      <c r="G971" s="22">
        <v>3</v>
      </c>
      <c r="H971" s="22" t="s">
        <v>2884</v>
      </c>
    </row>
    <row r="972" spans="1:8" x14ac:dyDescent="0.35">
      <c r="A972" s="22" t="s">
        <v>851</v>
      </c>
      <c r="B972" s="22" t="str">
        <f>"00603"</f>
        <v>00603</v>
      </c>
      <c r="C972" s="22" t="str">
        <f t="shared" si="15"/>
        <v>'0603.HK'</v>
      </c>
      <c r="D972" s="22" t="s">
        <v>2885</v>
      </c>
      <c r="E972" s="22" t="s">
        <v>1031</v>
      </c>
      <c r="F972" s="22">
        <v>1606489092.6900001</v>
      </c>
      <c r="G972" s="22">
        <v>13</v>
      </c>
      <c r="H972" s="22" t="s">
        <v>2886</v>
      </c>
    </row>
    <row r="973" spans="1:8" x14ac:dyDescent="0.35">
      <c r="A973" s="22" t="s">
        <v>851</v>
      </c>
      <c r="B973" s="22" t="str">
        <f>"00113"</f>
        <v>00113</v>
      </c>
      <c r="C973" s="22" t="str">
        <f t="shared" si="15"/>
        <v>'0113.HK'</v>
      </c>
      <c r="D973" s="22" t="s">
        <v>2887</v>
      </c>
      <c r="E973" s="22" t="s">
        <v>1065</v>
      </c>
      <c r="F973" s="22">
        <v>1596521372.4000001</v>
      </c>
      <c r="G973" s="22">
        <v>20</v>
      </c>
      <c r="H973" s="22" t="s">
        <v>2888</v>
      </c>
    </row>
    <row r="974" spans="1:8" x14ac:dyDescent="0.35">
      <c r="A974" s="22" t="s">
        <v>851</v>
      </c>
      <c r="B974" s="22" t="str">
        <f>"03336"</f>
        <v>03336</v>
      </c>
      <c r="C974" s="22" t="str">
        <f t="shared" si="15"/>
        <v>'3336.HK'</v>
      </c>
      <c r="D974" s="22" t="s">
        <v>2889</v>
      </c>
      <c r="E974" s="22" t="s">
        <v>1152</v>
      </c>
      <c r="F974" s="22">
        <v>1596011231.8499999</v>
      </c>
      <c r="G974" s="22">
        <v>24</v>
      </c>
      <c r="H974" s="22" t="s">
        <v>2890</v>
      </c>
    </row>
    <row r="975" spans="1:8" x14ac:dyDescent="0.35">
      <c r="A975" s="22" t="s">
        <v>851</v>
      </c>
      <c r="B975" s="22" t="str">
        <f>"06885"</f>
        <v>06885</v>
      </c>
      <c r="C975" s="22" t="str">
        <f t="shared" si="15"/>
        <v>'6885.HK'</v>
      </c>
      <c r="D975" s="22" t="s">
        <v>2891</v>
      </c>
      <c r="E975" s="22" t="s">
        <v>904</v>
      </c>
      <c r="F975" s="22">
        <v>1595554580</v>
      </c>
      <c r="G975" s="22">
        <v>27</v>
      </c>
      <c r="H975" s="22" t="s">
        <v>2892</v>
      </c>
    </row>
    <row r="976" spans="1:8" x14ac:dyDescent="0.35">
      <c r="A976" s="22" t="s">
        <v>851</v>
      </c>
      <c r="B976" s="22" t="str">
        <f>"00752"</f>
        <v>00752</v>
      </c>
      <c r="C976" s="22" t="str">
        <f t="shared" si="15"/>
        <v>'0752.HK'</v>
      </c>
      <c r="D976" s="22" t="s">
        <v>2893</v>
      </c>
      <c r="E976" s="22" t="s">
        <v>1627</v>
      </c>
      <c r="F976" s="22">
        <v>1584970373.1199999</v>
      </c>
      <c r="G976" s="22">
        <v>21</v>
      </c>
      <c r="H976" s="22" t="s">
        <v>2894</v>
      </c>
    </row>
    <row r="977" spans="1:8" x14ac:dyDescent="0.35">
      <c r="A977" s="22" t="s">
        <v>851</v>
      </c>
      <c r="B977" s="22" t="str">
        <f>"00488"</f>
        <v>00488</v>
      </c>
      <c r="C977" s="22" t="str">
        <f t="shared" si="15"/>
        <v>'0488.HK'</v>
      </c>
      <c r="D977" s="22" t="s">
        <v>2895</v>
      </c>
      <c r="E977" s="22" t="s">
        <v>958</v>
      </c>
      <c r="F977" s="22">
        <v>1579283995.8099999</v>
      </c>
      <c r="G977" s="22">
        <v>18</v>
      </c>
      <c r="H977" s="22" t="s">
        <v>2896</v>
      </c>
    </row>
    <row r="978" spans="1:8" x14ac:dyDescent="0.35">
      <c r="A978" s="22" t="s">
        <v>851</v>
      </c>
      <c r="B978" s="22" t="str">
        <f>"00451"</f>
        <v>00451</v>
      </c>
      <c r="C978" s="22" t="str">
        <f t="shared" si="15"/>
        <v>'0451.HK'</v>
      </c>
      <c r="D978" s="22" t="s">
        <v>2897</v>
      </c>
      <c r="E978" s="22" t="s">
        <v>1127</v>
      </c>
      <c r="F978" s="22">
        <v>1564363934.48</v>
      </c>
      <c r="G978" s="22">
        <v>38</v>
      </c>
      <c r="H978" s="22" t="s">
        <v>2898</v>
      </c>
    </row>
    <row r="979" spans="1:8" x14ac:dyDescent="0.35">
      <c r="A979" s="22" t="s">
        <v>851</v>
      </c>
      <c r="B979" s="22" t="str">
        <f>"06090"</f>
        <v>06090</v>
      </c>
      <c r="C979" s="22" t="str">
        <f t="shared" si="15"/>
        <v>'6090.HK'</v>
      </c>
      <c r="D979" s="22" t="s">
        <v>2899</v>
      </c>
      <c r="E979" s="22" t="s">
        <v>1028</v>
      </c>
      <c r="F979" s="22">
        <v>1563848240.6400001</v>
      </c>
      <c r="G979" s="22">
        <v>5</v>
      </c>
      <c r="H979" s="22" t="s">
        <v>2900</v>
      </c>
    </row>
    <row r="980" spans="1:8" x14ac:dyDescent="0.35">
      <c r="A980" s="22" t="s">
        <v>851</v>
      </c>
      <c r="B980" s="22" t="str">
        <f>"02878"</f>
        <v>02878</v>
      </c>
      <c r="C980" s="22" t="str">
        <f t="shared" si="15"/>
        <v>'2878.HK'</v>
      </c>
      <c r="D980" s="22" t="s">
        <v>2901</v>
      </c>
      <c r="E980" s="22" t="s">
        <v>1040</v>
      </c>
      <c r="F980" s="22">
        <v>1546498457.6199999</v>
      </c>
      <c r="G980" s="22">
        <v>12</v>
      </c>
      <c r="H980" s="22" t="s">
        <v>2902</v>
      </c>
    </row>
    <row r="981" spans="1:8" x14ac:dyDescent="0.35">
      <c r="A981" s="22" t="s">
        <v>851</v>
      </c>
      <c r="B981" s="22" t="str">
        <f>"06878"</f>
        <v>06878</v>
      </c>
      <c r="C981" s="22" t="str">
        <f t="shared" si="15"/>
        <v>'6878.HK'</v>
      </c>
      <c r="D981" s="22" t="s">
        <v>2903</v>
      </c>
      <c r="E981" s="22" t="s">
        <v>924</v>
      </c>
      <c r="F981" s="22">
        <v>1542595006.3199999</v>
      </c>
      <c r="G981" s="22">
        <v>10</v>
      </c>
      <c r="H981" s="22" t="s">
        <v>2904</v>
      </c>
    </row>
    <row r="982" spans="1:8" x14ac:dyDescent="0.35">
      <c r="A982" s="22" t="s">
        <v>851</v>
      </c>
      <c r="B982" s="22" t="str">
        <f>"01727"</f>
        <v>01727</v>
      </c>
      <c r="C982" s="22" t="str">
        <f t="shared" si="15"/>
        <v>'1727.HK'</v>
      </c>
      <c r="D982" s="22" t="s">
        <v>2905</v>
      </c>
      <c r="E982" s="22" t="s">
        <v>1634</v>
      </c>
      <c r="F982" s="22">
        <v>1532403645</v>
      </c>
      <c r="G982" s="22">
        <v>9</v>
      </c>
      <c r="H982" s="22" t="s">
        <v>2906</v>
      </c>
    </row>
    <row r="983" spans="1:8" x14ac:dyDescent="0.35">
      <c r="A983" s="22" t="s">
        <v>851</v>
      </c>
      <c r="B983" s="22" t="str">
        <f>"03788"</f>
        <v>03788</v>
      </c>
      <c r="C983" s="22" t="str">
        <f t="shared" si="15"/>
        <v>'3788.HK'</v>
      </c>
      <c r="D983" s="22" t="s">
        <v>2907</v>
      </c>
      <c r="E983" s="22" t="s">
        <v>1579</v>
      </c>
      <c r="F983" s="22">
        <v>1528800000</v>
      </c>
      <c r="G983" s="22">
        <v>15</v>
      </c>
      <c r="H983" s="22" t="s">
        <v>2908</v>
      </c>
    </row>
    <row r="984" spans="1:8" x14ac:dyDescent="0.35">
      <c r="A984" s="22" t="s">
        <v>851</v>
      </c>
      <c r="B984" s="22" t="str">
        <f>"03300"</f>
        <v>03300</v>
      </c>
      <c r="C984" s="22" t="str">
        <f t="shared" si="15"/>
        <v>'3300.HK'</v>
      </c>
      <c r="D984" s="22" t="s">
        <v>2909</v>
      </c>
      <c r="E984" s="22" t="s">
        <v>1224</v>
      </c>
      <c r="F984" s="22">
        <v>1524061154.1400001</v>
      </c>
      <c r="G984" s="22">
        <v>14</v>
      </c>
      <c r="H984" s="22" t="s">
        <v>2910</v>
      </c>
    </row>
    <row r="985" spans="1:8" x14ac:dyDescent="0.35">
      <c r="A985" s="22" t="s">
        <v>851</v>
      </c>
      <c r="B985" s="22" t="str">
        <f>"01104"</f>
        <v>01104</v>
      </c>
      <c r="C985" s="22" t="str">
        <f t="shared" si="15"/>
        <v>'1104.HK'</v>
      </c>
      <c r="D985" s="22" t="s">
        <v>2911</v>
      </c>
      <c r="E985" s="22" t="s">
        <v>1579</v>
      </c>
      <c r="F985" s="22">
        <v>1523908059.5699999</v>
      </c>
      <c r="G985" s="22">
        <v>6</v>
      </c>
      <c r="H985" s="22" t="s">
        <v>2912</v>
      </c>
    </row>
    <row r="986" spans="1:8" x14ac:dyDescent="0.35">
      <c r="A986" s="22" t="s">
        <v>851</v>
      </c>
      <c r="B986" s="22" t="str">
        <f>"02237"</f>
        <v>02237</v>
      </c>
      <c r="C986" s="22" t="str">
        <f t="shared" si="15"/>
        <v>'2237.HK'</v>
      </c>
      <c r="D986" s="22" t="s">
        <v>2913</v>
      </c>
      <c r="E986" s="22" t="s">
        <v>1060</v>
      </c>
      <c r="F986" s="22">
        <v>1504000000</v>
      </c>
      <c r="G986" s="22">
        <v>3</v>
      </c>
      <c r="H986" s="22" t="s">
        <v>2914</v>
      </c>
    </row>
    <row r="987" spans="1:8" x14ac:dyDescent="0.35">
      <c r="A987" s="22" t="s">
        <v>851</v>
      </c>
      <c r="B987" s="22" t="str">
        <f>"03329"</f>
        <v>03329</v>
      </c>
      <c r="C987" s="22" t="str">
        <f t="shared" si="15"/>
        <v>'3329.HK'</v>
      </c>
      <c r="D987" s="22" t="s">
        <v>2915</v>
      </c>
      <c r="E987" s="22" t="s">
        <v>1498</v>
      </c>
      <c r="F987" s="22">
        <v>1503915600</v>
      </c>
      <c r="G987" s="22">
        <v>31</v>
      </c>
      <c r="H987" s="22" t="s">
        <v>2916</v>
      </c>
    </row>
    <row r="988" spans="1:8" x14ac:dyDescent="0.35">
      <c r="A988" s="22" t="s">
        <v>851</v>
      </c>
      <c r="B988" s="22" t="str">
        <f>"00169"</f>
        <v>00169</v>
      </c>
      <c r="C988" s="22" t="str">
        <f t="shared" si="15"/>
        <v>'0169.HK'</v>
      </c>
      <c r="D988" s="22" t="s">
        <v>2917</v>
      </c>
      <c r="E988" s="22" t="s">
        <v>1070</v>
      </c>
      <c r="F988" s="22">
        <v>1503150876.1600001</v>
      </c>
      <c r="G988" s="22">
        <v>17</v>
      </c>
      <c r="H988" s="22" t="s">
        <v>2918</v>
      </c>
    </row>
    <row r="989" spans="1:8" x14ac:dyDescent="0.35">
      <c r="A989" s="22" t="s">
        <v>851</v>
      </c>
      <c r="B989" s="22" t="str">
        <f>"06609"</f>
        <v>06609</v>
      </c>
      <c r="C989" s="22" t="str">
        <f t="shared" si="15"/>
        <v>'6609.HK'</v>
      </c>
      <c r="D989" s="22" t="s">
        <v>2919</v>
      </c>
      <c r="E989" s="22" t="s">
        <v>1232</v>
      </c>
      <c r="F989" s="22">
        <v>1493182987.5999999</v>
      </c>
      <c r="G989" s="22">
        <v>11</v>
      </c>
      <c r="H989" s="22" t="s">
        <v>2920</v>
      </c>
    </row>
    <row r="990" spans="1:8" x14ac:dyDescent="0.35">
      <c r="A990" s="22" t="s">
        <v>851</v>
      </c>
      <c r="B990" s="22" t="str">
        <f>"00064"</f>
        <v>00064</v>
      </c>
      <c r="C990" s="22" t="str">
        <f t="shared" si="15"/>
        <v>'0064.HK'</v>
      </c>
      <c r="D990" s="22" t="s">
        <v>2921</v>
      </c>
      <c r="E990" s="22" t="s">
        <v>1130</v>
      </c>
      <c r="F990" s="22">
        <v>1478394008.5139999</v>
      </c>
      <c r="G990" s="22">
        <v>10</v>
      </c>
      <c r="H990" s="22" t="s">
        <v>2922</v>
      </c>
    </row>
    <row r="991" spans="1:8" x14ac:dyDescent="0.35">
      <c r="A991" s="22" t="s">
        <v>851</v>
      </c>
      <c r="B991" s="22" t="str">
        <f>"00326"</f>
        <v>00326</v>
      </c>
      <c r="C991" s="22" t="str">
        <f t="shared" si="15"/>
        <v>'0326.HK'</v>
      </c>
      <c r="D991" s="22" t="s">
        <v>2923</v>
      </c>
      <c r="E991" s="22" t="s">
        <v>1185</v>
      </c>
      <c r="F991" s="22">
        <v>1476510287.4000001</v>
      </c>
      <c r="G991" s="22">
        <v>4</v>
      </c>
      <c r="H991" s="22" t="s">
        <v>2924</v>
      </c>
    </row>
    <row r="992" spans="1:8" x14ac:dyDescent="0.35">
      <c r="A992" s="22" t="s">
        <v>851</v>
      </c>
      <c r="B992" s="22" t="str">
        <f>"00159"</f>
        <v>00159</v>
      </c>
      <c r="C992" s="22" t="str">
        <f t="shared" si="15"/>
        <v>'0159.HK'</v>
      </c>
      <c r="D992" s="22" t="s">
        <v>2925</v>
      </c>
      <c r="E992" s="22" t="s">
        <v>1579</v>
      </c>
      <c r="F992" s="22">
        <v>1475556908.829</v>
      </c>
      <c r="G992" s="22">
        <v>4</v>
      </c>
      <c r="H992" s="22" t="s">
        <v>2926</v>
      </c>
    </row>
    <row r="993" spans="1:8" x14ac:dyDescent="0.35">
      <c r="A993" s="22" t="s">
        <v>851</v>
      </c>
      <c r="B993" s="22" t="str">
        <f>"02251"</f>
        <v>02251</v>
      </c>
      <c r="C993" s="22" t="str">
        <f t="shared" si="15"/>
        <v>'2251.HK'</v>
      </c>
      <c r="D993" s="22" t="s">
        <v>2927</v>
      </c>
      <c r="E993" s="22" t="s">
        <v>1232</v>
      </c>
      <c r="F993" s="22">
        <v>1472737144.8599999</v>
      </c>
      <c r="G993" s="22">
        <v>5</v>
      </c>
      <c r="H993" s="22" t="s">
        <v>2928</v>
      </c>
    </row>
    <row r="994" spans="1:8" x14ac:dyDescent="0.35">
      <c r="A994" s="22" t="s">
        <v>851</v>
      </c>
      <c r="B994" s="22" t="str">
        <f>"09936"</f>
        <v>09936</v>
      </c>
      <c r="C994" s="22" t="str">
        <f t="shared" si="15"/>
        <v>'9936.HK'</v>
      </c>
      <c r="D994" s="22" t="s">
        <v>2929</v>
      </c>
      <c r="E994" s="22" t="s">
        <v>1600</v>
      </c>
      <c r="F994" s="22">
        <v>1465200000</v>
      </c>
      <c r="G994" s="22">
        <v>5</v>
      </c>
      <c r="H994" s="22" t="s">
        <v>2930</v>
      </c>
    </row>
    <row r="995" spans="1:8" x14ac:dyDescent="0.35">
      <c r="A995" s="22" t="s">
        <v>851</v>
      </c>
      <c r="B995" s="22" t="str">
        <f>"09906"</f>
        <v>09906</v>
      </c>
      <c r="C995" s="22" t="str">
        <f t="shared" si="15"/>
        <v>'9906.HK'</v>
      </c>
      <c r="D995" s="22" t="s">
        <v>2931</v>
      </c>
      <c r="E995" s="22" t="s">
        <v>1362</v>
      </c>
      <c r="F995" s="22">
        <v>1464000000</v>
      </c>
      <c r="G995" s="22">
        <v>4</v>
      </c>
      <c r="H995" s="22" t="s">
        <v>2932</v>
      </c>
    </row>
    <row r="996" spans="1:8" x14ac:dyDescent="0.35">
      <c r="A996" s="22" t="s">
        <v>851</v>
      </c>
      <c r="B996" s="22" t="str">
        <f>"00147"</f>
        <v>00147</v>
      </c>
      <c r="C996" s="22" t="str">
        <f t="shared" si="15"/>
        <v>'0147.HK'</v>
      </c>
      <c r="D996" s="22" t="s">
        <v>2933</v>
      </c>
      <c r="E996" s="22" t="s">
        <v>924</v>
      </c>
      <c r="F996" s="22">
        <v>1462973207.04</v>
      </c>
      <c r="G996" s="22">
        <v>5</v>
      </c>
      <c r="H996" s="22" t="s">
        <v>2934</v>
      </c>
    </row>
    <row r="997" spans="1:8" x14ac:dyDescent="0.35">
      <c r="A997" s="22" t="s">
        <v>851</v>
      </c>
      <c r="B997" s="22" t="str">
        <f>"00547"</f>
        <v>00547</v>
      </c>
      <c r="C997" s="22" t="str">
        <f t="shared" si="15"/>
        <v>'0547.HK'</v>
      </c>
      <c r="D997" s="22" t="s">
        <v>2935</v>
      </c>
      <c r="E997" s="22" t="s">
        <v>1185</v>
      </c>
      <c r="F997" s="22">
        <v>1450224254.375</v>
      </c>
      <c r="G997" s="22">
        <v>12</v>
      </c>
      <c r="H997" s="22" t="s">
        <v>2936</v>
      </c>
    </row>
    <row r="998" spans="1:8" x14ac:dyDescent="0.35">
      <c r="A998" s="22" t="s">
        <v>851</v>
      </c>
      <c r="B998" s="22" t="str">
        <f>"02153"</f>
        <v>02153</v>
      </c>
      <c r="C998" s="22" t="str">
        <f t="shared" si="15"/>
        <v>'2153.HK'</v>
      </c>
      <c r="D998" s="22" t="s">
        <v>2937</v>
      </c>
      <c r="E998" s="22" t="s">
        <v>1395</v>
      </c>
      <c r="F998" s="22">
        <v>1446920350</v>
      </c>
      <c r="G998" s="22">
        <v>2</v>
      </c>
      <c r="H998" s="22" t="s">
        <v>2938</v>
      </c>
    </row>
    <row r="999" spans="1:8" x14ac:dyDescent="0.35">
      <c r="A999" s="22" t="s">
        <v>851</v>
      </c>
      <c r="B999" s="22" t="str">
        <f>"03768"</f>
        <v>03768</v>
      </c>
      <c r="C999" s="22" t="str">
        <f t="shared" si="15"/>
        <v>'3768.HK'</v>
      </c>
      <c r="D999" s="22" t="s">
        <v>2939</v>
      </c>
      <c r="E999" s="22" t="s">
        <v>1255</v>
      </c>
      <c r="F999" s="22">
        <v>1440755400</v>
      </c>
      <c r="G999" s="22">
        <v>31</v>
      </c>
      <c r="H999" s="22" t="s">
        <v>2940</v>
      </c>
    </row>
    <row r="1000" spans="1:8" x14ac:dyDescent="0.35">
      <c r="A1000" s="22" t="s">
        <v>851</v>
      </c>
      <c r="B1000" s="22" t="str">
        <f>"02185"</f>
        <v>02185</v>
      </c>
      <c r="C1000" s="22" t="str">
        <f t="shared" si="15"/>
        <v>'2185.HK'</v>
      </c>
      <c r="D1000" s="22" t="s">
        <v>2941</v>
      </c>
      <c r="E1000" s="22" t="s">
        <v>1232</v>
      </c>
      <c r="F1000" s="22">
        <v>1434349560</v>
      </c>
      <c r="G1000" s="22">
        <v>4</v>
      </c>
      <c r="H1000" s="22" t="s">
        <v>2942</v>
      </c>
    </row>
    <row r="1001" spans="1:8" x14ac:dyDescent="0.35">
      <c r="A1001" s="22" t="s">
        <v>851</v>
      </c>
      <c r="B1001" s="22" t="str">
        <f>"00825"</f>
        <v>00825</v>
      </c>
      <c r="C1001" s="22" t="str">
        <f t="shared" si="15"/>
        <v>'0825.HK'</v>
      </c>
      <c r="D1001" s="22" t="s">
        <v>2943</v>
      </c>
      <c r="E1001" s="22" t="s">
        <v>1485</v>
      </c>
      <c r="F1001" s="22">
        <v>1433223250</v>
      </c>
      <c r="G1001" s="22">
        <v>15</v>
      </c>
      <c r="H1001" s="22" t="s">
        <v>2944</v>
      </c>
    </row>
    <row r="1002" spans="1:8" x14ac:dyDescent="0.35">
      <c r="A1002" s="22" t="s">
        <v>851</v>
      </c>
      <c r="B1002" s="22" t="str">
        <f>"09600"</f>
        <v>09600</v>
      </c>
      <c r="C1002" s="22" t="str">
        <f t="shared" si="15"/>
        <v>'9600.HK'</v>
      </c>
      <c r="D1002" s="22" t="s">
        <v>2945</v>
      </c>
      <c r="E1002" s="22" t="s">
        <v>910</v>
      </c>
      <c r="F1002" s="22">
        <v>1431456208</v>
      </c>
      <c r="G1002" s="22">
        <v>6</v>
      </c>
      <c r="H1002" s="22" t="s">
        <v>2946</v>
      </c>
    </row>
    <row r="1003" spans="1:8" x14ac:dyDescent="0.35">
      <c r="A1003" s="22" t="s">
        <v>851</v>
      </c>
      <c r="B1003" s="22" t="str">
        <f>"09986"</f>
        <v>09986</v>
      </c>
      <c r="C1003" s="22" t="str">
        <f t="shared" si="15"/>
        <v>'9986.HK'</v>
      </c>
      <c r="D1003" s="22" t="s">
        <v>2947</v>
      </c>
      <c r="E1003" s="22" t="s">
        <v>1270</v>
      </c>
      <c r="F1003" s="22">
        <v>1424000000</v>
      </c>
      <c r="G1003" s="22">
        <v>5</v>
      </c>
      <c r="H1003" s="22" t="s">
        <v>2948</v>
      </c>
    </row>
    <row r="1004" spans="1:8" x14ac:dyDescent="0.35">
      <c r="A1004" s="22" t="s">
        <v>851</v>
      </c>
      <c r="B1004" s="22" t="str">
        <f>"01979"</f>
        <v>01979</v>
      </c>
      <c r="C1004" s="22" t="str">
        <f t="shared" si="15"/>
        <v>'1979.HK'</v>
      </c>
      <c r="D1004" s="22" t="s">
        <v>2949</v>
      </c>
      <c r="E1004" s="22" t="s">
        <v>1075</v>
      </c>
      <c r="F1004" s="22">
        <v>1421936771.7</v>
      </c>
      <c r="G1004" s="22">
        <v>11</v>
      </c>
      <c r="H1004" s="22" t="s">
        <v>2950</v>
      </c>
    </row>
    <row r="1005" spans="1:8" x14ac:dyDescent="0.35">
      <c r="A1005" s="22" t="s">
        <v>851</v>
      </c>
      <c r="B1005" s="22" t="str">
        <f>"06896"</f>
        <v>06896</v>
      </c>
      <c r="C1005" s="22" t="str">
        <f t="shared" si="15"/>
        <v>'6896.HK'</v>
      </c>
      <c r="D1005" s="22" t="s">
        <v>2951</v>
      </c>
      <c r="E1005" s="22" t="s">
        <v>969</v>
      </c>
      <c r="F1005" s="22">
        <v>1412066820</v>
      </c>
      <c r="G1005" s="22">
        <v>17</v>
      </c>
      <c r="H1005" s="22" t="s">
        <v>2952</v>
      </c>
    </row>
    <row r="1006" spans="1:8" x14ac:dyDescent="0.35">
      <c r="A1006" s="22" t="s">
        <v>851</v>
      </c>
      <c r="B1006" s="22" t="str">
        <f>"02180"</f>
        <v>02180</v>
      </c>
      <c r="C1006" s="22" t="str">
        <f t="shared" si="15"/>
        <v>'2180.HK'</v>
      </c>
      <c r="D1006" s="22" t="s">
        <v>2953</v>
      </c>
      <c r="E1006" s="22" t="s">
        <v>1671</v>
      </c>
      <c r="F1006" s="22">
        <v>1406883900</v>
      </c>
      <c r="G1006" s="22">
        <v>13</v>
      </c>
      <c r="H1006" s="22" t="s">
        <v>2954</v>
      </c>
    </row>
    <row r="1007" spans="1:8" x14ac:dyDescent="0.35">
      <c r="A1007" s="22" t="s">
        <v>851</v>
      </c>
      <c r="B1007" s="22" t="str">
        <f>"08053"</f>
        <v>08053</v>
      </c>
      <c r="C1007" s="22" t="str">
        <f t="shared" si="15"/>
        <v>'8053.HK'</v>
      </c>
      <c r="D1007" s="22" t="s">
        <v>2955</v>
      </c>
      <c r="E1007" s="22" t="s">
        <v>1634</v>
      </c>
      <c r="F1007" s="22">
        <v>1405696316.54</v>
      </c>
      <c r="G1007" s="22">
        <v>6</v>
      </c>
      <c r="H1007" s="22" t="s">
        <v>2956</v>
      </c>
    </row>
    <row r="1008" spans="1:8" x14ac:dyDescent="0.35">
      <c r="A1008" s="22" t="s">
        <v>851</v>
      </c>
      <c r="B1008" s="22" t="str">
        <f>"00160"</f>
        <v>00160</v>
      </c>
      <c r="C1008" s="22" t="str">
        <f t="shared" si="15"/>
        <v>'0160.HK'</v>
      </c>
      <c r="D1008" s="22" t="s">
        <v>2957</v>
      </c>
      <c r="E1008" s="22" t="s">
        <v>1028</v>
      </c>
      <c r="F1008" s="22">
        <v>1404837136.95</v>
      </c>
      <c r="G1008" s="22">
        <v>14</v>
      </c>
      <c r="H1008" s="22" t="s">
        <v>2958</v>
      </c>
    </row>
    <row r="1009" spans="1:8" x14ac:dyDescent="0.35">
      <c r="A1009" s="22" t="s">
        <v>851</v>
      </c>
      <c r="B1009" s="22" t="str">
        <f>"00672"</f>
        <v>00672</v>
      </c>
      <c r="C1009" s="22" t="str">
        <f t="shared" si="15"/>
        <v>'0672.HK'</v>
      </c>
      <c r="D1009" s="22" t="s">
        <v>2959</v>
      </c>
      <c r="E1009" s="22" t="s">
        <v>924</v>
      </c>
      <c r="F1009" s="22">
        <v>1403316640.2</v>
      </c>
      <c r="G1009" s="22">
        <v>16</v>
      </c>
      <c r="H1009" s="22" t="s">
        <v>2960</v>
      </c>
    </row>
    <row r="1010" spans="1:8" x14ac:dyDescent="0.35">
      <c r="A1010" s="22" t="s">
        <v>851</v>
      </c>
      <c r="B1010" s="22" t="str">
        <f>"03678"</f>
        <v>03678</v>
      </c>
      <c r="C1010" s="22" t="str">
        <f t="shared" si="15"/>
        <v>'3678.HK'</v>
      </c>
      <c r="D1010" s="22" t="s">
        <v>2961</v>
      </c>
      <c r="E1010" s="22" t="s">
        <v>1130</v>
      </c>
      <c r="F1010" s="22">
        <v>1400811111.4200001</v>
      </c>
      <c r="G1010" s="22">
        <v>22</v>
      </c>
      <c r="H1010" s="22" t="s">
        <v>2962</v>
      </c>
    </row>
    <row r="1011" spans="1:8" x14ac:dyDescent="0.35">
      <c r="A1011" s="22" t="s">
        <v>851</v>
      </c>
      <c r="B1011" s="22" t="str">
        <f>"00809"</f>
        <v>00809</v>
      </c>
      <c r="C1011" s="22" t="str">
        <f t="shared" si="15"/>
        <v>'0809.HK'</v>
      </c>
      <c r="D1011" s="22" t="s">
        <v>2963</v>
      </c>
      <c r="E1011" s="22" t="s">
        <v>1903</v>
      </c>
      <c r="F1011" s="22">
        <v>1389555291.852</v>
      </c>
      <c r="G1011" s="22">
        <v>6</v>
      </c>
      <c r="H1011" s="22" t="s">
        <v>2964</v>
      </c>
    </row>
    <row r="1012" spans="1:8" x14ac:dyDescent="0.35">
      <c r="A1012" s="22" t="s">
        <v>851</v>
      </c>
      <c r="B1012" s="22" t="str">
        <f>"01656"</f>
        <v>01656</v>
      </c>
      <c r="C1012" s="22" t="str">
        <f t="shared" si="15"/>
        <v>'1656.HK'</v>
      </c>
      <c r="D1012" s="22" t="s">
        <v>2965</v>
      </c>
      <c r="E1012" s="22" t="s">
        <v>1224</v>
      </c>
      <c r="F1012" s="22">
        <v>1386097764.28</v>
      </c>
      <c r="G1012" s="22">
        <v>5</v>
      </c>
      <c r="H1012" s="22" t="s">
        <v>2966</v>
      </c>
    </row>
    <row r="1013" spans="1:8" x14ac:dyDescent="0.35">
      <c r="A1013" s="22" t="s">
        <v>851</v>
      </c>
      <c r="B1013" s="22" t="str">
        <f>"00131"</f>
        <v>00131</v>
      </c>
      <c r="C1013" s="22" t="str">
        <f t="shared" si="15"/>
        <v>'0131.HK'</v>
      </c>
      <c r="D1013" s="22" t="s">
        <v>2967</v>
      </c>
      <c r="E1013" s="22" t="s">
        <v>924</v>
      </c>
      <c r="F1013" s="22">
        <v>1383674775.72</v>
      </c>
      <c r="G1013" s="22">
        <v>9</v>
      </c>
      <c r="H1013" s="22" t="s">
        <v>2968</v>
      </c>
    </row>
    <row r="1014" spans="1:8" x14ac:dyDescent="0.35">
      <c r="A1014" s="22" t="s">
        <v>851</v>
      </c>
      <c r="B1014" s="22" t="str">
        <f>"06998"</f>
        <v>06998</v>
      </c>
      <c r="C1014" s="22" t="str">
        <f t="shared" si="15"/>
        <v>'6998.HK'</v>
      </c>
      <c r="D1014" s="22" t="s">
        <v>2969</v>
      </c>
      <c r="E1014" s="22" t="s">
        <v>941</v>
      </c>
      <c r="F1014" s="22">
        <v>1379291817.54</v>
      </c>
      <c r="G1014" s="22">
        <v>16</v>
      </c>
      <c r="H1014" s="22" t="s">
        <v>2970</v>
      </c>
    </row>
    <row r="1015" spans="1:8" x14ac:dyDescent="0.35">
      <c r="A1015" s="22" t="s">
        <v>851</v>
      </c>
      <c r="B1015" s="22" t="str">
        <f>"00202"</f>
        <v>00202</v>
      </c>
      <c r="C1015" s="22" t="str">
        <f t="shared" si="15"/>
        <v>'0202.HK'</v>
      </c>
      <c r="D1015" s="22" t="s">
        <v>2971</v>
      </c>
      <c r="E1015" s="22" t="s">
        <v>958</v>
      </c>
      <c r="F1015" s="22">
        <v>1371341440.244</v>
      </c>
      <c r="G1015" s="22">
        <v>3</v>
      </c>
      <c r="H1015" s="22" t="s">
        <v>2972</v>
      </c>
    </row>
    <row r="1016" spans="1:8" x14ac:dyDescent="0.35">
      <c r="A1016" s="22" t="s">
        <v>851</v>
      </c>
      <c r="B1016" s="22" t="str">
        <f>"00533"</f>
        <v>00533</v>
      </c>
      <c r="C1016" s="22" t="str">
        <f t="shared" si="15"/>
        <v>'0533.HK'</v>
      </c>
      <c r="D1016" s="22" t="s">
        <v>2973</v>
      </c>
      <c r="E1016" s="22" t="s">
        <v>889</v>
      </c>
      <c r="F1016" s="22">
        <v>1369810449</v>
      </c>
      <c r="G1016" s="22">
        <v>17</v>
      </c>
      <c r="H1016" s="22" t="s">
        <v>2974</v>
      </c>
    </row>
    <row r="1017" spans="1:8" x14ac:dyDescent="0.35">
      <c r="A1017" s="22" t="s">
        <v>851</v>
      </c>
      <c r="B1017" s="22" t="str">
        <f>"00018"</f>
        <v>00018</v>
      </c>
      <c r="C1017" s="22" t="str">
        <f t="shared" si="15"/>
        <v>'0018.HK'</v>
      </c>
      <c r="D1017" s="22" t="s">
        <v>2975</v>
      </c>
      <c r="E1017" s="22" t="s">
        <v>1400</v>
      </c>
      <c r="F1017" s="22">
        <v>1366813201.8599999</v>
      </c>
      <c r="G1017" s="22">
        <v>7</v>
      </c>
      <c r="H1017" s="22" t="s">
        <v>2976</v>
      </c>
    </row>
    <row r="1018" spans="1:8" x14ac:dyDescent="0.35">
      <c r="A1018" s="22" t="s">
        <v>851</v>
      </c>
      <c r="B1018" s="22" t="str">
        <f>"02427"</f>
        <v>02427</v>
      </c>
      <c r="C1018" s="22" t="str">
        <f t="shared" si="15"/>
        <v>'2427.HK'</v>
      </c>
      <c r="D1018" s="22" t="s">
        <v>2977</v>
      </c>
      <c r="F1018" s="22">
        <v>1358500000</v>
      </c>
      <c r="H1018" s="22" t="s">
        <v>2978</v>
      </c>
    </row>
    <row r="1019" spans="1:8" x14ac:dyDescent="0.35">
      <c r="A1019" s="22" t="s">
        <v>851</v>
      </c>
      <c r="B1019" s="22" t="str">
        <f>"06628"</f>
        <v>06628</v>
      </c>
      <c r="C1019" s="22" t="str">
        <f t="shared" si="15"/>
        <v>'6628.HK'</v>
      </c>
      <c r="D1019" s="22" t="s">
        <v>2979</v>
      </c>
      <c r="E1019" s="22" t="s">
        <v>941</v>
      </c>
      <c r="F1019" s="22">
        <v>1353987512.5999999</v>
      </c>
      <c r="G1019" s="22">
        <v>5</v>
      </c>
      <c r="H1019" s="22" t="s">
        <v>2980</v>
      </c>
    </row>
    <row r="1020" spans="1:8" x14ac:dyDescent="0.35">
      <c r="A1020" s="22" t="s">
        <v>851</v>
      </c>
      <c r="B1020" s="22" t="str">
        <f>"00226"</f>
        <v>00226</v>
      </c>
      <c r="C1020" s="22" t="str">
        <f t="shared" si="15"/>
        <v>'0226.HK'</v>
      </c>
      <c r="D1020" s="22" t="s">
        <v>2981</v>
      </c>
      <c r="E1020" s="22" t="s">
        <v>981</v>
      </c>
      <c r="F1020" s="22">
        <v>1351242047.6800001</v>
      </c>
      <c r="G1020" s="22">
        <v>14</v>
      </c>
      <c r="H1020" s="22" t="s">
        <v>2982</v>
      </c>
    </row>
    <row r="1021" spans="1:8" x14ac:dyDescent="0.35">
      <c r="A1021" s="22" t="s">
        <v>851</v>
      </c>
      <c r="B1021" s="22" t="str">
        <f>"03838"</f>
        <v>03838</v>
      </c>
      <c r="C1021" s="22" t="str">
        <f t="shared" si="15"/>
        <v>'3838.HK'</v>
      </c>
      <c r="D1021" s="22" t="s">
        <v>2983</v>
      </c>
      <c r="E1021" s="22" t="s">
        <v>1329</v>
      </c>
      <c r="F1021" s="22">
        <v>1348679709.675</v>
      </c>
      <c r="G1021" s="22">
        <v>16</v>
      </c>
      <c r="H1021" s="22" t="s">
        <v>2984</v>
      </c>
    </row>
    <row r="1022" spans="1:8" x14ac:dyDescent="0.35">
      <c r="A1022" s="22" t="s">
        <v>851</v>
      </c>
      <c r="B1022" s="22" t="str">
        <f>"00863"</f>
        <v>00863</v>
      </c>
      <c r="C1022" s="22" t="str">
        <f t="shared" si="15"/>
        <v>'0863.HK'</v>
      </c>
      <c r="D1022" s="22" t="s">
        <v>2985</v>
      </c>
      <c r="E1022" s="22" t="s">
        <v>1202</v>
      </c>
      <c r="F1022" s="22">
        <v>1346051274.8800001</v>
      </c>
      <c r="G1022" s="22">
        <v>3</v>
      </c>
      <c r="H1022" s="22" t="s">
        <v>2986</v>
      </c>
    </row>
    <row r="1023" spans="1:8" x14ac:dyDescent="0.35">
      <c r="A1023" s="22" t="s">
        <v>851</v>
      </c>
      <c r="B1023" s="22" t="str">
        <f>"03882"</f>
        <v>03882</v>
      </c>
      <c r="C1023" s="22" t="str">
        <f t="shared" si="15"/>
        <v>'3882.HK'</v>
      </c>
      <c r="D1023" s="22" t="s">
        <v>2987</v>
      </c>
      <c r="E1023" s="22" t="s">
        <v>1167</v>
      </c>
      <c r="F1023" s="22">
        <v>1344558311.55</v>
      </c>
      <c r="G1023" s="22">
        <v>9</v>
      </c>
      <c r="H1023" s="22" t="s">
        <v>2988</v>
      </c>
    </row>
    <row r="1024" spans="1:8" x14ac:dyDescent="0.35">
      <c r="A1024" s="22" t="s">
        <v>851</v>
      </c>
      <c r="B1024" s="22" t="str">
        <f>"00093"</f>
        <v>00093</v>
      </c>
      <c r="C1024" s="22" t="str">
        <f t="shared" si="15"/>
        <v>'0093.HK'</v>
      </c>
      <c r="D1024" s="22" t="s">
        <v>2989</v>
      </c>
      <c r="E1024" s="22" t="s">
        <v>1498</v>
      </c>
      <c r="F1024" s="22">
        <v>1333821525</v>
      </c>
      <c r="G1024" s="22">
        <v>5</v>
      </c>
      <c r="H1024" s="22" t="s">
        <v>2990</v>
      </c>
    </row>
    <row r="1025" spans="1:8" x14ac:dyDescent="0.35">
      <c r="A1025" s="22" t="s">
        <v>851</v>
      </c>
      <c r="B1025" s="22" t="str">
        <f>"00273"</f>
        <v>00273</v>
      </c>
      <c r="C1025" s="22" t="str">
        <f t="shared" si="15"/>
        <v>'0273.HK'</v>
      </c>
      <c r="D1025" s="22" t="s">
        <v>2991</v>
      </c>
      <c r="E1025" s="22" t="s">
        <v>964</v>
      </c>
      <c r="F1025" s="22">
        <v>1330946566.71</v>
      </c>
      <c r="G1025" s="22">
        <v>1</v>
      </c>
      <c r="H1025" s="22" t="s">
        <v>2992</v>
      </c>
    </row>
    <row r="1026" spans="1:8" x14ac:dyDescent="0.35">
      <c r="A1026" s="22" t="s">
        <v>851</v>
      </c>
      <c r="B1026" s="22" t="str">
        <f>"02003"</f>
        <v>02003</v>
      </c>
      <c r="C1026" s="22" t="str">
        <f t="shared" si="15"/>
        <v>'2003.HK'</v>
      </c>
      <c r="D1026" s="22" t="s">
        <v>2993</v>
      </c>
      <c r="E1026" s="22" t="s">
        <v>1498</v>
      </c>
      <c r="F1026" s="22">
        <v>1326436028.1900001</v>
      </c>
      <c r="G1026" s="22">
        <v>9</v>
      </c>
      <c r="H1026" s="22" t="s">
        <v>2994</v>
      </c>
    </row>
    <row r="1027" spans="1:8" x14ac:dyDescent="0.35">
      <c r="A1027" s="22" t="s">
        <v>851</v>
      </c>
      <c r="B1027" s="22" t="str">
        <f>"06828"</f>
        <v>06828</v>
      </c>
      <c r="C1027" s="22" t="str">
        <f t="shared" ref="C1027:C1090" si="16">CONCATENATE("'",RIGHT(B1027,4),".HK'")</f>
        <v>'6828.HK'</v>
      </c>
      <c r="D1027" s="22" t="s">
        <v>2995</v>
      </c>
      <c r="E1027" s="22" t="s">
        <v>1031</v>
      </c>
      <c r="F1027" s="22">
        <v>1324583700.9300001</v>
      </c>
      <c r="G1027" s="22">
        <v>11</v>
      </c>
      <c r="H1027" s="22" t="s">
        <v>2996</v>
      </c>
    </row>
    <row r="1028" spans="1:8" x14ac:dyDescent="0.35">
      <c r="A1028" s="22" t="s">
        <v>851</v>
      </c>
      <c r="B1028" s="22" t="str">
        <f>"02136"</f>
        <v>02136</v>
      </c>
      <c r="C1028" s="22" t="str">
        <f t="shared" si="16"/>
        <v>'2136.HK'</v>
      </c>
      <c r="D1028" s="22" t="s">
        <v>2997</v>
      </c>
      <c r="E1028" s="22" t="s">
        <v>1485</v>
      </c>
      <c r="F1028" s="22">
        <v>1318003650</v>
      </c>
      <c r="G1028" s="22">
        <v>16</v>
      </c>
      <c r="H1028" s="22" t="s">
        <v>2998</v>
      </c>
    </row>
    <row r="1029" spans="1:8" x14ac:dyDescent="0.35">
      <c r="A1029" s="22" t="s">
        <v>851</v>
      </c>
      <c r="B1029" s="22" t="str">
        <f>"00124"</f>
        <v>00124</v>
      </c>
      <c r="C1029" s="22" t="str">
        <f t="shared" si="16"/>
        <v>'0124.HK'</v>
      </c>
      <c r="D1029" s="22" t="s">
        <v>2999</v>
      </c>
      <c r="E1029" s="22" t="s">
        <v>924</v>
      </c>
      <c r="F1029" s="22">
        <v>1317883374.5</v>
      </c>
      <c r="G1029" s="22">
        <v>12</v>
      </c>
      <c r="H1029" s="22" t="s">
        <v>3000</v>
      </c>
    </row>
    <row r="1030" spans="1:8" x14ac:dyDescent="0.35">
      <c r="A1030" s="22" t="s">
        <v>851</v>
      </c>
      <c r="B1030" s="22" t="str">
        <f>"02283"</f>
        <v>02283</v>
      </c>
      <c r="C1030" s="22" t="str">
        <f t="shared" si="16"/>
        <v>'2283.HK'</v>
      </c>
      <c r="D1030" s="22" t="s">
        <v>3001</v>
      </c>
      <c r="E1030" s="22" t="s">
        <v>1224</v>
      </c>
      <c r="F1030" s="22">
        <v>1316550800</v>
      </c>
      <c r="G1030" s="22">
        <v>21</v>
      </c>
      <c r="H1030" s="22" t="s">
        <v>3002</v>
      </c>
    </row>
    <row r="1031" spans="1:8" x14ac:dyDescent="0.35">
      <c r="A1031" s="22" t="s">
        <v>851</v>
      </c>
      <c r="B1031" s="22" t="str">
        <f>"01986"</f>
        <v>01986</v>
      </c>
      <c r="C1031" s="22" t="str">
        <f t="shared" si="16"/>
        <v>'1986.HK'</v>
      </c>
      <c r="D1031" s="22" t="s">
        <v>3003</v>
      </c>
      <c r="E1031" s="22" t="s">
        <v>1600</v>
      </c>
      <c r="F1031" s="22">
        <v>1314680925</v>
      </c>
      <c r="G1031" s="22">
        <v>16</v>
      </c>
      <c r="H1031" s="22" t="s">
        <v>3004</v>
      </c>
    </row>
    <row r="1032" spans="1:8" x14ac:dyDescent="0.35">
      <c r="A1032" s="22" t="s">
        <v>851</v>
      </c>
      <c r="B1032" s="22" t="str">
        <f>"01370"</f>
        <v>01370</v>
      </c>
      <c r="C1032" s="22" t="str">
        <f t="shared" si="16"/>
        <v>'1370.HK'</v>
      </c>
      <c r="D1032" s="22" t="s">
        <v>3005</v>
      </c>
      <c r="E1032" s="22" t="s">
        <v>1579</v>
      </c>
      <c r="F1032" s="22">
        <v>1308263913.5999999</v>
      </c>
      <c r="G1032" s="22">
        <v>2</v>
      </c>
      <c r="H1032" s="22" t="s">
        <v>3006</v>
      </c>
    </row>
    <row r="1033" spans="1:8" x14ac:dyDescent="0.35">
      <c r="A1033" s="22" t="s">
        <v>851</v>
      </c>
      <c r="B1033" s="22" t="str">
        <f>"00661"</f>
        <v>00661</v>
      </c>
      <c r="C1033" s="22" t="str">
        <f t="shared" si="16"/>
        <v>'0661.HK'</v>
      </c>
      <c r="D1033" s="22" t="s">
        <v>3007</v>
      </c>
      <c r="E1033" s="22" t="s">
        <v>1316</v>
      </c>
      <c r="F1033" s="22">
        <v>1306377318.5380001</v>
      </c>
      <c r="G1033" s="22">
        <v>12</v>
      </c>
      <c r="H1033" s="22" t="s">
        <v>3008</v>
      </c>
    </row>
    <row r="1034" spans="1:8" x14ac:dyDescent="0.35">
      <c r="A1034" s="22" t="s">
        <v>851</v>
      </c>
      <c r="B1034" s="22" t="str">
        <f>"00896"</f>
        <v>00896</v>
      </c>
      <c r="C1034" s="22" t="str">
        <f t="shared" si="16"/>
        <v>'0896.HK'</v>
      </c>
      <c r="D1034" s="22" t="s">
        <v>3009</v>
      </c>
      <c r="E1034" s="22" t="s">
        <v>1634</v>
      </c>
      <c r="F1034" s="22">
        <v>1285677504.1600001</v>
      </c>
      <c r="G1034" s="22">
        <v>16</v>
      </c>
      <c r="H1034" s="22" t="s">
        <v>3010</v>
      </c>
    </row>
    <row r="1035" spans="1:8" x14ac:dyDescent="0.35">
      <c r="A1035" s="22" t="s">
        <v>851</v>
      </c>
      <c r="B1035" s="22" t="str">
        <f>"00592"</f>
        <v>00592</v>
      </c>
      <c r="C1035" s="22" t="str">
        <f t="shared" si="16"/>
        <v>'0592.HK'</v>
      </c>
      <c r="D1035" s="22" t="s">
        <v>3011</v>
      </c>
      <c r="E1035" s="22" t="s">
        <v>889</v>
      </c>
      <c r="F1035" s="22">
        <v>1283754207.3199999</v>
      </c>
      <c r="G1035" s="22">
        <v>9</v>
      </c>
      <c r="H1035" s="22" t="s">
        <v>3012</v>
      </c>
    </row>
    <row r="1036" spans="1:8" x14ac:dyDescent="0.35">
      <c r="A1036" s="22" t="s">
        <v>851</v>
      </c>
      <c r="B1036" s="22" t="str">
        <f>"08395"</f>
        <v>08395</v>
      </c>
      <c r="C1036" s="22" t="str">
        <f t="shared" si="16"/>
        <v>'8395.HK'</v>
      </c>
      <c r="D1036" s="22" t="s">
        <v>3013</v>
      </c>
      <c r="E1036" s="22" t="s">
        <v>1429</v>
      </c>
      <c r="F1036" s="22">
        <v>1283040000</v>
      </c>
      <c r="G1036" s="22">
        <v>4</v>
      </c>
      <c r="H1036" s="22" t="s">
        <v>3014</v>
      </c>
    </row>
    <row r="1037" spans="1:8" x14ac:dyDescent="0.35">
      <c r="A1037" s="22" t="s">
        <v>851</v>
      </c>
      <c r="B1037" s="22" t="str">
        <f>"00196"</f>
        <v>00196</v>
      </c>
      <c r="C1037" s="22" t="str">
        <f t="shared" si="16"/>
        <v>'0196.HK'</v>
      </c>
      <c r="D1037" s="22" t="s">
        <v>3015</v>
      </c>
      <c r="E1037" s="22" t="s">
        <v>1294</v>
      </c>
      <c r="F1037" s="22">
        <v>1280082781.0999999</v>
      </c>
      <c r="G1037" s="22">
        <v>17</v>
      </c>
      <c r="H1037" s="22" t="s">
        <v>3016</v>
      </c>
    </row>
    <row r="1038" spans="1:8" x14ac:dyDescent="0.35">
      <c r="A1038" s="22" t="s">
        <v>851</v>
      </c>
      <c r="B1038" s="22" t="str">
        <f>"01057"</f>
        <v>01057</v>
      </c>
      <c r="C1038" s="22" t="str">
        <f t="shared" si="16"/>
        <v>'1057.HK'</v>
      </c>
      <c r="D1038" s="22" t="s">
        <v>3017</v>
      </c>
      <c r="E1038" s="22" t="s">
        <v>1122</v>
      </c>
      <c r="F1038" s="22">
        <v>1279224311.9400001</v>
      </c>
      <c r="G1038" s="22">
        <v>28</v>
      </c>
      <c r="H1038" s="22" t="s">
        <v>3018</v>
      </c>
    </row>
    <row r="1039" spans="1:8" x14ac:dyDescent="0.35">
      <c r="A1039" s="22" t="s">
        <v>851</v>
      </c>
      <c r="B1039" s="22" t="str">
        <f>"03315"</f>
        <v>03315</v>
      </c>
      <c r="C1039" s="22" t="str">
        <f t="shared" si="16"/>
        <v>'3315.HK'</v>
      </c>
      <c r="D1039" s="22" t="s">
        <v>3019</v>
      </c>
      <c r="E1039" s="22" t="s">
        <v>910</v>
      </c>
      <c r="F1039" s="22">
        <v>1278540120</v>
      </c>
      <c r="G1039" s="22">
        <v>24</v>
      </c>
      <c r="H1039" s="22" t="s">
        <v>3020</v>
      </c>
    </row>
    <row r="1040" spans="1:8" x14ac:dyDescent="0.35">
      <c r="A1040" s="22" t="s">
        <v>851</v>
      </c>
      <c r="B1040" s="22" t="str">
        <f>"01366"</f>
        <v>01366</v>
      </c>
      <c r="C1040" s="22" t="str">
        <f t="shared" si="16"/>
        <v>'1366.HK'</v>
      </c>
      <c r="D1040" s="22" t="s">
        <v>3021</v>
      </c>
      <c r="E1040" s="22" t="s">
        <v>1224</v>
      </c>
      <c r="F1040" s="22">
        <v>1272606192</v>
      </c>
      <c r="G1040" s="22">
        <v>62</v>
      </c>
      <c r="H1040" s="22" t="s">
        <v>3022</v>
      </c>
    </row>
    <row r="1041" spans="1:8" x14ac:dyDescent="0.35">
      <c r="A1041" s="22" t="s">
        <v>851</v>
      </c>
      <c r="B1041" s="22" t="str">
        <f>"00832"</f>
        <v>00832</v>
      </c>
      <c r="C1041" s="22" t="str">
        <f t="shared" si="16"/>
        <v>'0832.HK'</v>
      </c>
      <c r="D1041" s="22" t="s">
        <v>3023</v>
      </c>
      <c r="E1041" s="22" t="s">
        <v>924</v>
      </c>
      <c r="F1041" s="22">
        <v>1265950897.3499999</v>
      </c>
      <c r="G1041" s="22">
        <v>78</v>
      </c>
      <c r="H1041" s="22" t="s">
        <v>3024</v>
      </c>
    </row>
    <row r="1042" spans="1:8" x14ac:dyDescent="0.35">
      <c r="A1042" s="22" t="s">
        <v>851</v>
      </c>
      <c r="B1042" s="22" t="str">
        <f>"00031"</f>
        <v>00031</v>
      </c>
      <c r="C1042" s="22" t="str">
        <f t="shared" si="16"/>
        <v>'0031.HK'</v>
      </c>
      <c r="D1042" s="22" t="s">
        <v>3025</v>
      </c>
      <c r="E1042" s="22" t="s">
        <v>1474</v>
      </c>
      <c r="F1042" s="22">
        <v>1264858971.6199999</v>
      </c>
      <c r="G1042" s="22">
        <v>25</v>
      </c>
      <c r="H1042" s="22" t="s">
        <v>3026</v>
      </c>
    </row>
    <row r="1043" spans="1:8" x14ac:dyDescent="0.35">
      <c r="A1043" s="22" t="s">
        <v>851</v>
      </c>
      <c r="B1043" s="22" t="str">
        <f>"01293"</f>
        <v>01293</v>
      </c>
      <c r="C1043" s="22" t="str">
        <f t="shared" si="16"/>
        <v>'1293.HK'</v>
      </c>
      <c r="D1043" s="22" t="s">
        <v>3027</v>
      </c>
      <c r="E1043" s="22" t="s">
        <v>1089</v>
      </c>
      <c r="F1043" s="22">
        <v>1262692585.905</v>
      </c>
      <c r="G1043" s="22">
        <v>35</v>
      </c>
      <c r="H1043" s="22" t="s">
        <v>3028</v>
      </c>
    </row>
    <row r="1044" spans="1:8" x14ac:dyDescent="0.35">
      <c r="A1044" s="22" t="s">
        <v>851</v>
      </c>
      <c r="B1044" s="22" t="str">
        <f>"01029"</f>
        <v>01029</v>
      </c>
      <c r="C1044" s="22" t="str">
        <f t="shared" si="16"/>
        <v>'1029.HK'</v>
      </c>
      <c r="D1044" s="22" t="s">
        <v>3029</v>
      </c>
      <c r="E1044" s="22" t="s">
        <v>1579</v>
      </c>
      <c r="F1044" s="22">
        <v>1260909274.036</v>
      </c>
      <c r="G1044" s="22">
        <v>10</v>
      </c>
      <c r="H1044" s="22" t="s">
        <v>3030</v>
      </c>
    </row>
    <row r="1045" spans="1:8" x14ac:dyDescent="0.35">
      <c r="A1045" s="22" t="s">
        <v>851</v>
      </c>
      <c r="B1045" s="22" t="str">
        <f>"00360"</f>
        <v>00360</v>
      </c>
      <c r="C1045" s="22" t="str">
        <f t="shared" si="16"/>
        <v>'0360.HK'</v>
      </c>
      <c r="D1045" s="22" t="s">
        <v>3031</v>
      </c>
      <c r="E1045" s="22" t="s">
        <v>1122</v>
      </c>
      <c r="F1045" s="22">
        <v>1256837229.477</v>
      </c>
      <c r="G1045" s="22">
        <v>5</v>
      </c>
      <c r="H1045" s="22" t="s">
        <v>3032</v>
      </c>
    </row>
    <row r="1046" spans="1:8" x14ac:dyDescent="0.35">
      <c r="A1046" s="22" t="s">
        <v>851</v>
      </c>
      <c r="B1046" s="22" t="str">
        <f>"01915"</f>
        <v>01915</v>
      </c>
      <c r="C1046" s="22" t="str">
        <f t="shared" si="16"/>
        <v>'1915.HK'</v>
      </c>
      <c r="D1046" s="22" t="s">
        <v>3033</v>
      </c>
      <c r="E1046" s="22" t="s">
        <v>1498</v>
      </c>
      <c r="F1046" s="22">
        <v>1248000000</v>
      </c>
      <c r="G1046" s="22">
        <v>4</v>
      </c>
      <c r="H1046" s="22" t="s">
        <v>3034</v>
      </c>
    </row>
    <row r="1047" spans="1:8" x14ac:dyDescent="0.35">
      <c r="A1047" s="22" t="s">
        <v>851</v>
      </c>
      <c r="B1047" s="22" t="str">
        <f>"00133"</f>
        <v>00133</v>
      </c>
      <c r="C1047" s="22" t="str">
        <f t="shared" si="16"/>
        <v>'0133.HK'</v>
      </c>
      <c r="D1047" s="22" t="s">
        <v>3035</v>
      </c>
      <c r="E1047" s="22" t="s">
        <v>964</v>
      </c>
      <c r="F1047" s="22">
        <v>1244560716.21</v>
      </c>
      <c r="G1047" s="22">
        <v>37</v>
      </c>
      <c r="H1047" s="22" t="s">
        <v>3036</v>
      </c>
    </row>
    <row r="1048" spans="1:8" x14ac:dyDescent="0.35">
      <c r="A1048" s="22" t="s">
        <v>851</v>
      </c>
      <c r="B1048" s="22" t="str">
        <f>"06661"</f>
        <v>06661</v>
      </c>
      <c r="C1048" s="22" t="str">
        <f t="shared" si="16"/>
        <v>'6661.HK'</v>
      </c>
      <c r="D1048" s="22" t="s">
        <v>3037</v>
      </c>
      <c r="E1048" s="22" t="s">
        <v>1031</v>
      </c>
      <c r="F1048" s="22">
        <v>1240612740</v>
      </c>
      <c r="G1048" s="22">
        <v>1</v>
      </c>
      <c r="H1048" s="22" t="s">
        <v>3038</v>
      </c>
    </row>
    <row r="1049" spans="1:8" x14ac:dyDescent="0.35">
      <c r="A1049" s="22" t="s">
        <v>851</v>
      </c>
      <c r="B1049" s="22" t="str">
        <f>"01561"</f>
        <v>01561</v>
      </c>
      <c r="C1049" s="22" t="str">
        <f t="shared" si="16"/>
        <v>'1561.HK'</v>
      </c>
      <c r="D1049" s="22" t="s">
        <v>3039</v>
      </c>
      <c r="E1049" s="22" t="s">
        <v>1600</v>
      </c>
      <c r="F1049" s="22">
        <v>1238759622.45</v>
      </c>
      <c r="G1049" s="22">
        <v>3</v>
      </c>
      <c r="H1049" s="22" t="s">
        <v>3040</v>
      </c>
    </row>
    <row r="1050" spans="1:8" x14ac:dyDescent="0.35">
      <c r="A1050" s="22" t="s">
        <v>851</v>
      </c>
      <c r="B1050" s="22" t="str">
        <f>"00340"</f>
        <v>00340</v>
      </c>
      <c r="C1050" s="22" t="str">
        <f t="shared" si="16"/>
        <v>'0340.HK'</v>
      </c>
      <c r="D1050" s="22" t="s">
        <v>3041</v>
      </c>
      <c r="E1050" s="22" t="s">
        <v>929</v>
      </c>
      <c r="F1050" s="22">
        <v>1238179360.665</v>
      </c>
      <c r="G1050" s="22">
        <v>7</v>
      </c>
      <c r="H1050" s="22" t="s">
        <v>3042</v>
      </c>
    </row>
    <row r="1051" spans="1:8" x14ac:dyDescent="0.35">
      <c r="A1051" s="22" t="s">
        <v>851</v>
      </c>
      <c r="B1051" s="22" t="str">
        <f>"03389"</f>
        <v>03389</v>
      </c>
      <c r="C1051" s="22" t="str">
        <f t="shared" si="16"/>
        <v>'3389.HK'</v>
      </c>
      <c r="D1051" s="22" t="s">
        <v>3043</v>
      </c>
      <c r="E1051" s="22" t="s">
        <v>1002</v>
      </c>
      <c r="F1051" s="22">
        <v>1233125308.52</v>
      </c>
      <c r="G1051" s="22">
        <v>21</v>
      </c>
      <c r="H1051" s="22" t="s">
        <v>3044</v>
      </c>
    </row>
    <row r="1052" spans="1:8" x14ac:dyDescent="0.35">
      <c r="A1052" s="22" t="s">
        <v>851</v>
      </c>
      <c r="B1052" s="22" t="str">
        <f>"02599"</f>
        <v>02599</v>
      </c>
      <c r="C1052" s="22" t="str">
        <f t="shared" si="16"/>
        <v>'2599.HK'</v>
      </c>
      <c r="D1052" s="22" t="s">
        <v>3045</v>
      </c>
      <c r="E1052" s="22" t="s">
        <v>924</v>
      </c>
      <c r="F1052" s="22">
        <v>1232578215</v>
      </c>
      <c r="G1052" s="22">
        <v>6</v>
      </c>
      <c r="H1052" s="22" t="s">
        <v>3046</v>
      </c>
    </row>
    <row r="1053" spans="1:8" x14ac:dyDescent="0.35">
      <c r="A1053" s="22" t="s">
        <v>851</v>
      </c>
      <c r="B1053" s="22" t="str">
        <f>"01745"</f>
        <v>01745</v>
      </c>
      <c r="C1053" s="22" t="str">
        <f t="shared" si="16"/>
        <v>'1745.HK'</v>
      </c>
      <c r="D1053" s="22" t="s">
        <v>3047</v>
      </c>
      <c r="E1053" s="22" t="s">
        <v>910</v>
      </c>
      <c r="F1053" s="22">
        <v>1228880540</v>
      </c>
      <c r="G1053" s="22">
        <v>4</v>
      </c>
      <c r="H1053" s="22" t="s">
        <v>3048</v>
      </c>
    </row>
    <row r="1054" spans="1:8" x14ac:dyDescent="0.35">
      <c r="A1054" s="22" t="s">
        <v>851</v>
      </c>
      <c r="B1054" s="22" t="str">
        <f>"06811"</f>
        <v>06811</v>
      </c>
      <c r="C1054" s="22" t="str">
        <f t="shared" si="16"/>
        <v>'6811.HK'</v>
      </c>
      <c r="D1054" s="22" t="s">
        <v>3049</v>
      </c>
      <c r="E1054" s="22" t="s">
        <v>981</v>
      </c>
      <c r="F1054" s="22">
        <v>1226586780</v>
      </c>
      <c r="G1054" s="22">
        <v>7</v>
      </c>
      <c r="H1054" s="22" t="s">
        <v>3050</v>
      </c>
    </row>
    <row r="1055" spans="1:8" x14ac:dyDescent="0.35">
      <c r="A1055" s="22" t="s">
        <v>851</v>
      </c>
      <c r="B1055" s="22" t="str">
        <f>"01583"</f>
        <v>01583</v>
      </c>
      <c r="C1055" s="22" t="str">
        <f t="shared" si="16"/>
        <v>'1583.HK'</v>
      </c>
      <c r="D1055" s="22" t="s">
        <v>3051</v>
      </c>
      <c r="E1055" s="22" t="s">
        <v>1205</v>
      </c>
      <c r="F1055" s="22">
        <v>1223256422.3399999</v>
      </c>
      <c r="G1055" s="22">
        <v>12</v>
      </c>
      <c r="H1055" s="22" t="s">
        <v>3052</v>
      </c>
    </row>
    <row r="1056" spans="1:8" x14ac:dyDescent="0.35">
      <c r="A1056" s="22" t="s">
        <v>851</v>
      </c>
      <c r="B1056" s="22" t="str">
        <f>"00497"</f>
        <v>00497</v>
      </c>
      <c r="C1056" s="22" t="str">
        <f t="shared" si="16"/>
        <v>'0497.HK'</v>
      </c>
      <c r="D1056" s="22" t="s">
        <v>3053</v>
      </c>
      <c r="E1056" s="22" t="s">
        <v>924</v>
      </c>
      <c r="F1056" s="22">
        <v>1217962157.8800001</v>
      </c>
      <c r="G1056" s="22">
        <v>10</v>
      </c>
      <c r="H1056" s="22" t="s">
        <v>3054</v>
      </c>
    </row>
    <row r="1057" spans="1:8" x14ac:dyDescent="0.35">
      <c r="A1057" s="22" t="s">
        <v>851</v>
      </c>
      <c r="B1057" s="22" t="str">
        <f>"06968"</f>
        <v>06968</v>
      </c>
      <c r="C1057" s="22" t="str">
        <f t="shared" si="16"/>
        <v>'6968.HK'</v>
      </c>
      <c r="D1057" s="22" t="s">
        <v>3055</v>
      </c>
      <c r="E1057" s="22" t="s">
        <v>924</v>
      </c>
      <c r="F1057" s="22">
        <v>1216349250</v>
      </c>
      <c r="G1057" s="22">
        <v>4</v>
      </c>
      <c r="H1057" s="22" t="s">
        <v>3056</v>
      </c>
    </row>
    <row r="1058" spans="1:8" x14ac:dyDescent="0.35">
      <c r="A1058" s="22" t="s">
        <v>851</v>
      </c>
      <c r="B1058" s="22" t="str">
        <f>"01608"</f>
        <v>01608</v>
      </c>
      <c r="C1058" s="22" t="str">
        <f t="shared" si="16"/>
        <v>'1608.HK'</v>
      </c>
      <c r="D1058" s="22" t="s">
        <v>3057</v>
      </c>
      <c r="E1058" s="22" t="s">
        <v>1022</v>
      </c>
      <c r="F1058" s="22">
        <v>1215761855.8499999</v>
      </c>
      <c r="G1058" s="22">
        <v>14</v>
      </c>
      <c r="H1058" s="22" t="s">
        <v>3058</v>
      </c>
    </row>
    <row r="1059" spans="1:8" x14ac:dyDescent="0.35">
      <c r="A1059" s="22" t="s">
        <v>851</v>
      </c>
      <c r="B1059" s="22" t="str">
        <f>"02100"</f>
        <v>02100</v>
      </c>
      <c r="C1059" s="22" t="str">
        <f t="shared" si="16"/>
        <v>'2100.HK'</v>
      </c>
      <c r="D1059" s="22" t="s">
        <v>3059</v>
      </c>
      <c r="E1059" s="22" t="s">
        <v>910</v>
      </c>
      <c r="F1059" s="22">
        <v>1213822920</v>
      </c>
      <c r="G1059" s="22">
        <v>16</v>
      </c>
      <c r="H1059" s="22" t="s">
        <v>3060</v>
      </c>
    </row>
    <row r="1060" spans="1:8" x14ac:dyDescent="0.35">
      <c r="A1060" s="22" t="s">
        <v>851</v>
      </c>
      <c r="B1060" s="22" t="str">
        <f>"00887"</f>
        <v>00887</v>
      </c>
      <c r="C1060" s="22" t="str">
        <f t="shared" si="16"/>
        <v>'0887.HK'</v>
      </c>
      <c r="D1060" s="22" t="s">
        <v>3061</v>
      </c>
      <c r="E1060" s="22" t="s">
        <v>1002</v>
      </c>
      <c r="F1060" s="22">
        <v>1213523005.0910001</v>
      </c>
      <c r="G1060" s="22">
        <v>9</v>
      </c>
      <c r="H1060" s="22" t="s">
        <v>3062</v>
      </c>
    </row>
    <row r="1061" spans="1:8" x14ac:dyDescent="0.35">
      <c r="A1061" s="22" t="s">
        <v>851</v>
      </c>
      <c r="B1061" s="22" t="str">
        <f>"02216"</f>
        <v>02216</v>
      </c>
      <c r="C1061" s="22" t="str">
        <f t="shared" si="16"/>
        <v>'2216.HK'</v>
      </c>
      <c r="D1061" s="22" t="s">
        <v>3063</v>
      </c>
      <c r="E1061" s="22" t="s">
        <v>1232</v>
      </c>
      <c r="F1061" s="22">
        <v>1211578074.8</v>
      </c>
      <c r="G1061" s="22">
        <v>10</v>
      </c>
      <c r="H1061" s="22" t="s">
        <v>3064</v>
      </c>
    </row>
    <row r="1062" spans="1:8" x14ac:dyDescent="0.35">
      <c r="A1062" s="22" t="s">
        <v>851</v>
      </c>
      <c r="B1062" s="22" t="str">
        <f>"00560"</f>
        <v>00560</v>
      </c>
      <c r="C1062" s="22" t="str">
        <f t="shared" si="16"/>
        <v>'0560.HK'</v>
      </c>
      <c r="D1062" s="22" t="s">
        <v>3065</v>
      </c>
      <c r="E1062" s="22" t="s">
        <v>1047</v>
      </c>
      <c r="F1062" s="22">
        <v>1210860235.8</v>
      </c>
      <c r="G1062" s="22">
        <v>18</v>
      </c>
      <c r="H1062" s="22" t="s">
        <v>3066</v>
      </c>
    </row>
    <row r="1063" spans="1:8" x14ac:dyDescent="0.35">
      <c r="A1063" s="22" t="s">
        <v>851</v>
      </c>
      <c r="B1063" s="22" t="str">
        <f>"00726"</f>
        <v>00726</v>
      </c>
      <c r="C1063" s="22" t="str">
        <f t="shared" si="16"/>
        <v>'0726.HK'</v>
      </c>
      <c r="D1063" s="22" t="s">
        <v>3067</v>
      </c>
      <c r="E1063" s="22" t="s">
        <v>924</v>
      </c>
      <c r="F1063" s="22">
        <v>1209936284.7</v>
      </c>
      <c r="G1063" s="22">
        <v>13</v>
      </c>
      <c r="H1063" s="22" t="s">
        <v>3068</v>
      </c>
    </row>
    <row r="1064" spans="1:8" x14ac:dyDescent="0.35">
      <c r="A1064" s="22" t="s">
        <v>851</v>
      </c>
      <c r="B1064" s="22" t="str">
        <f>"02327"</f>
        <v>02327</v>
      </c>
      <c r="C1064" s="22" t="str">
        <f t="shared" si="16"/>
        <v>'2327.HK'</v>
      </c>
      <c r="D1064" s="22" t="s">
        <v>3069</v>
      </c>
      <c r="E1064" s="22" t="s">
        <v>958</v>
      </c>
      <c r="F1064" s="22">
        <v>1207891847.6199999</v>
      </c>
      <c r="G1064" s="22">
        <v>3</v>
      </c>
      <c r="H1064" s="22" t="s">
        <v>3070</v>
      </c>
    </row>
    <row r="1065" spans="1:8" x14ac:dyDescent="0.35">
      <c r="A1065" s="22" t="s">
        <v>851</v>
      </c>
      <c r="B1065" s="22" t="str">
        <f>"01332"</f>
        <v>01332</v>
      </c>
      <c r="C1065" s="22" t="str">
        <f t="shared" si="16"/>
        <v>'1332.HK'</v>
      </c>
      <c r="D1065" s="22" t="s">
        <v>3071</v>
      </c>
      <c r="E1065" s="22" t="s">
        <v>2259</v>
      </c>
      <c r="F1065" s="22">
        <v>1206559424.0699999</v>
      </c>
      <c r="G1065" s="22">
        <v>2</v>
      </c>
      <c r="H1065" s="22" t="s">
        <v>3072</v>
      </c>
    </row>
    <row r="1066" spans="1:8" x14ac:dyDescent="0.35">
      <c r="A1066" s="22" t="s">
        <v>851</v>
      </c>
      <c r="B1066" s="22" t="str">
        <f>"02111"</f>
        <v>02111</v>
      </c>
      <c r="C1066" s="22" t="str">
        <f t="shared" si="16"/>
        <v>'2111.HK'</v>
      </c>
      <c r="D1066" s="22" t="s">
        <v>3073</v>
      </c>
      <c r="E1066" s="22" t="s">
        <v>1914</v>
      </c>
      <c r="F1066" s="22">
        <v>1206177280</v>
      </c>
      <c r="G1066" s="22">
        <v>23</v>
      </c>
      <c r="H1066" s="22" t="s">
        <v>3074</v>
      </c>
    </row>
    <row r="1067" spans="1:8" x14ac:dyDescent="0.35">
      <c r="A1067" s="22" t="s">
        <v>851</v>
      </c>
      <c r="B1067" s="22" t="str">
        <f>"00698"</f>
        <v>00698</v>
      </c>
      <c r="C1067" s="22" t="str">
        <f t="shared" si="16"/>
        <v>'0698.HK'</v>
      </c>
      <c r="D1067" s="22" t="s">
        <v>3075</v>
      </c>
      <c r="E1067" s="22" t="s">
        <v>1075</v>
      </c>
      <c r="F1067" s="22">
        <v>1205187947.98</v>
      </c>
      <c r="G1067" s="22">
        <v>39</v>
      </c>
      <c r="H1067" s="22" t="s">
        <v>3076</v>
      </c>
    </row>
    <row r="1068" spans="1:8" x14ac:dyDescent="0.35">
      <c r="A1068" s="22" t="s">
        <v>851</v>
      </c>
      <c r="B1068" s="22" t="str">
        <f>"02236"</f>
        <v>02236</v>
      </c>
      <c r="C1068" s="22" t="str">
        <f t="shared" si="16"/>
        <v>'2236.HK'</v>
      </c>
      <c r="D1068" s="22" t="s">
        <v>3077</v>
      </c>
      <c r="E1068" s="22" t="s">
        <v>1294</v>
      </c>
      <c r="F1068" s="22">
        <v>1201761501</v>
      </c>
      <c r="G1068" s="22">
        <v>6</v>
      </c>
      <c r="H1068" s="22" t="s">
        <v>3078</v>
      </c>
    </row>
    <row r="1069" spans="1:8" x14ac:dyDescent="0.35">
      <c r="A1069" s="22" t="s">
        <v>851</v>
      </c>
      <c r="B1069" s="22" t="str">
        <f>"09908"</f>
        <v>09908</v>
      </c>
      <c r="C1069" s="22" t="str">
        <f t="shared" si="16"/>
        <v>'9908.HK'</v>
      </c>
      <c r="D1069" s="22" t="s">
        <v>3079</v>
      </c>
      <c r="E1069" s="22" t="s">
        <v>1031</v>
      </c>
      <c r="F1069" s="22">
        <v>1199247150</v>
      </c>
      <c r="G1069" s="22">
        <v>6</v>
      </c>
      <c r="H1069" s="22" t="s">
        <v>3080</v>
      </c>
    </row>
    <row r="1070" spans="1:8" x14ac:dyDescent="0.35">
      <c r="A1070" s="22" t="s">
        <v>851</v>
      </c>
      <c r="B1070" s="22" t="str">
        <f>"06136"</f>
        <v>06136</v>
      </c>
      <c r="C1070" s="22" t="str">
        <f t="shared" si="16"/>
        <v>'6136.HK'</v>
      </c>
      <c r="D1070" s="22" t="s">
        <v>3081</v>
      </c>
      <c r="E1070" s="22" t="s">
        <v>1255</v>
      </c>
      <c r="F1070" s="22">
        <v>1198251600</v>
      </c>
      <c r="G1070" s="22">
        <v>20</v>
      </c>
      <c r="H1070" s="22" t="s">
        <v>3082</v>
      </c>
    </row>
    <row r="1071" spans="1:8" x14ac:dyDescent="0.35">
      <c r="A1071" s="22" t="s">
        <v>851</v>
      </c>
      <c r="B1071" s="22" t="str">
        <f>"02399"</f>
        <v>02399</v>
      </c>
      <c r="C1071" s="22" t="str">
        <f t="shared" si="16"/>
        <v>'2399.HK'</v>
      </c>
      <c r="D1071" s="22" t="s">
        <v>3083</v>
      </c>
      <c r="E1071" s="22" t="s">
        <v>889</v>
      </c>
      <c r="F1071" s="22">
        <v>1194489720</v>
      </c>
      <c r="G1071" s="22">
        <v>5</v>
      </c>
      <c r="H1071" s="22" t="s">
        <v>3084</v>
      </c>
    </row>
    <row r="1072" spans="1:8" x14ac:dyDescent="0.35">
      <c r="A1072" s="22" t="s">
        <v>851</v>
      </c>
      <c r="B1072" s="22" t="str">
        <f>"02166"</f>
        <v>02166</v>
      </c>
      <c r="C1072" s="22" t="str">
        <f t="shared" si="16"/>
        <v>'2166.HK'</v>
      </c>
      <c r="D1072" s="22" t="s">
        <v>3085</v>
      </c>
      <c r="E1072" s="22" t="s">
        <v>1040</v>
      </c>
      <c r="F1072" s="22">
        <v>1192381713.2</v>
      </c>
      <c r="G1072" s="22">
        <v>7</v>
      </c>
      <c r="H1072" s="22" t="s">
        <v>3086</v>
      </c>
    </row>
    <row r="1073" spans="1:8" x14ac:dyDescent="0.35">
      <c r="A1073" s="22" t="s">
        <v>851</v>
      </c>
      <c r="B1073" s="22" t="str">
        <f>"00733"</f>
        <v>00733</v>
      </c>
      <c r="C1073" s="22" t="str">
        <f t="shared" si="16"/>
        <v>'0733.HK'</v>
      </c>
      <c r="D1073" s="22" t="s">
        <v>3087</v>
      </c>
      <c r="E1073" s="22" t="s">
        <v>1025</v>
      </c>
      <c r="F1073" s="22">
        <v>1186503980.6400001</v>
      </c>
      <c r="G1073" s="22">
        <v>26</v>
      </c>
      <c r="H1073" s="22" t="s">
        <v>3088</v>
      </c>
    </row>
    <row r="1074" spans="1:8" x14ac:dyDescent="0.35">
      <c r="A1074" s="22" t="s">
        <v>851</v>
      </c>
      <c r="B1074" s="22" t="str">
        <f>"02488"</f>
        <v>02488</v>
      </c>
      <c r="C1074" s="22" t="str">
        <f t="shared" si="16"/>
        <v>'2488.HK'</v>
      </c>
      <c r="D1074" s="22" t="s">
        <v>3089</v>
      </c>
      <c r="E1074" s="22" t="s">
        <v>1122</v>
      </c>
      <c r="F1074" s="22">
        <v>1184273484</v>
      </c>
      <c r="G1074" s="22">
        <v>8</v>
      </c>
      <c r="H1074" s="22" t="s">
        <v>3090</v>
      </c>
    </row>
    <row r="1075" spans="1:8" x14ac:dyDescent="0.35">
      <c r="A1075" s="22" t="s">
        <v>851</v>
      </c>
      <c r="B1075" s="22" t="str">
        <f>"00582"</f>
        <v>00582</v>
      </c>
      <c r="C1075" s="22" t="str">
        <f t="shared" si="16"/>
        <v>'0582.HK'</v>
      </c>
      <c r="D1075" s="22" t="s">
        <v>3091</v>
      </c>
      <c r="E1075" s="22" t="s">
        <v>1070</v>
      </c>
      <c r="F1075" s="22">
        <v>1183350646.8</v>
      </c>
      <c r="G1075" s="22">
        <v>6</v>
      </c>
      <c r="H1075" s="22" t="s">
        <v>3092</v>
      </c>
    </row>
    <row r="1076" spans="1:8" x14ac:dyDescent="0.35">
      <c r="A1076" s="22" t="s">
        <v>851</v>
      </c>
      <c r="B1076" s="22" t="str">
        <f>"01748"</f>
        <v>01748</v>
      </c>
      <c r="C1076" s="22" t="str">
        <f t="shared" si="16"/>
        <v>'1748.HK'</v>
      </c>
      <c r="D1076" s="22" t="s">
        <v>3093</v>
      </c>
      <c r="E1076" s="22" t="s">
        <v>1047</v>
      </c>
      <c r="F1076" s="22">
        <v>1179200000</v>
      </c>
      <c r="G1076" s="22">
        <v>4</v>
      </c>
      <c r="H1076" s="22" t="s">
        <v>3094</v>
      </c>
    </row>
    <row r="1077" spans="1:8" x14ac:dyDescent="0.35">
      <c r="A1077" s="22" t="s">
        <v>851</v>
      </c>
      <c r="B1077" s="22" t="str">
        <f>"01168"</f>
        <v>01168</v>
      </c>
      <c r="C1077" s="22" t="str">
        <f t="shared" si="16"/>
        <v>'1168.HK'</v>
      </c>
      <c r="D1077" s="22" t="s">
        <v>3095</v>
      </c>
      <c r="E1077" s="22" t="s">
        <v>1028</v>
      </c>
      <c r="F1077" s="22">
        <v>1179190572.76</v>
      </c>
      <c r="G1077" s="22">
        <v>10</v>
      </c>
      <c r="H1077" s="22" t="s">
        <v>3096</v>
      </c>
    </row>
    <row r="1078" spans="1:8" x14ac:dyDescent="0.35">
      <c r="A1078" s="22" t="s">
        <v>851</v>
      </c>
      <c r="B1078" s="22" t="str">
        <f>"08391"</f>
        <v>08391</v>
      </c>
      <c r="C1078" s="22" t="str">
        <f t="shared" si="16"/>
        <v>'8391.HK'</v>
      </c>
      <c r="D1078" s="22" t="s">
        <v>3097</v>
      </c>
      <c r="E1078" s="22" t="s">
        <v>2259</v>
      </c>
      <c r="F1078" s="22">
        <v>1179186238.4000001</v>
      </c>
      <c r="G1078" s="22">
        <v>2</v>
      </c>
      <c r="H1078" s="22" t="s">
        <v>3098</v>
      </c>
    </row>
    <row r="1079" spans="1:8" x14ac:dyDescent="0.35">
      <c r="A1079" s="22" t="s">
        <v>851</v>
      </c>
      <c r="B1079" s="22" t="str">
        <f>"01738"</f>
        <v>01738</v>
      </c>
      <c r="C1079" s="22" t="str">
        <f t="shared" si="16"/>
        <v>'1738.HK'</v>
      </c>
      <c r="D1079" s="22" t="s">
        <v>3099</v>
      </c>
      <c r="E1079" s="22" t="s">
        <v>904</v>
      </c>
      <c r="F1079" s="22">
        <v>1173463930</v>
      </c>
      <c r="G1079" s="22">
        <v>2</v>
      </c>
      <c r="H1079" s="22" t="s">
        <v>3100</v>
      </c>
    </row>
    <row r="1080" spans="1:8" x14ac:dyDescent="0.35">
      <c r="A1080" s="22" t="s">
        <v>851</v>
      </c>
      <c r="B1080" s="22" t="str">
        <f>"00367"</f>
        <v>00367</v>
      </c>
      <c r="C1080" s="22" t="str">
        <f t="shared" si="16"/>
        <v>'0367.HK'</v>
      </c>
      <c r="D1080" s="22" t="s">
        <v>3101</v>
      </c>
      <c r="E1080" s="22" t="s">
        <v>924</v>
      </c>
      <c r="F1080" s="22">
        <v>1170787172.8</v>
      </c>
      <c r="G1080" s="22">
        <v>13</v>
      </c>
      <c r="H1080" s="22" t="s">
        <v>3102</v>
      </c>
    </row>
    <row r="1081" spans="1:8" x14ac:dyDescent="0.35">
      <c r="A1081" s="22" t="s">
        <v>851</v>
      </c>
      <c r="B1081" s="22" t="str">
        <f>"00938"</f>
        <v>00938</v>
      </c>
      <c r="C1081" s="22" t="str">
        <f t="shared" si="16"/>
        <v>'0938.HK'</v>
      </c>
      <c r="D1081" s="22" t="s">
        <v>3103</v>
      </c>
      <c r="E1081" s="22" t="s">
        <v>924</v>
      </c>
      <c r="F1081" s="22">
        <v>1164957471</v>
      </c>
      <c r="G1081" s="22">
        <v>8</v>
      </c>
      <c r="H1081" s="22" t="s">
        <v>3104</v>
      </c>
    </row>
    <row r="1082" spans="1:8" x14ac:dyDescent="0.35">
      <c r="A1082" s="22" t="s">
        <v>851</v>
      </c>
      <c r="B1082" s="22" t="str">
        <f>"01115"</f>
        <v>01115</v>
      </c>
      <c r="C1082" s="22" t="str">
        <f t="shared" si="16"/>
        <v>'1115.HK'</v>
      </c>
      <c r="D1082" s="22" t="s">
        <v>3105</v>
      </c>
      <c r="E1082" s="22" t="s">
        <v>892</v>
      </c>
      <c r="F1082" s="22">
        <v>1162568580</v>
      </c>
      <c r="G1082" s="22">
        <v>11</v>
      </c>
      <c r="H1082" s="22" t="s">
        <v>3106</v>
      </c>
    </row>
    <row r="1083" spans="1:8" x14ac:dyDescent="0.35">
      <c r="A1083" s="22" t="s">
        <v>851</v>
      </c>
      <c r="B1083" s="22" t="str">
        <f>"00635"</f>
        <v>00635</v>
      </c>
      <c r="C1083" s="22" t="str">
        <f t="shared" si="16"/>
        <v>'0635.HK'</v>
      </c>
      <c r="D1083" s="22" t="s">
        <v>3107</v>
      </c>
      <c r="E1083" s="22" t="s">
        <v>1446</v>
      </c>
      <c r="F1083" s="22">
        <v>1162000000</v>
      </c>
      <c r="G1083" s="22">
        <v>17</v>
      </c>
      <c r="H1083" s="22" t="s">
        <v>3108</v>
      </c>
    </row>
    <row r="1084" spans="1:8" x14ac:dyDescent="0.35">
      <c r="A1084" s="22" t="s">
        <v>851</v>
      </c>
      <c r="B1084" s="22" t="str">
        <f>"00057"</f>
        <v>00057</v>
      </c>
      <c r="C1084" s="22" t="str">
        <f t="shared" si="16"/>
        <v>'0057.HK'</v>
      </c>
      <c r="D1084" s="22" t="s">
        <v>3109</v>
      </c>
      <c r="E1084" s="22" t="s">
        <v>1224</v>
      </c>
      <c r="F1084" s="22">
        <v>1160178144</v>
      </c>
      <c r="G1084" s="22">
        <v>21</v>
      </c>
      <c r="H1084" s="22" t="s">
        <v>3110</v>
      </c>
    </row>
    <row r="1085" spans="1:8" x14ac:dyDescent="0.35">
      <c r="A1085" s="22" t="s">
        <v>851</v>
      </c>
      <c r="B1085" s="22" t="str">
        <f>"00952"</f>
        <v>00952</v>
      </c>
      <c r="C1085" s="22" t="str">
        <f t="shared" si="16"/>
        <v>'0952.HK'</v>
      </c>
      <c r="D1085" s="22" t="s">
        <v>3111</v>
      </c>
      <c r="E1085" s="22" t="s">
        <v>1130</v>
      </c>
      <c r="F1085" s="22">
        <v>1158848204.1400001</v>
      </c>
      <c r="G1085" s="22">
        <v>7</v>
      </c>
      <c r="H1085" s="22" t="s">
        <v>3112</v>
      </c>
    </row>
    <row r="1086" spans="1:8" x14ac:dyDescent="0.35">
      <c r="A1086" s="22" t="s">
        <v>851</v>
      </c>
      <c r="B1086" s="22" t="str">
        <f>"00306"</f>
        <v>00306</v>
      </c>
      <c r="C1086" s="22" t="str">
        <f t="shared" si="16"/>
        <v>'0306.HK'</v>
      </c>
      <c r="D1086" s="22" t="s">
        <v>3113</v>
      </c>
      <c r="E1086" s="22" t="s">
        <v>948</v>
      </c>
      <c r="F1086" s="22">
        <v>1158567726.0599999</v>
      </c>
      <c r="G1086" s="22">
        <v>7</v>
      </c>
      <c r="H1086" s="22" t="s">
        <v>3114</v>
      </c>
    </row>
    <row r="1087" spans="1:8" x14ac:dyDescent="0.35">
      <c r="A1087" s="22" t="s">
        <v>851</v>
      </c>
      <c r="B1087" s="22" t="str">
        <f>"01499"</f>
        <v>01499</v>
      </c>
      <c r="C1087" s="22" t="str">
        <f t="shared" si="16"/>
        <v>'1499.HK'</v>
      </c>
      <c r="D1087" s="22" t="s">
        <v>3115</v>
      </c>
      <c r="E1087" s="22" t="s">
        <v>1634</v>
      </c>
      <c r="F1087" s="22">
        <v>1154659650</v>
      </c>
      <c r="G1087" s="22">
        <v>5</v>
      </c>
      <c r="H1087" s="22" t="s">
        <v>3116</v>
      </c>
    </row>
    <row r="1088" spans="1:8" x14ac:dyDescent="0.35">
      <c r="A1088" s="22" t="s">
        <v>851</v>
      </c>
      <c r="B1088" s="22" t="str">
        <f>"00848"</f>
        <v>00848</v>
      </c>
      <c r="C1088" s="22" t="str">
        <f t="shared" si="16"/>
        <v>'0848.HK'</v>
      </c>
      <c r="D1088" s="22" t="s">
        <v>3117</v>
      </c>
      <c r="E1088" s="22" t="s">
        <v>1485</v>
      </c>
      <c r="F1088" s="22">
        <v>1151433024</v>
      </c>
      <c r="G1088" s="22">
        <v>41</v>
      </c>
      <c r="H1088" s="22" t="s">
        <v>3118</v>
      </c>
    </row>
    <row r="1089" spans="1:8" x14ac:dyDescent="0.35">
      <c r="A1089" s="22" t="s">
        <v>851</v>
      </c>
      <c r="B1089" s="22" t="str">
        <f>"00089"</f>
        <v>00089</v>
      </c>
      <c r="C1089" s="22" t="str">
        <f t="shared" si="16"/>
        <v>'0089.HK'</v>
      </c>
      <c r="D1089" s="22" t="s">
        <v>3119</v>
      </c>
      <c r="E1089" s="22" t="s">
        <v>1028</v>
      </c>
      <c r="F1089" s="22">
        <v>1147802007.24</v>
      </c>
      <c r="G1089" s="22">
        <v>24</v>
      </c>
      <c r="H1089" s="22" t="s">
        <v>3120</v>
      </c>
    </row>
    <row r="1090" spans="1:8" x14ac:dyDescent="0.35">
      <c r="A1090" s="22" t="s">
        <v>851</v>
      </c>
      <c r="B1090" s="22" t="str">
        <f>"00769"</f>
        <v>00769</v>
      </c>
      <c r="C1090" s="22" t="str">
        <f t="shared" si="16"/>
        <v>'0769.HK'</v>
      </c>
      <c r="D1090" s="22" t="s">
        <v>3121</v>
      </c>
      <c r="E1090" s="22" t="s">
        <v>1060</v>
      </c>
      <c r="F1090" s="22">
        <v>1147433137.6900001</v>
      </c>
      <c r="G1090" s="22">
        <v>27</v>
      </c>
      <c r="H1090" s="22" t="s">
        <v>3122</v>
      </c>
    </row>
    <row r="1091" spans="1:8" x14ac:dyDescent="0.35">
      <c r="A1091" s="22" t="s">
        <v>851</v>
      </c>
      <c r="B1091" s="22" t="str">
        <f>"00393"</f>
        <v>00393</v>
      </c>
      <c r="C1091" s="22" t="str">
        <f t="shared" ref="C1091:C1146" si="17">CONCATENATE("'",RIGHT(B1091,4),".HK'")</f>
        <v>'0393.HK'</v>
      </c>
      <c r="D1091" s="22" t="s">
        <v>3123</v>
      </c>
      <c r="E1091" s="22" t="s">
        <v>889</v>
      </c>
      <c r="F1091" s="22">
        <v>1145988000</v>
      </c>
      <c r="G1091" s="22">
        <v>7</v>
      </c>
      <c r="H1091" s="22" t="s">
        <v>3124</v>
      </c>
    </row>
    <row r="1092" spans="1:8" x14ac:dyDescent="0.35">
      <c r="A1092" s="22" t="s">
        <v>851</v>
      </c>
      <c r="B1092" s="22" t="str">
        <f>"01782"</f>
        <v>01782</v>
      </c>
      <c r="C1092" s="22" t="str">
        <f t="shared" si="17"/>
        <v>'1782.HK'</v>
      </c>
      <c r="D1092" s="22" t="s">
        <v>3125</v>
      </c>
      <c r="E1092" s="22" t="s">
        <v>1202</v>
      </c>
      <c r="F1092" s="22">
        <v>1143000000</v>
      </c>
      <c r="G1092" s="22">
        <v>1</v>
      </c>
      <c r="H1092" s="22" t="s">
        <v>3126</v>
      </c>
    </row>
    <row r="1093" spans="1:8" x14ac:dyDescent="0.35">
      <c r="A1093" s="22" t="s">
        <v>851</v>
      </c>
      <c r="B1093" s="22" t="str">
        <f>"03337"</f>
        <v>03337</v>
      </c>
      <c r="C1093" s="22" t="str">
        <f t="shared" si="17"/>
        <v>'3337.HK'</v>
      </c>
      <c r="D1093" s="22" t="s">
        <v>3127</v>
      </c>
      <c r="E1093" s="22" t="s">
        <v>1294</v>
      </c>
      <c r="F1093" s="22">
        <v>1142496544.9000001</v>
      </c>
      <c r="G1093" s="22">
        <v>21</v>
      </c>
      <c r="H1093" s="22" t="s">
        <v>3128</v>
      </c>
    </row>
    <row r="1094" spans="1:8" x14ac:dyDescent="0.35">
      <c r="A1094" s="22" t="s">
        <v>851</v>
      </c>
      <c r="B1094" s="22" t="str">
        <f>"01349"</f>
        <v>01349</v>
      </c>
      <c r="C1094" s="22" t="str">
        <f t="shared" si="17"/>
        <v>'1349.HK'</v>
      </c>
      <c r="D1094" s="22" t="s">
        <v>3129</v>
      </c>
      <c r="E1094" s="22" t="s">
        <v>941</v>
      </c>
      <c r="F1094" s="22">
        <v>1141000000</v>
      </c>
      <c r="G1094" s="22">
        <v>58</v>
      </c>
      <c r="H1094" s="22" t="s">
        <v>3130</v>
      </c>
    </row>
    <row r="1095" spans="1:8" x14ac:dyDescent="0.35">
      <c r="A1095" s="22" t="s">
        <v>851</v>
      </c>
      <c r="B1095" s="22" t="str">
        <f>"00228"</f>
        <v>00228</v>
      </c>
      <c r="C1095" s="22" t="str">
        <f t="shared" si="17"/>
        <v>'0228.HK'</v>
      </c>
      <c r="D1095" s="22" t="s">
        <v>3131</v>
      </c>
      <c r="E1095" s="22" t="s">
        <v>883</v>
      </c>
      <c r="F1095" s="22">
        <v>1140641280</v>
      </c>
      <c r="G1095" s="22">
        <v>3</v>
      </c>
      <c r="H1095" s="22" t="s">
        <v>3132</v>
      </c>
    </row>
    <row r="1096" spans="1:8" x14ac:dyDescent="0.35">
      <c r="A1096" s="22" t="s">
        <v>851</v>
      </c>
      <c r="B1096" s="22" t="str">
        <f>"01982"</f>
        <v>01982</v>
      </c>
      <c r="C1096" s="22" t="str">
        <f t="shared" si="17"/>
        <v>'1982.HK'</v>
      </c>
      <c r="D1096" s="22" t="s">
        <v>3133</v>
      </c>
      <c r="E1096" s="22" t="s">
        <v>889</v>
      </c>
      <c r="F1096" s="22">
        <v>1139696000</v>
      </c>
      <c r="G1096" s="22">
        <v>8</v>
      </c>
      <c r="H1096" s="22" t="s">
        <v>3134</v>
      </c>
    </row>
    <row r="1097" spans="1:8" x14ac:dyDescent="0.35">
      <c r="A1097" s="22" t="s">
        <v>851</v>
      </c>
      <c r="B1097" s="22" t="str">
        <f>"01488"</f>
        <v>01488</v>
      </c>
      <c r="C1097" s="22" t="str">
        <f t="shared" si="17"/>
        <v>'1488.HK'</v>
      </c>
      <c r="D1097" s="22" t="s">
        <v>3135</v>
      </c>
      <c r="E1097" s="22" t="s">
        <v>981</v>
      </c>
      <c r="F1097" s="22">
        <v>1136638080</v>
      </c>
      <c r="G1097" s="22">
        <v>6</v>
      </c>
      <c r="H1097" s="22" t="s">
        <v>3136</v>
      </c>
    </row>
    <row r="1098" spans="1:8" x14ac:dyDescent="0.35">
      <c r="A1098" s="22" t="s">
        <v>851</v>
      </c>
      <c r="B1098" s="22" t="str">
        <f>"01741"</f>
        <v>01741</v>
      </c>
      <c r="C1098" s="22" t="str">
        <f t="shared" si="17"/>
        <v>'1741.HK'</v>
      </c>
      <c r="D1098" s="22" t="s">
        <v>3137</v>
      </c>
      <c r="E1098" s="22" t="s">
        <v>1634</v>
      </c>
      <c r="F1098" s="22">
        <v>1128000000</v>
      </c>
      <c r="G1098" s="22">
        <v>2</v>
      </c>
      <c r="H1098" s="22" t="s">
        <v>3138</v>
      </c>
    </row>
    <row r="1099" spans="1:8" x14ac:dyDescent="0.35">
      <c r="A1099" s="22" t="s">
        <v>851</v>
      </c>
      <c r="B1099" s="22" t="str">
        <f>"07836"</f>
        <v>07836</v>
      </c>
      <c r="C1099" s="22" t="str">
        <f t="shared" si="17"/>
        <v>'7836.HK'</v>
      </c>
      <c r="D1099" s="22" t="s">
        <v>3139</v>
      </c>
      <c r="F1099" s="22">
        <v>1125731250</v>
      </c>
      <c r="G1099" s="22">
        <v>0</v>
      </c>
      <c r="H1099" s="22" t="s">
        <v>3140</v>
      </c>
    </row>
    <row r="1100" spans="1:8" x14ac:dyDescent="0.35">
      <c r="A1100" s="22" t="s">
        <v>851</v>
      </c>
      <c r="B1100" s="22" t="str">
        <f>"02798"</f>
        <v>02798</v>
      </c>
      <c r="C1100" s="22" t="str">
        <f t="shared" si="17"/>
        <v>'2798.HK'</v>
      </c>
      <c r="D1100" s="22" t="s">
        <v>3141</v>
      </c>
      <c r="E1100" s="22" t="s">
        <v>904</v>
      </c>
      <c r="F1100" s="22">
        <v>1120000000</v>
      </c>
      <c r="G1100" s="22">
        <v>9</v>
      </c>
      <c r="H1100" s="22" t="s">
        <v>3142</v>
      </c>
    </row>
    <row r="1101" spans="1:8" x14ac:dyDescent="0.35">
      <c r="A1101" s="22" t="s">
        <v>851</v>
      </c>
      <c r="B1101" s="22" t="str">
        <f>"03688"</f>
        <v>03688</v>
      </c>
      <c r="C1101" s="22" t="str">
        <f t="shared" si="17"/>
        <v>'3688.HK'</v>
      </c>
      <c r="D1101" s="22" t="s">
        <v>3143</v>
      </c>
      <c r="E1101" s="22" t="s">
        <v>1028</v>
      </c>
      <c r="F1101" s="22">
        <v>1116058628.3900001</v>
      </c>
      <c r="G1101" s="22">
        <v>28</v>
      </c>
      <c r="H1101" s="22" t="s">
        <v>3144</v>
      </c>
    </row>
    <row r="1102" spans="1:8" x14ac:dyDescent="0.35">
      <c r="A1102" s="22" t="s">
        <v>851</v>
      </c>
      <c r="B1102" s="22" t="str">
        <f>"00420"</f>
        <v>00420</v>
      </c>
      <c r="C1102" s="22" t="str">
        <f t="shared" si="17"/>
        <v>'0420.HK'</v>
      </c>
      <c r="D1102" s="22" t="s">
        <v>3145</v>
      </c>
      <c r="E1102" s="22" t="s">
        <v>1914</v>
      </c>
      <c r="F1102" s="22">
        <v>1114774533.5999999</v>
      </c>
      <c r="G1102" s="22">
        <v>15</v>
      </c>
      <c r="H1102" s="22" t="s">
        <v>3146</v>
      </c>
    </row>
    <row r="1103" spans="1:8" x14ac:dyDescent="0.35">
      <c r="A1103" s="22" t="s">
        <v>851</v>
      </c>
      <c r="B1103" s="22" t="str">
        <f>"00201"</f>
        <v>00201</v>
      </c>
      <c r="C1103" s="22" t="str">
        <f t="shared" si="17"/>
        <v>'0201.HK'</v>
      </c>
      <c r="D1103" s="22" t="s">
        <v>3147</v>
      </c>
      <c r="E1103" s="22" t="s">
        <v>1070</v>
      </c>
      <c r="F1103" s="22">
        <v>1109434364.1760001</v>
      </c>
      <c r="G1103" s="22">
        <v>8</v>
      </c>
      <c r="H1103" s="22" t="s">
        <v>3148</v>
      </c>
    </row>
    <row r="1104" spans="1:8" x14ac:dyDescent="0.35">
      <c r="A1104" s="22" t="s">
        <v>851</v>
      </c>
      <c r="B1104" s="22" t="str">
        <f>"00157"</f>
        <v>00157</v>
      </c>
      <c r="C1104" s="22" t="str">
        <f t="shared" si="17"/>
        <v>'0157.HK'</v>
      </c>
      <c r="D1104" s="22" t="s">
        <v>3149</v>
      </c>
      <c r="E1104" s="22" t="s">
        <v>1002</v>
      </c>
      <c r="F1104" s="22">
        <v>1101155512.5999999</v>
      </c>
      <c r="G1104" s="22">
        <v>12</v>
      </c>
      <c r="H1104" s="22" t="s">
        <v>3150</v>
      </c>
    </row>
    <row r="1105" spans="1:8" x14ac:dyDescent="0.35">
      <c r="A1105" s="22" t="s">
        <v>851</v>
      </c>
      <c r="B1105" s="22" t="str">
        <f>"03658"</f>
        <v>03658</v>
      </c>
      <c r="C1105" s="22" t="str">
        <f t="shared" si="17"/>
        <v>'3658.HK'</v>
      </c>
      <c r="D1105" s="22" t="s">
        <v>3151</v>
      </c>
      <c r="E1105" s="22" t="s">
        <v>1104</v>
      </c>
      <c r="F1105" s="22">
        <v>1099070100</v>
      </c>
      <c r="G1105" s="22">
        <v>13</v>
      </c>
      <c r="H1105" s="22" t="s">
        <v>3152</v>
      </c>
    </row>
    <row r="1106" spans="1:8" x14ac:dyDescent="0.35">
      <c r="A1106" s="22" t="s">
        <v>851</v>
      </c>
      <c r="B1106" s="22" t="str">
        <f>"08037"</f>
        <v>08037</v>
      </c>
      <c r="C1106" s="22" t="str">
        <f t="shared" si="17"/>
        <v>'8037.HK'</v>
      </c>
      <c r="D1106" s="22" t="s">
        <v>3153</v>
      </c>
      <c r="E1106" s="22" t="s">
        <v>1362</v>
      </c>
      <c r="F1106" s="22">
        <v>1098083511</v>
      </c>
      <c r="G1106" s="22">
        <v>5</v>
      </c>
      <c r="H1106" s="22" t="s">
        <v>3154</v>
      </c>
    </row>
    <row r="1107" spans="1:8" x14ac:dyDescent="0.35">
      <c r="A1107" s="22" t="s">
        <v>851</v>
      </c>
      <c r="B1107" s="22" t="str">
        <f>"03680"</f>
        <v>03680</v>
      </c>
      <c r="C1107" s="22" t="str">
        <f t="shared" si="17"/>
        <v>'3680.HK'</v>
      </c>
      <c r="D1107" s="22" t="s">
        <v>3155</v>
      </c>
      <c r="E1107" s="22" t="s">
        <v>1202</v>
      </c>
      <c r="F1107" s="22">
        <v>1088268523.8800001</v>
      </c>
      <c r="G1107" s="22">
        <v>5</v>
      </c>
      <c r="H1107" s="22" t="s">
        <v>3156</v>
      </c>
    </row>
    <row r="1108" spans="1:8" x14ac:dyDescent="0.35">
      <c r="A1108" s="22" t="s">
        <v>851</v>
      </c>
      <c r="B1108" s="22" t="str">
        <f>"02738"</f>
        <v>02738</v>
      </c>
      <c r="C1108" s="22" t="str">
        <f t="shared" si="17"/>
        <v>'2738.HK'</v>
      </c>
      <c r="D1108" s="22" t="s">
        <v>3157</v>
      </c>
      <c r="E1108" s="22" t="s">
        <v>1579</v>
      </c>
      <c r="F1108" s="22">
        <v>1086000000</v>
      </c>
      <c r="G1108" s="22">
        <v>3</v>
      </c>
      <c r="H1108" s="22" t="s">
        <v>3158</v>
      </c>
    </row>
    <row r="1109" spans="1:8" x14ac:dyDescent="0.35">
      <c r="A1109" s="22" t="s">
        <v>851</v>
      </c>
      <c r="B1109" s="22" t="str">
        <f>"01965"</f>
        <v>01965</v>
      </c>
      <c r="C1109" s="22" t="str">
        <f t="shared" si="17"/>
        <v>'1965.HK'</v>
      </c>
      <c r="D1109" s="22" t="s">
        <v>3159</v>
      </c>
      <c r="E1109" s="22" t="s">
        <v>1104</v>
      </c>
      <c r="F1109" s="22">
        <v>1080311950</v>
      </c>
      <c r="G1109" s="22">
        <v>10</v>
      </c>
      <c r="H1109" s="22" t="s">
        <v>3160</v>
      </c>
    </row>
    <row r="1110" spans="1:8" x14ac:dyDescent="0.35">
      <c r="A1110" s="22" t="s">
        <v>851</v>
      </c>
      <c r="B1110" s="22" t="str">
        <f>"02302"</f>
        <v>02302</v>
      </c>
      <c r="C1110" s="22" t="str">
        <f t="shared" si="17"/>
        <v>'2302.HK'</v>
      </c>
      <c r="D1110" s="22" t="s">
        <v>3161</v>
      </c>
      <c r="E1110" s="22" t="s">
        <v>1060</v>
      </c>
      <c r="F1110" s="22">
        <v>1076170277.5999999</v>
      </c>
      <c r="G1110" s="22">
        <v>15</v>
      </c>
      <c r="H1110" s="22" t="s">
        <v>3162</v>
      </c>
    </row>
    <row r="1111" spans="1:8" x14ac:dyDescent="0.35">
      <c r="A1111" s="22" t="s">
        <v>851</v>
      </c>
      <c r="B1111" s="22" t="str">
        <f>"03303"</f>
        <v>03303</v>
      </c>
      <c r="C1111" s="22" t="str">
        <f t="shared" si="17"/>
        <v>'3303.HK'</v>
      </c>
      <c r="D1111" s="22" t="s">
        <v>3163</v>
      </c>
      <c r="E1111" s="22" t="s">
        <v>1294</v>
      </c>
      <c r="F1111" s="22">
        <v>1070063130.0599999</v>
      </c>
      <c r="G1111" s="22">
        <v>4</v>
      </c>
      <c r="H1111" s="22" t="s">
        <v>3164</v>
      </c>
    </row>
    <row r="1112" spans="1:8" x14ac:dyDescent="0.35">
      <c r="A1112" s="22" t="s">
        <v>851</v>
      </c>
      <c r="B1112" s="22" t="str">
        <f>"00082"</f>
        <v>00082</v>
      </c>
      <c r="C1112" s="22" t="str">
        <f t="shared" si="17"/>
        <v>'0082.HK'</v>
      </c>
      <c r="D1112" s="22" t="s">
        <v>3165</v>
      </c>
      <c r="E1112" s="22" t="s">
        <v>910</v>
      </c>
      <c r="F1112" s="22">
        <v>1068167964.312</v>
      </c>
      <c r="G1112" s="22">
        <v>2</v>
      </c>
      <c r="H1112" s="22" t="s">
        <v>3166</v>
      </c>
    </row>
    <row r="1113" spans="1:8" x14ac:dyDescent="0.35">
      <c r="A1113" s="22" t="s">
        <v>851</v>
      </c>
      <c r="B1113" s="22" t="str">
        <f>"02329"</f>
        <v>02329</v>
      </c>
      <c r="C1113" s="22" t="str">
        <f t="shared" si="17"/>
        <v>'2329.HK'</v>
      </c>
      <c r="D1113" s="22" t="s">
        <v>3167</v>
      </c>
      <c r="E1113" s="22" t="s">
        <v>924</v>
      </c>
      <c r="F1113" s="22">
        <v>1066660316.64</v>
      </c>
      <c r="G1113" s="22">
        <v>35</v>
      </c>
      <c r="H1113" s="22" t="s">
        <v>3168</v>
      </c>
    </row>
    <row r="1114" spans="1:8" x14ac:dyDescent="0.35">
      <c r="A1114" s="22" t="s">
        <v>851</v>
      </c>
      <c r="B1114" s="22" t="str">
        <f>"00346"</f>
        <v>00346</v>
      </c>
      <c r="C1114" s="22" t="str">
        <f t="shared" si="17"/>
        <v>'0346.HK'</v>
      </c>
      <c r="D1114" s="22" t="s">
        <v>3169</v>
      </c>
      <c r="E1114" s="22" t="s">
        <v>883</v>
      </c>
      <c r="F1114" s="22">
        <v>1063432710.5140001</v>
      </c>
      <c r="G1114" s="22">
        <v>5</v>
      </c>
      <c r="H1114" s="22" t="s">
        <v>3170</v>
      </c>
    </row>
    <row r="1115" spans="1:8" x14ac:dyDescent="0.35">
      <c r="A1115" s="22" t="s">
        <v>851</v>
      </c>
      <c r="B1115" s="22" t="str">
        <f>"01082"</f>
        <v>01082</v>
      </c>
      <c r="C1115" s="22" t="str">
        <f t="shared" si="17"/>
        <v>'1082.HK'</v>
      </c>
      <c r="D1115" s="22" t="s">
        <v>3171</v>
      </c>
      <c r="E1115" s="22" t="s">
        <v>1270</v>
      </c>
      <c r="F1115" s="22">
        <v>1061646966.4</v>
      </c>
      <c r="G1115" s="22">
        <v>2</v>
      </c>
      <c r="H1115" s="22" t="s">
        <v>3172</v>
      </c>
    </row>
    <row r="1116" spans="1:8" x14ac:dyDescent="0.35">
      <c r="A1116" s="22" t="s">
        <v>851</v>
      </c>
      <c r="B1116" s="22" t="str">
        <f>"01689"</f>
        <v>01689</v>
      </c>
      <c r="C1116" s="22" t="str">
        <f t="shared" si="17"/>
        <v>'1689.HK'</v>
      </c>
      <c r="D1116" s="22" t="s">
        <v>3173</v>
      </c>
      <c r="E1116" s="22" t="s">
        <v>2259</v>
      </c>
      <c r="F1116" s="22">
        <v>1059159300</v>
      </c>
      <c r="G1116" s="22">
        <v>4</v>
      </c>
      <c r="H1116" s="22" t="s">
        <v>3174</v>
      </c>
    </row>
    <row r="1117" spans="1:8" x14ac:dyDescent="0.35">
      <c r="A1117" s="22" t="s">
        <v>851</v>
      </c>
      <c r="B1117" s="22" t="str">
        <f>"01290"</f>
        <v>01290</v>
      </c>
      <c r="C1117" s="22" t="str">
        <f t="shared" si="17"/>
        <v>'1290.HK'</v>
      </c>
      <c r="D1117" s="22" t="s">
        <v>3175</v>
      </c>
      <c r="E1117" s="22" t="s">
        <v>1498</v>
      </c>
      <c r="F1117" s="22">
        <v>1057624950</v>
      </c>
      <c r="G1117" s="22">
        <v>3</v>
      </c>
      <c r="H1117" s="22" t="s">
        <v>3176</v>
      </c>
    </row>
    <row r="1118" spans="1:8" x14ac:dyDescent="0.35">
      <c r="A1118" s="22" t="s">
        <v>851</v>
      </c>
      <c r="B1118" s="22" t="str">
        <f>"00240"</f>
        <v>00240</v>
      </c>
      <c r="C1118" s="22" t="str">
        <f t="shared" si="17"/>
        <v>'0240.HK'</v>
      </c>
      <c r="D1118" s="22" t="s">
        <v>3177</v>
      </c>
      <c r="E1118" s="22" t="s">
        <v>1078</v>
      </c>
      <c r="F1118" s="22">
        <v>1055596293.2</v>
      </c>
      <c r="G1118" s="22">
        <v>19</v>
      </c>
      <c r="H1118" s="22" t="s">
        <v>3178</v>
      </c>
    </row>
    <row r="1119" spans="1:8" x14ac:dyDescent="0.35">
      <c r="A1119" s="22" t="s">
        <v>851</v>
      </c>
      <c r="B1119" s="22" t="str">
        <f>"01431"</f>
        <v>01431</v>
      </c>
      <c r="C1119" s="22" t="str">
        <f t="shared" si="17"/>
        <v>'1431.HK'</v>
      </c>
      <c r="D1119" s="22" t="s">
        <v>3179</v>
      </c>
      <c r="E1119" s="22" t="s">
        <v>1019</v>
      </c>
      <c r="F1119" s="22">
        <v>1055361690</v>
      </c>
      <c r="G1119" s="22">
        <v>9</v>
      </c>
      <c r="H1119" s="22" t="s">
        <v>3180</v>
      </c>
    </row>
    <row r="1120" spans="1:8" x14ac:dyDescent="0.35">
      <c r="A1120" s="22" t="s">
        <v>851</v>
      </c>
      <c r="B1120" s="22" t="str">
        <f>"01837"</f>
        <v>01837</v>
      </c>
      <c r="C1120" s="22" t="str">
        <f t="shared" si="17"/>
        <v>'1837.HK'</v>
      </c>
      <c r="D1120" s="22" t="s">
        <v>3181</v>
      </c>
      <c r="E1120" s="22" t="s">
        <v>1205</v>
      </c>
      <c r="F1120" s="22">
        <v>1050486720</v>
      </c>
      <c r="G1120" s="22">
        <v>19</v>
      </c>
      <c r="H1120" s="22" t="s">
        <v>3182</v>
      </c>
    </row>
    <row r="1121" spans="1:8" x14ac:dyDescent="0.35">
      <c r="A1121" s="22" t="s">
        <v>851</v>
      </c>
      <c r="B1121" s="22" t="str">
        <f>"02112"</f>
        <v>02112</v>
      </c>
      <c r="C1121" s="22" t="str">
        <f t="shared" si="17"/>
        <v>'2112.HK'</v>
      </c>
      <c r="D1121" s="22" t="s">
        <v>3183</v>
      </c>
      <c r="E1121" s="22" t="s">
        <v>1579</v>
      </c>
      <c r="F1121" s="22">
        <v>1050000000</v>
      </c>
      <c r="G1121" s="22">
        <v>2</v>
      </c>
      <c r="H1121" s="22" t="s">
        <v>3184</v>
      </c>
    </row>
    <row r="1122" spans="1:8" x14ac:dyDescent="0.35">
      <c r="A1122" s="22" t="s">
        <v>851</v>
      </c>
      <c r="B1122" s="22" t="str">
        <f>"02048"</f>
        <v>02048</v>
      </c>
      <c r="C1122" s="22" t="str">
        <f t="shared" si="17"/>
        <v>'2048.HK'</v>
      </c>
      <c r="D1122" s="22" t="s">
        <v>3185</v>
      </c>
      <c r="E1122" s="22" t="s">
        <v>1025</v>
      </c>
      <c r="F1122" s="22">
        <v>1049435718</v>
      </c>
      <c r="G1122" s="22">
        <v>18</v>
      </c>
      <c r="H1122" s="22" t="s">
        <v>3186</v>
      </c>
    </row>
    <row r="1123" spans="1:8" x14ac:dyDescent="0.35">
      <c r="A1123" s="22" t="s">
        <v>851</v>
      </c>
      <c r="B1123" s="22" t="str">
        <f>"06805"</f>
        <v>06805</v>
      </c>
      <c r="C1123" s="22" t="str">
        <f t="shared" si="17"/>
        <v>'6805.HK'</v>
      </c>
      <c r="D1123" s="22" t="s">
        <v>3187</v>
      </c>
      <c r="E1123" s="22" t="s">
        <v>1301</v>
      </c>
      <c r="F1123" s="22">
        <v>1046233160</v>
      </c>
      <c r="G1123" s="22">
        <v>2</v>
      </c>
      <c r="H1123" s="22" t="s">
        <v>3188</v>
      </c>
    </row>
    <row r="1124" spans="1:8" x14ac:dyDescent="0.35">
      <c r="A1124" s="22" t="s">
        <v>851</v>
      </c>
      <c r="B1124" s="22" t="str">
        <f>"00993"</f>
        <v>00993</v>
      </c>
      <c r="C1124" s="22" t="str">
        <f t="shared" si="17"/>
        <v>'0993.HK'</v>
      </c>
      <c r="D1124" s="22" t="s">
        <v>3189</v>
      </c>
      <c r="E1124" s="22" t="s">
        <v>964</v>
      </c>
      <c r="F1124" s="22">
        <v>1045150321.3200001</v>
      </c>
      <c r="G1124" s="22">
        <v>6</v>
      </c>
      <c r="H1124" s="22" t="s">
        <v>3190</v>
      </c>
    </row>
    <row r="1125" spans="1:8" x14ac:dyDescent="0.35">
      <c r="A1125" s="22" t="s">
        <v>851</v>
      </c>
      <c r="B1125" s="22" t="str">
        <f>"01502"</f>
        <v>01502</v>
      </c>
      <c r="C1125" s="22" t="str">
        <f t="shared" si="17"/>
        <v>'1502.HK'</v>
      </c>
      <c r="D1125" s="22" t="s">
        <v>3191</v>
      </c>
      <c r="E1125" s="22" t="s">
        <v>1104</v>
      </c>
      <c r="F1125" s="22">
        <v>1042065000</v>
      </c>
      <c r="G1125" s="22">
        <v>26</v>
      </c>
      <c r="H1125" s="22" t="s">
        <v>3192</v>
      </c>
    </row>
    <row r="1126" spans="1:8" x14ac:dyDescent="0.35">
      <c r="A1126" s="22" t="s">
        <v>851</v>
      </c>
      <c r="B1126" s="22" t="str">
        <f>"01228"</f>
        <v>01228</v>
      </c>
      <c r="C1126" s="22" t="str">
        <f t="shared" si="17"/>
        <v>'1228.HK'</v>
      </c>
      <c r="D1126" s="22" t="s">
        <v>3193</v>
      </c>
      <c r="E1126" s="22" t="s">
        <v>941</v>
      </c>
      <c r="F1126" s="22">
        <v>1039392704</v>
      </c>
      <c r="G1126" s="22">
        <v>4</v>
      </c>
      <c r="H1126" s="22" t="s">
        <v>3194</v>
      </c>
    </row>
    <row r="1127" spans="1:8" x14ac:dyDescent="0.35">
      <c r="A1127" s="22" t="s">
        <v>851</v>
      </c>
      <c r="B1127" s="22" t="str">
        <f>"00498"</f>
        <v>00498</v>
      </c>
      <c r="C1127" s="22" t="str">
        <f t="shared" si="17"/>
        <v>'0498.HK'</v>
      </c>
      <c r="D1127" s="22" t="s">
        <v>3195</v>
      </c>
      <c r="E1127" s="22" t="s">
        <v>1634</v>
      </c>
      <c r="F1127" s="22">
        <v>1037681147.16</v>
      </c>
      <c r="G1127" s="22">
        <v>3</v>
      </c>
      <c r="H1127" s="22" t="s">
        <v>3196</v>
      </c>
    </row>
    <row r="1128" spans="1:8" x14ac:dyDescent="0.35">
      <c r="A1128" s="22" t="s">
        <v>851</v>
      </c>
      <c r="B1128" s="22" t="str">
        <f>"00374"</f>
        <v>00374</v>
      </c>
      <c r="C1128" s="22" t="str">
        <f t="shared" si="17"/>
        <v>'0374.HK'</v>
      </c>
      <c r="D1128" s="22" t="s">
        <v>3197</v>
      </c>
      <c r="E1128" s="22" t="s">
        <v>1205</v>
      </c>
      <c r="F1128" s="22">
        <v>1037495628</v>
      </c>
      <c r="G1128" s="22">
        <v>9</v>
      </c>
      <c r="H1128" s="22" t="s">
        <v>3198</v>
      </c>
    </row>
    <row r="1129" spans="1:8" x14ac:dyDescent="0.35">
      <c r="A1129" s="22" t="s">
        <v>851</v>
      </c>
      <c r="B1129" s="22" t="str">
        <f>"01086"</f>
        <v>01086</v>
      </c>
      <c r="C1129" s="22" t="str">
        <f t="shared" si="17"/>
        <v>'1086.HK'</v>
      </c>
      <c r="D1129" s="22" t="s">
        <v>3199</v>
      </c>
      <c r="E1129" s="22" t="s">
        <v>1429</v>
      </c>
      <c r="F1129" s="22">
        <v>1034179322.92</v>
      </c>
      <c r="G1129" s="22">
        <v>22</v>
      </c>
      <c r="H1129" s="22" t="s">
        <v>3200</v>
      </c>
    </row>
    <row r="1130" spans="1:8" x14ac:dyDescent="0.35">
      <c r="A1130" s="22" t="s">
        <v>851</v>
      </c>
      <c r="B1130" s="22" t="str">
        <f>"01786"</f>
        <v>01786</v>
      </c>
      <c r="C1130" s="22" t="str">
        <f t="shared" si="17"/>
        <v>'1786.HK'</v>
      </c>
      <c r="D1130" s="22" t="s">
        <v>3201</v>
      </c>
      <c r="E1130" s="22" t="s">
        <v>1395</v>
      </c>
      <c r="F1130" s="22">
        <v>1033521120</v>
      </c>
      <c r="G1130" s="22">
        <v>24</v>
      </c>
      <c r="H1130" s="22" t="s">
        <v>3202</v>
      </c>
    </row>
    <row r="1131" spans="1:8" x14ac:dyDescent="0.35">
      <c r="A1131" s="22" t="s">
        <v>851</v>
      </c>
      <c r="B1131" s="22" t="str">
        <f>"00471"</f>
        <v>00471</v>
      </c>
      <c r="C1131" s="22" t="str">
        <f t="shared" si="17"/>
        <v>'0471.HK'</v>
      </c>
      <c r="D1131" s="22" t="s">
        <v>3203</v>
      </c>
      <c r="E1131" s="22" t="s">
        <v>1013</v>
      </c>
      <c r="F1131" s="22">
        <v>1033047083.0599999</v>
      </c>
      <c r="G1131" s="22">
        <v>1</v>
      </c>
      <c r="H1131" s="22" t="s">
        <v>3204</v>
      </c>
    </row>
    <row r="1132" spans="1:8" x14ac:dyDescent="0.35">
      <c r="A1132" s="22" t="s">
        <v>851</v>
      </c>
      <c r="B1132" s="22" t="str">
        <f>"01125"</f>
        <v>01125</v>
      </c>
      <c r="C1132" s="22" t="str">
        <f t="shared" si="17"/>
        <v>'1125.HK'</v>
      </c>
      <c r="D1132" s="22" t="s">
        <v>3205</v>
      </c>
      <c r="E1132" s="22" t="s">
        <v>1028</v>
      </c>
      <c r="F1132" s="22">
        <v>1026203673.3</v>
      </c>
      <c r="G1132" s="22">
        <v>9</v>
      </c>
      <c r="H1132" s="22" t="s">
        <v>3206</v>
      </c>
    </row>
    <row r="1133" spans="1:8" x14ac:dyDescent="0.35">
      <c r="A1133" s="22" t="s">
        <v>851</v>
      </c>
      <c r="B1133" s="22" t="str">
        <f>"02170"</f>
        <v>02170</v>
      </c>
      <c r="C1133" s="22" t="str">
        <f t="shared" si="17"/>
        <v>'2170.HK'</v>
      </c>
      <c r="D1133" s="22" t="s">
        <v>3207</v>
      </c>
      <c r="E1133" s="22" t="s">
        <v>941</v>
      </c>
      <c r="F1133" s="22">
        <v>1025722500</v>
      </c>
      <c r="G1133" s="22">
        <v>14</v>
      </c>
      <c r="H1133" s="22" t="s">
        <v>3208</v>
      </c>
    </row>
    <row r="1134" spans="1:8" x14ac:dyDescent="0.35">
      <c r="A1134" s="22" t="s">
        <v>851</v>
      </c>
      <c r="B1134" s="22" t="str">
        <f>"00334"</f>
        <v>00334</v>
      </c>
      <c r="C1134" s="22" t="str">
        <f t="shared" si="17"/>
        <v>'0334.HK'</v>
      </c>
      <c r="D1134" s="22" t="s">
        <v>3209</v>
      </c>
      <c r="E1134" s="22" t="s">
        <v>1152</v>
      </c>
      <c r="F1134" s="22">
        <v>1025439345.5650001</v>
      </c>
      <c r="G1134" s="22">
        <v>10</v>
      </c>
      <c r="H1134" s="22" t="s">
        <v>3210</v>
      </c>
    </row>
    <row r="1135" spans="1:8" x14ac:dyDescent="0.35">
      <c r="A1135" s="22" t="s">
        <v>851</v>
      </c>
      <c r="B1135" s="22" t="str">
        <f>"00827"</f>
        <v>00827</v>
      </c>
      <c r="C1135" s="22" t="str">
        <f t="shared" si="17"/>
        <v>'0827.HK'</v>
      </c>
      <c r="D1135" s="22" t="s">
        <v>3211</v>
      </c>
      <c r="E1135" s="22" t="s">
        <v>1903</v>
      </c>
      <c r="F1135" s="22">
        <v>1024767241.83</v>
      </c>
      <c r="G1135" s="22">
        <v>2</v>
      </c>
      <c r="H1135" s="22" t="s">
        <v>3212</v>
      </c>
    </row>
    <row r="1136" spans="1:8" x14ac:dyDescent="0.35">
      <c r="A1136" s="22" t="s">
        <v>851</v>
      </c>
      <c r="B1136" s="22" t="str">
        <f>"00225"</f>
        <v>00225</v>
      </c>
      <c r="C1136" s="22" t="str">
        <f t="shared" si="17"/>
        <v>'0225.HK'</v>
      </c>
      <c r="D1136" s="22" t="s">
        <v>3213</v>
      </c>
      <c r="E1136" s="22" t="s">
        <v>1028</v>
      </c>
      <c r="F1136" s="22">
        <v>1024668280.5</v>
      </c>
      <c r="G1136" s="22">
        <v>10</v>
      </c>
      <c r="H1136" s="22" t="s">
        <v>3214</v>
      </c>
    </row>
    <row r="1137" spans="1:8" x14ac:dyDescent="0.35">
      <c r="A1137" s="22" t="s">
        <v>851</v>
      </c>
      <c r="B1137" s="22" t="str">
        <f>"00910"</f>
        <v>00910</v>
      </c>
      <c r="C1137" s="22" t="str">
        <f t="shared" si="17"/>
        <v>'0910.HK'</v>
      </c>
      <c r="D1137" s="22" t="s">
        <v>3215</v>
      </c>
      <c r="E1137" s="22" t="s">
        <v>924</v>
      </c>
      <c r="F1137" s="22">
        <v>1022729716.7460001</v>
      </c>
      <c r="G1137" s="22">
        <v>5</v>
      </c>
      <c r="H1137" s="22" t="s">
        <v>3216</v>
      </c>
    </row>
    <row r="1138" spans="1:8" x14ac:dyDescent="0.35">
      <c r="A1138" s="22" t="s">
        <v>851</v>
      </c>
      <c r="B1138" s="22" t="str">
        <f>"02309"</f>
        <v>02309</v>
      </c>
      <c r="C1138" s="22" t="str">
        <f t="shared" si="17"/>
        <v>'2309.HK'</v>
      </c>
      <c r="D1138" s="22" t="s">
        <v>3217</v>
      </c>
      <c r="E1138" s="22" t="s">
        <v>1744</v>
      </c>
      <c r="F1138" s="22">
        <v>1022316920.924</v>
      </c>
      <c r="G1138" s="22">
        <v>3</v>
      </c>
      <c r="H1138" s="22" t="s">
        <v>3218</v>
      </c>
    </row>
    <row r="1139" spans="1:8" x14ac:dyDescent="0.35">
      <c r="A1139" s="22" t="s">
        <v>851</v>
      </c>
      <c r="B1139" s="22" t="str">
        <f>"01756"</f>
        <v>01756</v>
      </c>
      <c r="C1139" s="22" t="str">
        <f t="shared" si="17"/>
        <v>'1756.HK'</v>
      </c>
      <c r="D1139" s="22" t="s">
        <v>3219</v>
      </c>
      <c r="E1139" s="22" t="s">
        <v>1270</v>
      </c>
      <c r="F1139" s="22">
        <v>1020000000</v>
      </c>
      <c r="G1139" s="22">
        <v>22</v>
      </c>
      <c r="H1139" s="22" t="s">
        <v>3220</v>
      </c>
    </row>
    <row r="1140" spans="1:8" x14ac:dyDescent="0.35">
      <c r="A1140" s="22" t="s">
        <v>851</v>
      </c>
      <c r="B1140" s="22" t="str">
        <f>"01652"</f>
        <v>01652</v>
      </c>
      <c r="C1140" s="22" t="str">
        <f t="shared" si="17"/>
        <v>'1652.HK'</v>
      </c>
      <c r="D1140" s="22" t="s">
        <v>3221</v>
      </c>
      <c r="E1140" s="22" t="s">
        <v>969</v>
      </c>
      <c r="F1140" s="22">
        <v>1016308260</v>
      </c>
      <c r="G1140" s="22">
        <v>5</v>
      </c>
      <c r="H1140" s="22" t="s">
        <v>3222</v>
      </c>
    </row>
    <row r="1141" spans="1:8" x14ac:dyDescent="0.35">
      <c r="A1141" s="22" t="s">
        <v>851</v>
      </c>
      <c r="B1141" s="22" t="str">
        <f>"00976"</f>
        <v>00976</v>
      </c>
      <c r="C1141" s="22" t="str">
        <f t="shared" si="17"/>
        <v>'0976.HK'</v>
      </c>
      <c r="D1141" s="22" t="s">
        <v>3223</v>
      </c>
      <c r="E1141" s="22" t="s">
        <v>1316</v>
      </c>
      <c r="F1141" s="22">
        <v>1011245943.33</v>
      </c>
      <c r="G1141" s="22">
        <v>19</v>
      </c>
      <c r="H1141" s="22" t="s">
        <v>3224</v>
      </c>
    </row>
    <row r="1142" spans="1:8" x14ac:dyDescent="0.35">
      <c r="A1142" s="22" t="s">
        <v>851</v>
      </c>
      <c r="B1142" s="22" t="str">
        <f>"00156"</f>
        <v>00156</v>
      </c>
      <c r="C1142" s="22" t="str">
        <f t="shared" si="17"/>
        <v>'0156.HK'</v>
      </c>
      <c r="D1142" s="22" t="s">
        <v>3225</v>
      </c>
      <c r="E1142" s="22" t="s">
        <v>981</v>
      </c>
      <c r="F1142" s="22">
        <v>1010560398.76</v>
      </c>
      <c r="G1142" s="22">
        <v>8</v>
      </c>
      <c r="H1142" s="22" t="s">
        <v>3226</v>
      </c>
    </row>
    <row r="1143" spans="1:8" x14ac:dyDescent="0.35">
      <c r="A1143" s="22" t="s">
        <v>851</v>
      </c>
      <c r="B1143" s="22" t="str">
        <f>"00528"</f>
        <v>00528</v>
      </c>
      <c r="C1143" s="22" t="str">
        <f t="shared" si="17"/>
        <v>'0528.HK'</v>
      </c>
      <c r="D1143" s="22" t="s">
        <v>3227</v>
      </c>
      <c r="E1143" s="22" t="s">
        <v>1914</v>
      </c>
      <c r="F1143" s="22">
        <v>1007484800</v>
      </c>
      <c r="G1143" s="22">
        <v>12</v>
      </c>
      <c r="H1143" s="22" t="s">
        <v>3228</v>
      </c>
    </row>
    <row r="1144" spans="1:8" x14ac:dyDescent="0.35">
      <c r="A1144" s="22" t="s">
        <v>851</v>
      </c>
      <c r="B1144" s="22" t="str">
        <f>"09928"</f>
        <v>09928</v>
      </c>
      <c r="C1144" s="22" t="str">
        <f t="shared" si="17"/>
        <v>'9928.HK'</v>
      </c>
      <c r="D1144" s="22" t="s">
        <v>3229</v>
      </c>
      <c r="E1144" s="22" t="s">
        <v>1104</v>
      </c>
      <c r="F1144" s="22">
        <v>1005386201.9400001</v>
      </c>
      <c r="G1144" s="22">
        <v>59</v>
      </c>
      <c r="H1144" s="22" t="s">
        <v>3230</v>
      </c>
    </row>
    <row r="1145" spans="1:8" x14ac:dyDescent="0.35">
      <c r="A1145" s="22" t="s">
        <v>851</v>
      </c>
      <c r="B1145" s="22" t="str">
        <f>"06118"</f>
        <v>06118</v>
      </c>
      <c r="C1145" s="22" t="str">
        <f t="shared" si="17"/>
        <v>'6118.HK'</v>
      </c>
      <c r="D1145" s="22" t="s">
        <v>3231</v>
      </c>
      <c r="E1145" s="22" t="s">
        <v>941</v>
      </c>
      <c r="F1145" s="22">
        <v>1004660720</v>
      </c>
      <c r="G1145" s="22">
        <v>5</v>
      </c>
      <c r="H1145" s="22" t="s">
        <v>3232</v>
      </c>
    </row>
    <row r="1146" spans="1:8" x14ac:dyDescent="0.35">
      <c r="A1146" s="22" t="s">
        <v>851</v>
      </c>
      <c r="B1146" s="22" t="str">
        <f>"02369"</f>
        <v>02369</v>
      </c>
      <c r="C1146" s="22" t="str">
        <f t="shared" si="17"/>
        <v>'2369.HK'</v>
      </c>
      <c r="D1146" s="22" t="s">
        <v>3233</v>
      </c>
      <c r="E1146" s="22" t="s">
        <v>938</v>
      </c>
      <c r="F1146" s="22">
        <v>1001042572.715</v>
      </c>
      <c r="G1146" s="22">
        <v>13</v>
      </c>
      <c r="H1146" s="22" t="s">
        <v>3234</v>
      </c>
    </row>
    <row r="1148" spans="1:8" x14ac:dyDescent="0.35">
      <c r="A1148" s="22" t="s">
        <v>3235</v>
      </c>
    </row>
    <row r="1150" spans="1:8" x14ac:dyDescent="0.35">
      <c r="C1150" s="22" t="str">
        <f>ConcatDelim(C2:C1146,",")</f>
        <v>'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v>
      </c>
    </row>
    <row r="1152" spans="1:8" x14ac:dyDescent="0.35">
      <c r="C1152" s="23" t="s">
        <v>3236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outlinePr summaryBelow="0" summaryRight="0"/>
    <pageSetUpPr autoPageBreaks="0"/>
  </sheetPr>
  <dimension ref="A6:M217"/>
  <sheetViews>
    <sheetView topLeftCell="A214" zoomScaleNormal="100" workbookViewId="0">
      <selection activeCell="E215" sqref="E215"/>
    </sheetView>
  </sheetViews>
  <sheetFormatPr defaultRowHeight="10" x14ac:dyDescent="0.2"/>
  <cols>
    <col min="1" max="1" width="25.81640625" customWidth="1"/>
    <col min="2" max="5" width="15.81640625" customWidth="1"/>
    <col min="6" max="7" width="40.81640625" customWidth="1"/>
    <col min="8" max="12" width="25.81640625" customWidth="1"/>
    <col min="13" max="13" width="40.81640625" customWidth="1"/>
  </cols>
  <sheetData>
    <row r="6" spans="1:13" ht="16.5" customHeight="1" x14ac:dyDescent="0.35">
      <c r="A6" s="1" t="s">
        <v>0</v>
      </c>
    </row>
    <row r="8" spans="1:13" ht="79.25" customHeight="1" x14ac:dyDescent="0.55000000000000004">
      <c r="A8" s="3" t="s">
        <v>1</v>
      </c>
      <c r="B8" s="3" t="s">
        <v>2</v>
      </c>
      <c r="C8" s="3"/>
      <c r="D8" s="3"/>
      <c r="E8" s="3"/>
      <c r="F8" s="3" t="s">
        <v>3</v>
      </c>
      <c r="G8" s="3" t="s">
        <v>4</v>
      </c>
      <c r="H8" s="9" t="s">
        <v>5</v>
      </c>
      <c r="I8" s="9" t="s">
        <v>6</v>
      </c>
      <c r="J8" s="9" t="s">
        <v>7</v>
      </c>
      <c r="K8" s="9" t="s">
        <v>8</v>
      </c>
      <c r="L8" s="9" t="s">
        <v>9</v>
      </c>
      <c r="M8" s="3" t="s">
        <v>10</v>
      </c>
    </row>
    <row r="9" spans="1:13" ht="150" x14ac:dyDescent="0.2">
      <c r="A9" s="2" t="s">
        <v>11</v>
      </c>
      <c r="B9" s="2" t="s">
        <v>12</v>
      </c>
      <c r="C9" s="2" t="str">
        <f>RIGHT(B9,SUM(LEN(B9)-LEN(SUBSTITUTE(B9,{"0","1","2","3","4","5","6","7","8","9"},""))))</f>
        <v>6663</v>
      </c>
      <c r="D9" s="2" t="str">
        <f>IF(LEN(C9)=4,C9,IF(LEN(C9)&lt;4,REPT("0",4-LEN(C9))&amp;C9))</f>
        <v>6663</v>
      </c>
      <c r="E9" s="2" t="str">
        <f>"'"&amp;D9&amp;".HK"&amp;"'"</f>
        <v>'6663.HK'</v>
      </c>
      <c r="F9" s="4" t="s">
        <v>13</v>
      </c>
      <c r="G9" s="6" t="s">
        <v>14</v>
      </c>
      <c r="H9" s="7">
        <v>4.66</v>
      </c>
      <c r="I9" s="8">
        <v>-114.7</v>
      </c>
      <c r="J9" s="8">
        <v>512</v>
      </c>
      <c r="K9" s="8">
        <v>20.5</v>
      </c>
      <c r="L9" s="7">
        <v>1.99</v>
      </c>
      <c r="M9" s="11" t="s">
        <v>15</v>
      </c>
    </row>
    <row r="10" spans="1:13" ht="110" x14ac:dyDescent="0.2">
      <c r="A10" s="2" t="s">
        <v>16</v>
      </c>
      <c r="B10" s="2" t="s">
        <v>17</v>
      </c>
      <c r="C10" s="2" t="str">
        <f>RIGHT(B10,SUM(LEN(B10)-LEN(SUBSTITUTE(B10,{"0","1","2","3","4","5","6","7","8","9"},""))))</f>
        <v>1689</v>
      </c>
      <c r="D10" s="2" t="str">
        <f t="shared" ref="D10:D22" si="0">IF(LEN(C10)=4,C10,IF(LEN(C10)&lt;4,REPT("0",4-LEN(C10))&amp;C10))</f>
        <v>1689</v>
      </c>
      <c r="E10" s="2" t="str">
        <f t="shared" ref="E10:E22" si="1">"'"&amp;D10&amp;".HK"&amp;"'"</f>
        <v>'1689.HK'</v>
      </c>
      <c r="F10" s="4" t="s">
        <v>18</v>
      </c>
      <c r="G10" s="6" t="s">
        <v>14</v>
      </c>
      <c r="H10" s="7">
        <v>2.19</v>
      </c>
      <c r="I10" s="8">
        <v>-134.19999999999999</v>
      </c>
      <c r="J10" s="8">
        <v>848.7</v>
      </c>
      <c r="K10" s="8">
        <v>38.5</v>
      </c>
      <c r="L10" s="7">
        <v>1.97</v>
      </c>
      <c r="M10" s="11" t="s">
        <v>19</v>
      </c>
    </row>
    <row r="11" spans="1:13" ht="140" x14ac:dyDescent="0.2">
      <c r="A11" s="2" t="s">
        <v>20</v>
      </c>
      <c r="B11" s="2" t="s">
        <v>21</v>
      </c>
      <c r="C11" s="2" t="str">
        <f>RIGHT(B11,SUM(LEN(B11)-LEN(SUBSTITUTE(B11,{"0","1","2","3","4","5","6","7","8","9"},""))))</f>
        <v>1458</v>
      </c>
      <c r="D11" s="2" t="str">
        <f t="shared" si="0"/>
        <v>1458</v>
      </c>
      <c r="E11" s="2" t="str">
        <f t="shared" si="1"/>
        <v>'1458.HK'</v>
      </c>
      <c r="F11" s="4" t="s">
        <v>22</v>
      </c>
      <c r="G11" s="6" t="s">
        <v>14</v>
      </c>
      <c r="H11" s="7">
        <v>3.84</v>
      </c>
      <c r="I11" s="8">
        <v>-1917.5</v>
      </c>
      <c r="J11" s="8">
        <v>8887.4</v>
      </c>
      <c r="K11" s="8">
        <v>36.6</v>
      </c>
      <c r="L11" s="7">
        <v>1.87</v>
      </c>
      <c r="M11" s="11" t="s">
        <v>23</v>
      </c>
    </row>
    <row r="12" spans="1:13" ht="60" x14ac:dyDescent="0.2">
      <c r="A12" s="2" t="s">
        <v>24</v>
      </c>
      <c r="B12" s="2" t="s">
        <v>25</v>
      </c>
      <c r="C12" s="2" t="str">
        <f>RIGHT(B12,SUM(LEN(B12)-LEN(SUBSTITUTE(B12,{"0","1","2","3","4","5","6","7","8","9"},""))))</f>
        <v>1425</v>
      </c>
      <c r="D12" s="2" t="str">
        <f t="shared" si="0"/>
        <v>1425</v>
      </c>
      <c r="E12" s="2" t="str">
        <f t="shared" si="1"/>
        <v>'1425.HK'</v>
      </c>
      <c r="F12" s="4" t="s">
        <v>26</v>
      </c>
      <c r="G12" s="6" t="s">
        <v>14</v>
      </c>
      <c r="H12" s="7">
        <v>1.54</v>
      </c>
      <c r="I12" s="8">
        <v>-189.1</v>
      </c>
      <c r="J12" s="8">
        <v>825</v>
      </c>
      <c r="K12" s="8">
        <v>30.2</v>
      </c>
      <c r="L12" s="7">
        <v>1.85</v>
      </c>
      <c r="M12" s="11" t="s">
        <v>27</v>
      </c>
    </row>
    <row r="13" spans="1:13" ht="130" x14ac:dyDescent="0.2">
      <c r="A13" s="2" t="s">
        <v>28</v>
      </c>
      <c r="B13" s="2" t="s">
        <v>29</v>
      </c>
      <c r="C13" s="2" t="str">
        <f>RIGHT(B13,SUM(LEN(B13)-LEN(SUBSTITUTE(B13,{"0","1","2","3","4","5","6","7","8","9"},""))))</f>
        <v>1448</v>
      </c>
      <c r="D13" s="2" t="str">
        <f t="shared" si="0"/>
        <v>1448</v>
      </c>
      <c r="E13" s="2" t="str">
        <f t="shared" si="1"/>
        <v>'1448.HK'</v>
      </c>
      <c r="F13" s="4" t="s">
        <v>30</v>
      </c>
      <c r="G13" s="6" t="s">
        <v>14</v>
      </c>
      <c r="H13" s="7">
        <v>2.2799999999999998</v>
      </c>
      <c r="I13" s="8">
        <v>-2747.9</v>
      </c>
      <c r="J13" s="8">
        <v>11244.2</v>
      </c>
      <c r="K13" s="8">
        <v>23.4</v>
      </c>
      <c r="L13" s="7">
        <v>1.85</v>
      </c>
      <c r="M13" s="11" t="s">
        <v>31</v>
      </c>
    </row>
    <row r="14" spans="1:13" ht="40" x14ac:dyDescent="0.2">
      <c r="A14" s="2" t="s">
        <v>32</v>
      </c>
      <c r="B14" s="2" t="s">
        <v>33</v>
      </c>
      <c r="C14" s="2" t="str">
        <f>RIGHT(B14,SUM(LEN(B14)-LEN(SUBSTITUTE(B14,{"0","1","2","3","4","5","6","7","8","9"},""))))</f>
        <v>2150</v>
      </c>
      <c r="D14" s="2" t="str">
        <f t="shared" si="0"/>
        <v>2150</v>
      </c>
      <c r="E14" s="2" t="str">
        <f t="shared" si="1"/>
        <v>'2150.HK'</v>
      </c>
      <c r="F14" s="4" t="s">
        <v>34</v>
      </c>
      <c r="G14" s="6" t="s">
        <v>14</v>
      </c>
      <c r="H14" s="7">
        <v>3.22</v>
      </c>
      <c r="I14" s="8">
        <v>-3247.4</v>
      </c>
      <c r="J14" s="8">
        <v>10513.7</v>
      </c>
      <c r="K14" s="8">
        <v>32.5</v>
      </c>
      <c r="L14" s="7">
        <v>1.82</v>
      </c>
      <c r="M14" s="5" t="s">
        <v>35</v>
      </c>
    </row>
    <row r="15" spans="1:13" ht="30" x14ac:dyDescent="0.2">
      <c r="A15" s="2" t="s">
        <v>36</v>
      </c>
      <c r="B15" s="2" t="s">
        <v>37</v>
      </c>
      <c r="C15" s="2" t="str">
        <f>RIGHT(B15,SUM(LEN(B15)-LEN(SUBSTITUTE(B15,{"0","1","2","3","4","5","6","7","8","9"},""))))</f>
        <v>6616</v>
      </c>
      <c r="D15" s="2" t="str">
        <f t="shared" si="0"/>
        <v>6616</v>
      </c>
      <c r="E15" s="2" t="str">
        <f t="shared" si="1"/>
        <v>'6616.HK'</v>
      </c>
      <c r="F15" s="4" t="s">
        <v>38</v>
      </c>
      <c r="G15" s="6" t="s">
        <v>14</v>
      </c>
      <c r="H15" s="7">
        <v>7.08</v>
      </c>
      <c r="I15" s="8">
        <v>-1726.5</v>
      </c>
      <c r="J15" s="8">
        <v>4814.7</v>
      </c>
      <c r="K15" s="8">
        <v>10</v>
      </c>
      <c r="L15" s="7">
        <v>1.82</v>
      </c>
      <c r="M15" s="5" t="s">
        <v>39</v>
      </c>
    </row>
    <row r="16" spans="1:13" ht="170" x14ac:dyDescent="0.2">
      <c r="A16" s="2" t="s">
        <v>40</v>
      </c>
      <c r="B16" s="2" t="s">
        <v>41</v>
      </c>
      <c r="C16" s="2" t="str">
        <f>RIGHT(B16,SUM(LEN(B16)-LEN(SUBSTITUTE(B16,{"0","1","2","3","4","5","6","7","8","9"},""))))</f>
        <v>1945</v>
      </c>
      <c r="D16" s="2" t="str">
        <f t="shared" si="0"/>
        <v>1945</v>
      </c>
      <c r="E16" s="2" t="str">
        <f t="shared" si="1"/>
        <v>'1945.HK'</v>
      </c>
      <c r="F16" s="4" t="s">
        <v>42</v>
      </c>
      <c r="G16" s="6" t="s">
        <v>14</v>
      </c>
      <c r="H16" s="7">
        <v>4.9000000000000004</v>
      </c>
      <c r="I16" s="8">
        <v>-658.4</v>
      </c>
      <c r="J16" s="8">
        <v>1033.5999999999999</v>
      </c>
      <c r="K16" s="8">
        <v>20.9</v>
      </c>
      <c r="L16" s="7">
        <v>1.76</v>
      </c>
      <c r="M16" s="11" t="s">
        <v>43</v>
      </c>
    </row>
    <row r="17" spans="1:13" ht="130" x14ac:dyDescent="0.2">
      <c r="A17" s="2" t="s">
        <v>44</v>
      </c>
      <c r="B17" s="2" t="s">
        <v>45</v>
      </c>
      <c r="C17" s="2" t="str">
        <f>RIGHT(B17,SUM(LEN(B17)-LEN(SUBSTITUTE(B17,{"0","1","2","3","4","5","6","7","8","9"},""))))</f>
        <v>1475</v>
      </c>
      <c r="D17" s="2" t="str">
        <f t="shared" si="0"/>
        <v>1475</v>
      </c>
      <c r="E17" s="2" t="str">
        <f t="shared" si="1"/>
        <v>'1475.HK'</v>
      </c>
      <c r="F17" s="4" t="s">
        <v>46</v>
      </c>
      <c r="G17" s="6" t="s">
        <v>14</v>
      </c>
      <c r="H17" s="7">
        <v>2.44</v>
      </c>
      <c r="I17" s="8">
        <v>-2033.5</v>
      </c>
      <c r="J17" s="8">
        <v>6689.7</v>
      </c>
      <c r="K17" s="8">
        <v>21.7</v>
      </c>
      <c r="L17" s="7">
        <v>1.75</v>
      </c>
      <c r="M17" s="11" t="s">
        <v>47</v>
      </c>
    </row>
    <row r="18" spans="1:13" ht="180" x14ac:dyDescent="0.2">
      <c r="A18" s="2" t="s">
        <v>48</v>
      </c>
      <c r="B18" s="2" t="s">
        <v>49</v>
      </c>
      <c r="C18" s="2" t="str">
        <f>RIGHT(B18,SUM(LEN(B18)-LEN(SUBSTITUTE(B18,{"0","1","2","3","4","5","6","7","8","9"},""))))</f>
        <v>1586</v>
      </c>
      <c r="D18" s="2" t="str">
        <f t="shared" si="0"/>
        <v>1586</v>
      </c>
      <c r="E18" s="2" t="str">
        <f t="shared" si="1"/>
        <v>'1586.HK'</v>
      </c>
      <c r="F18" s="4" t="s">
        <v>50</v>
      </c>
      <c r="G18" s="6" t="s">
        <v>14</v>
      </c>
      <c r="H18" s="7">
        <v>1.44</v>
      </c>
      <c r="I18" s="8">
        <v>-24.4</v>
      </c>
      <c r="J18" s="8">
        <v>644</v>
      </c>
      <c r="K18" s="8">
        <v>36</v>
      </c>
      <c r="L18" s="7">
        <v>1.7</v>
      </c>
      <c r="M18" s="11" t="s">
        <v>51</v>
      </c>
    </row>
    <row r="19" spans="1:13" ht="130" x14ac:dyDescent="0.2">
      <c r="A19" s="2" t="s">
        <v>52</v>
      </c>
      <c r="B19" s="2" t="s">
        <v>53</v>
      </c>
      <c r="C19" s="2" t="str">
        <f>RIGHT(B19,SUM(LEN(B19)-LEN(SUBSTITUTE(B19,{"0","1","2","3","4","5","6","7","8","9"},""))))</f>
        <v>580</v>
      </c>
      <c r="D19" s="2" t="str">
        <f t="shared" si="0"/>
        <v>0580</v>
      </c>
      <c r="E19" s="2" t="str">
        <f t="shared" si="1"/>
        <v>'0580.HK'</v>
      </c>
      <c r="F19" s="4" t="s">
        <v>54</v>
      </c>
      <c r="G19" s="6" t="s">
        <v>14</v>
      </c>
      <c r="H19" s="7">
        <v>3.54</v>
      </c>
      <c r="I19" s="8">
        <v>-615.9</v>
      </c>
      <c r="J19" s="8">
        <v>3235.2</v>
      </c>
      <c r="K19" s="8">
        <v>24.3</v>
      </c>
      <c r="L19" s="7">
        <v>1.66</v>
      </c>
      <c r="M19" s="11" t="s">
        <v>55</v>
      </c>
    </row>
    <row r="20" spans="1:13" ht="80" x14ac:dyDescent="0.2">
      <c r="A20" s="2" t="s">
        <v>56</v>
      </c>
      <c r="B20" s="2" t="s">
        <v>57</v>
      </c>
      <c r="C20" s="2" t="str">
        <f>RIGHT(B20,SUM(LEN(B20)-LEN(SUBSTITUTE(B20,{"0","1","2","3","4","5","6","7","8","9"},""))))</f>
        <v>1935</v>
      </c>
      <c r="D20" s="2" t="str">
        <f t="shared" si="0"/>
        <v>1935</v>
      </c>
      <c r="E20" s="2" t="str">
        <f t="shared" si="1"/>
        <v>'1935.HK'</v>
      </c>
      <c r="F20" s="4" t="s">
        <v>58</v>
      </c>
      <c r="G20" s="6" t="s">
        <v>14</v>
      </c>
      <c r="H20" s="7">
        <v>2.31</v>
      </c>
      <c r="I20" s="8">
        <v>-1569.5</v>
      </c>
      <c r="J20" s="8">
        <v>3633.9</v>
      </c>
      <c r="K20" s="8">
        <v>19.2</v>
      </c>
      <c r="L20" s="7">
        <v>1.63</v>
      </c>
      <c r="M20" s="11" t="s">
        <v>59</v>
      </c>
    </row>
    <row r="21" spans="1:13" ht="100" x14ac:dyDescent="0.2">
      <c r="A21" s="2" t="s">
        <v>60</v>
      </c>
      <c r="B21" s="2" t="s">
        <v>61</v>
      </c>
      <c r="C21" s="2" t="str">
        <f>RIGHT(B21,SUM(LEN(B21)-LEN(SUBSTITUTE(B21,{"0","1","2","3","4","5","6","7","8","9"},""))))</f>
        <v>9899</v>
      </c>
      <c r="D21" s="2" t="str">
        <f t="shared" si="0"/>
        <v>9899</v>
      </c>
      <c r="E21" s="2" t="str">
        <f t="shared" si="1"/>
        <v>'9899.HK'</v>
      </c>
      <c r="F21" s="4" t="s">
        <v>62</v>
      </c>
      <c r="G21" s="6" t="s">
        <v>14</v>
      </c>
      <c r="H21" s="7">
        <v>3.88</v>
      </c>
      <c r="I21" s="8">
        <v>-8115.5</v>
      </c>
      <c r="J21" s="8">
        <v>17260.099999999999</v>
      </c>
      <c r="K21" s="8">
        <v>21.4</v>
      </c>
      <c r="L21" s="7">
        <v>1.62</v>
      </c>
      <c r="M21" s="11" t="s">
        <v>63</v>
      </c>
    </row>
    <row r="22" spans="1:13" ht="90" x14ac:dyDescent="0.2">
      <c r="A22" s="2" t="s">
        <v>64</v>
      </c>
      <c r="B22" s="2" t="s">
        <v>65</v>
      </c>
      <c r="C22" s="2" t="str">
        <f>RIGHT(B22,SUM(LEN(B22)-LEN(SUBSTITUTE(B22,{"0","1","2","3","4","5","6","7","8","9"},""))))</f>
        <v>9699</v>
      </c>
      <c r="D22" s="2" t="str">
        <f t="shared" si="0"/>
        <v>9699</v>
      </c>
      <c r="E22" s="2" t="str">
        <f t="shared" si="1"/>
        <v>'9699.HK'</v>
      </c>
      <c r="F22" s="4" t="s">
        <v>66</v>
      </c>
      <c r="G22" s="6" t="s">
        <v>14</v>
      </c>
      <c r="H22" s="7">
        <v>4.2699999999999996</v>
      </c>
      <c r="I22" s="8">
        <v>-3475.2</v>
      </c>
      <c r="J22" s="8">
        <v>6114.1</v>
      </c>
      <c r="K22" s="8">
        <v>21.4</v>
      </c>
      <c r="L22" s="7">
        <v>1.61</v>
      </c>
      <c r="M22" s="11" t="s">
        <v>67</v>
      </c>
    </row>
    <row r="23" spans="1:13" ht="190" hidden="1" x14ac:dyDescent="0.2">
      <c r="A23" s="2" t="s">
        <v>68</v>
      </c>
      <c r="B23" s="2" t="s">
        <v>69</v>
      </c>
      <c r="C23" s="2" t="str">
        <f>RIGHT(B23,SUM(LEN(B23)-LEN(SUBSTITUTE(B23,{"0","1","2","3","4","5","6","7","8","9"},""))))</f>
        <v/>
      </c>
      <c r="D23" s="2"/>
      <c r="E23" s="2"/>
      <c r="F23" s="5" t="s">
        <v>14</v>
      </c>
      <c r="G23" s="6" t="s">
        <v>70</v>
      </c>
      <c r="H23" s="7">
        <v>1.81</v>
      </c>
      <c r="I23" s="8">
        <v>-6018.4</v>
      </c>
      <c r="J23" s="8">
        <v>13675.2</v>
      </c>
      <c r="K23" s="8">
        <v>37.700000000000003</v>
      </c>
      <c r="L23" s="7">
        <v>1.59</v>
      </c>
      <c r="M23" s="11" t="s">
        <v>71</v>
      </c>
    </row>
    <row r="24" spans="1:13" ht="90" x14ac:dyDescent="0.2">
      <c r="A24" s="2" t="s">
        <v>72</v>
      </c>
      <c r="B24" s="2" t="s">
        <v>73</v>
      </c>
      <c r="C24" s="2" t="str">
        <f>RIGHT(B24,SUM(LEN(B24)-LEN(SUBSTITUTE(B24,{"0","1","2","3","4","5","6","7","8","9"},""))))</f>
        <v>6820</v>
      </c>
      <c r="D24" s="2" t="str">
        <f t="shared" ref="D24:D87" si="2">IF(LEN(C24)=4,C24,IF(LEN(C24)&lt;4,REPT("0",4-LEN(C24))&amp;C24))</f>
        <v>6820</v>
      </c>
      <c r="E24" s="2" t="str">
        <f t="shared" ref="E24:E80" si="3">"'"&amp;D24&amp;".HK"&amp;"'"</f>
        <v>'6820.HK'</v>
      </c>
      <c r="F24" s="4" t="s">
        <v>74</v>
      </c>
      <c r="G24" s="6" t="s">
        <v>14</v>
      </c>
      <c r="H24" s="7">
        <v>8.1</v>
      </c>
      <c r="I24" s="8">
        <v>-1317.9</v>
      </c>
      <c r="J24" s="8">
        <v>2573.4</v>
      </c>
      <c r="K24" s="7">
        <v>8.8699999999999992</v>
      </c>
      <c r="L24" s="7">
        <v>1.56</v>
      </c>
      <c r="M24" s="11" t="s">
        <v>75</v>
      </c>
    </row>
    <row r="25" spans="1:13" ht="150" x14ac:dyDescent="0.2">
      <c r="A25" s="2" t="s">
        <v>76</v>
      </c>
      <c r="B25" s="2" t="s">
        <v>77</v>
      </c>
      <c r="C25" s="2" t="str">
        <f>RIGHT(B25,SUM(LEN(B25)-LEN(SUBSTITUTE(B25,{"0","1","2","3","4","5","6","7","8","9"},""))))</f>
        <v>8032</v>
      </c>
      <c r="D25" s="2" t="str">
        <f t="shared" si="2"/>
        <v>8032</v>
      </c>
      <c r="E25" s="2" t="str">
        <f t="shared" si="3"/>
        <v>'8032.HK'</v>
      </c>
      <c r="F25" s="4" t="s">
        <v>78</v>
      </c>
      <c r="G25" s="6" t="s">
        <v>14</v>
      </c>
      <c r="H25" s="7">
        <v>3.59</v>
      </c>
      <c r="I25" s="8">
        <v>-2634.8</v>
      </c>
      <c r="J25" s="8">
        <v>11798.3</v>
      </c>
      <c r="K25" s="8">
        <v>14.9</v>
      </c>
      <c r="L25" s="7">
        <v>1.55</v>
      </c>
      <c r="M25" s="11" t="s">
        <v>79</v>
      </c>
    </row>
    <row r="26" spans="1:13" ht="140" x14ac:dyDescent="0.2">
      <c r="A26" s="2" t="s">
        <v>80</v>
      </c>
      <c r="B26" s="2" t="s">
        <v>81</v>
      </c>
      <c r="C26" s="2" t="str">
        <f>RIGHT(B26,SUM(LEN(B26)-LEN(SUBSTITUTE(B26,{"0","1","2","3","4","5","6","7","8","9"},""))))</f>
        <v>265</v>
      </c>
      <c r="D26" s="2" t="str">
        <f t="shared" si="2"/>
        <v>0265</v>
      </c>
      <c r="E26" s="2" t="str">
        <f t="shared" si="3"/>
        <v>'0265.HK'</v>
      </c>
      <c r="F26" s="4" t="s">
        <v>82</v>
      </c>
      <c r="G26" s="6" t="s">
        <v>14</v>
      </c>
      <c r="H26" s="7">
        <v>2.19</v>
      </c>
      <c r="I26" s="8">
        <v>-187.7</v>
      </c>
      <c r="J26" s="8">
        <v>749.5</v>
      </c>
      <c r="K26" s="8">
        <v>27.6</v>
      </c>
      <c r="L26" s="7">
        <v>1.5</v>
      </c>
      <c r="M26" s="11" t="s">
        <v>83</v>
      </c>
    </row>
    <row r="27" spans="1:13" ht="110" x14ac:dyDescent="0.2">
      <c r="A27" s="2" t="s">
        <v>84</v>
      </c>
      <c r="B27" s="2" t="s">
        <v>85</v>
      </c>
      <c r="C27" s="2" t="str">
        <f>RIGHT(B27,SUM(LEN(B27)-LEN(SUBSTITUTE(B27,{"0","1","2","3","4","5","6","7","8","9"},""))))</f>
        <v>1483</v>
      </c>
      <c r="D27" s="2" t="str">
        <f t="shared" si="2"/>
        <v>1483</v>
      </c>
      <c r="E27" s="2" t="str">
        <f t="shared" si="3"/>
        <v>'1483.HK'</v>
      </c>
      <c r="F27" s="4" t="s">
        <v>86</v>
      </c>
      <c r="G27" s="6" t="s">
        <v>14</v>
      </c>
      <c r="H27" s="7">
        <v>3.29</v>
      </c>
      <c r="I27" s="8">
        <v>-329.3</v>
      </c>
      <c r="J27" s="8">
        <v>803</v>
      </c>
      <c r="K27" s="8">
        <v>22.7</v>
      </c>
      <c r="L27" s="7">
        <v>1.5</v>
      </c>
      <c r="M27" s="11" t="s">
        <v>87</v>
      </c>
    </row>
    <row r="28" spans="1:13" ht="140" x14ac:dyDescent="0.2">
      <c r="A28" s="2" t="s">
        <v>88</v>
      </c>
      <c r="B28" s="2" t="s">
        <v>89</v>
      </c>
      <c r="C28" s="2" t="str">
        <f>RIGHT(B28,SUM(LEN(B28)-LEN(SUBSTITUTE(B28,{"0","1","2","3","4","5","6","7","8","9"},""))))</f>
        <v>1995</v>
      </c>
      <c r="D28" s="2" t="str">
        <f t="shared" si="2"/>
        <v>1995</v>
      </c>
      <c r="E28" s="2" t="str">
        <f t="shared" si="3"/>
        <v>'1995.HK'</v>
      </c>
      <c r="F28" s="4" t="s">
        <v>90</v>
      </c>
      <c r="G28" s="6" t="s">
        <v>14</v>
      </c>
      <c r="H28" s="7">
        <v>2.15</v>
      </c>
      <c r="I28" s="8">
        <v>-5441.2</v>
      </c>
      <c r="J28" s="8">
        <v>8326.2999999999993</v>
      </c>
      <c r="K28" s="8">
        <v>35.4</v>
      </c>
      <c r="L28" s="7">
        <v>1.43</v>
      </c>
      <c r="M28" s="11" t="s">
        <v>91</v>
      </c>
    </row>
    <row r="29" spans="1:13" ht="100" x14ac:dyDescent="0.2">
      <c r="A29" s="2" t="s">
        <v>92</v>
      </c>
      <c r="B29" s="2" t="s">
        <v>93</v>
      </c>
      <c r="C29" s="2" t="str">
        <f>RIGHT(B29,SUM(LEN(B29)-LEN(SUBSTITUTE(B29,{"0","1","2","3","4","5","6","7","8","9"},""))))</f>
        <v>9986</v>
      </c>
      <c r="D29" s="2" t="str">
        <f t="shared" si="2"/>
        <v>9986</v>
      </c>
      <c r="E29" s="2" t="str">
        <f t="shared" si="3"/>
        <v>'9986.HK'</v>
      </c>
      <c r="F29" s="4" t="s">
        <v>94</v>
      </c>
      <c r="G29" s="6" t="s">
        <v>14</v>
      </c>
      <c r="H29" s="7">
        <v>4.0599999999999996</v>
      </c>
      <c r="I29" s="8">
        <v>-296.5</v>
      </c>
      <c r="J29" s="8">
        <v>560</v>
      </c>
      <c r="K29" s="8">
        <v>25.1</v>
      </c>
      <c r="L29" s="7">
        <v>1.39</v>
      </c>
      <c r="M29" s="11" t="s">
        <v>95</v>
      </c>
    </row>
    <row r="30" spans="1:13" ht="40" x14ac:dyDescent="0.2">
      <c r="A30" s="2" t="s">
        <v>96</v>
      </c>
      <c r="B30" s="2" t="s">
        <v>97</v>
      </c>
      <c r="C30" s="2" t="str">
        <f>RIGHT(B30,SUM(LEN(B30)-LEN(SUBSTITUTE(B30,{"0","1","2","3","4","5","6","7","8","9"},""))))</f>
        <v>2101</v>
      </c>
      <c r="D30" s="2" t="str">
        <f t="shared" si="2"/>
        <v>2101</v>
      </c>
      <c r="E30" s="2" t="str">
        <f t="shared" si="3"/>
        <v>'2101.HK'</v>
      </c>
      <c r="F30" s="4" t="s">
        <v>98</v>
      </c>
      <c r="G30" s="6" t="s">
        <v>14</v>
      </c>
      <c r="H30" s="7">
        <v>2.96</v>
      </c>
      <c r="I30" s="8">
        <v>-255</v>
      </c>
      <c r="J30" s="8">
        <v>1869.7</v>
      </c>
      <c r="K30" s="8">
        <v>15.5</v>
      </c>
      <c r="L30" s="7">
        <v>1.37</v>
      </c>
      <c r="M30" s="5" t="s">
        <v>99</v>
      </c>
    </row>
    <row r="31" spans="1:13" ht="60" x14ac:dyDescent="0.2">
      <c r="A31" s="2" t="s">
        <v>100</v>
      </c>
      <c r="B31" s="2" t="s">
        <v>101</v>
      </c>
      <c r="C31" s="2" t="str">
        <f>RIGHT(B31,SUM(LEN(B31)-LEN(SUBSTITUTE(B31,{"0","1","2","3","4","5","6","7","8","9"},""))))</f>
        <v>2265</v>
      </c>
      <c r="D31" s="2" t="str">
        <f t="shared" si="2"/>
        <v>2265</v>
      </c>
      <c r="E31" s="2" t="str">
        <f t="shared" si="3"/>
        <v>'2265.HK'</v>
      </c>
      <c r="F31" s="4" t="s">
        <v>102</v>
      </c>
      <c r="G31" s="6" t="s">
        <v>14</v>
      </c>
      <c r="H31" s="7">
        <v>3.51</v>
      </c>
      <c r="I31" s="8">
        <v>-247.9</v>
      </c>
      <c r="J31" s="8">
        <v>660</v>
      </c>
      <c r="K31" s="8">
        <v>37.700000000000003</v>
      </c>
      <c r="L31" s="7">
        <v>1.37</v>
      </c>
      <c r="M31" s="11" t="s">
        <v>103</v>
      </c>
    </row>
    <row r="32" spans="1:13" ht="170" x14ac:dyDescent="0.2">
      <c r="A32" s="2" t="s">
        <v>104</v>
      </c>
      <c r="B32" s="2" t="s">
        <v>105</v>
      </c>
      <c r="C32" s="2" t="str">
        <f>RIGHT(B32,SUM(LEN(B32)-LEN(SUBSTITUTE(B32,{"0","1","2","3","4","5","6","7","8","9"},""))))</f>
        <v>1971</v>
      </c>
      <c r="D32" s="2" t="str">
        <f t="shared" si="2"/>
        <v>1971</v>
      </c>
      <c r="E32" s="2" t="str">
        <f t="shared" si="3"/>
        <v>'1971.HK'</v>
      </c>
      <c r="F32" s="4" t="s">
        <v>106</v>
      </c>
      <c r="G32" s="6" t="s">
        <v>14</v>
      </c>
      <c r="H32" s="7">
        <v>1.84</v>
      </c>
      <c r="I32" s="8">
        <v>-854.6</v>
      </c>
      <c r="J32" s="8">
        <v>1328</v>
      </c>
      <c r="K32" s="8">
        <v>39.5</v>
      </c>
      <c r="L32" s="7">
        <v>1.36</v>
      </c>
      <c r="M32" s="11" t="s">
        <v>107</v>
      </c>
    </row>
    <row r="33" spans="1:13" ht="180" x14ac:dyDescent="0.2">
      <c r="A33" s="2" t="s">
        <v>108</v>
      </c>
      <c r="B33" s="2" t="s">
        <v>109</v>
      </c>
      <c r="C33" s="2" t="str">
        <f>RIGHT(B33,SUM(LEN(B33)-LEN(SUBSTITUTE(B33,{"0","1","2","3","4","5","6","7","8","9"},""))))</f>
        <v>6626</v>
      </c>
      <c r="D33" s="2" t="str">
        <f t="shared" si="2"/>
        <v>6626</v>
      </c>
      <c r="E33" s="2" t="str">
        <f t="shared" si="3"/>
        <v>'6626.HK'</v>
      </c>
      <c r="F33" s="4" t="s">
        <v>110</v>
      </c>
      <c r="G33" s="6" t="s">
        <v>14</v>
      </c>
      <c r="H33" s="7">
        <v>2.89</v>
      </c>
      <c r="I33" s="8">
        <v>-4601.1000000000004</v>
      </c>
      <c r="J33" s="8">
        <v>4961.8</v>
      </c>
      <c r="K33" s="8">
        <v>39.799999999999997</v>
      </c>
      <c r="L33" s="7">
        <v>1.35</v>
      </c>
      <c r="M33" s="11" t="s">
        <v>111</v>
      </c>
    </row>
    <row r="34" spans="1:13" ht="100" x14ac:dyDescent="0.2">
      <c r="A34" s="2" t="s">
        <v>112</v>
      </c>
      <c r="B34" s="2" t="s">
        <v>113</v>
      </c>
      <c r="C34" s="2" t="str">
        <f>RIGHT(B34,SUM(LEN(B34)-LEN(SUBSTITUTE(B34,{"0","1","2","3","4","5","6","7","8","9"},""))))</f>
        <v>6100</v>
      </c>
      <c r="D34" s="2" t="str">
        <f t="shared" si="2"/>
        <v>6100</v>
      </c>
      <c r="E34" s="2" t="str">
        <f t="shared" si="3"/>
        <v>'6100.HK'</v>
      </c>
      <c r="F34" s="4" t="s">
        <v>114</v>
      </c>
      <c r="G34" s="6" t="s">
        <v>14</v>
      </c>
      <c r="H34" s="7">
        <v>1.04</v>
      </c>
      <c r="I34" s="8">
        <v>-1580.3</v>
      </c>
      <c r="J34" s="8">
        <v>4869.3</v>
      </c>
      <c r="K34" s="8">
        <v>34.6</v>
      </c>
      <c r="L34" s="7">
        <v>1.3</v>
      </c>
      <c r="M34" s="11" t="s">
        <v>115</v>
      </c>
    </row>
    <row r="35" spans="1:13" ht="110" x14ac:dyDescent="0.2">
      <c r="A35" s="2" t="s">
        <v>116</v>
      </c>
      <c r="B35" s="2" t="s">
        <v>117</v>
      </c>
      <c r="C35" s="2" t="str">
        <f>RIGHT(B35,SUM(LEN(B35)-LEN(SUBSTITUTE(B35,{"0","1","2","3","4","5","6","7","8","9"},""))))</f>
        <v>1925</v>
      </c>
      <c r="D35" s="2" t="str">
        <f t="shared" si="2"/>
        <v>1925</v>
      </c>
      <c r="E35" s="2" t="str">
        <f t="shared" si="3"/>
        <v>'1925.HK'</v>
      </c>
      <c r="F35" s="4" t="s">
        <v>118</v>
      </c>
      <c r="G35" s="6" t="s">
        <v>14</v>
      </c>
      <c r="H35" s="7">
        <v>2.14</v>
      </c>
      <c r="I35" s="8">
        <v>-154.4</v>
      </c>
      <c r="J35" s="8">
        <v>563</v>
      </c>
      <c r="K35" s="8">
        <v>31.4</v>
      </c>
      <c r="L35" s="7">
        <v>1.24</v>
      </c>
      <c r="M35" s="11" t="s">
        <v>119</v>
      </c>
    </row>
    <row r="36" spans="1:13" ht="80" x14ac:dyDescent="0.2">
      <c r="A36" s="2" t="s">
        <v>120</v>
      </c>
      <c r="B36" s="2" t="s">
        <v>121</v>
      </c>
      <c r="C36" s="2" t="str">
        <f>RIGHT(B36,SUM(LEN(B36)-LEN(SUBSTITUTE(B36,{"0","1","2","3","4","5","6","7","8","9"},""))))</f>
        <v>1543</v>
      </c>
      <c r="D36" s="2" t="str">
        <f t="shared" si="2"/>
        <v>1543</v>
      </c>
      <c r="E36" s="2" t="str">
        <f t="shared" si="3"/>
        <v>'1543.HK'</v>
      </c>
      <c r="F36" s="4" t="s">
        <v>122</v>
      </c>
      <c r="G36" s="6" t="s">
        <v>14</v>
      </c>
      <c r="H36" s="7">
        <v>8.67</v>
      </c>
      <c r="I36" s="8">
        <v>-421.1</v>
      </c>
      <c r="J36" s="8">
        <v>2965.5</v>
      </c>
      <c r="K36" s="8">
        <v>31.2</v>
      </c>
      <c r="L36" s="7">
        <v>1.24</v>
      </c>
      <c r="M36" s="11" t="s">
        <v>123</v>
      </c>
    </row>
    <row r="37" spans="1:13" ht="130" x14ac:dyDescent="0.2">
      <c r="A37" s="2" t="s">
        <v>124</v>
      </c>
      <c r="B37" s="2" t="s">
        <v>125</v>
      </c>
      <c r="C37" s="2" t="str">
        <f>RIGHT(B37,SUM(LEN(B37)-LEN(SUBSTITUTE(B37,{"0","1","2","3","4","5","6","7","8","9"},""))))</f>
        <v>9983</v>
      </c>
      <c r="D37" s="2" t="str">
        <f t="shared" si="2"/>
        <v>9983</v>
      </c>
      <c r="E37" s="2" t="str">
        <f t="shared" si="3"/>
        <v>'9983.HK'</v>
      </c>
      <c r="F37" s="4" t="s">
        <v>126</v>
      </c>
      <c r="G37" s="6" t="s">
        <v>14</v>
      </c>
      <c r="H37" s="7">
        <v>2.5</v>
      </c>
      <c r="I37" s="8">
        <v>-2786</v>
      </c>
      <c r="J37" s="8">
        <v>4083.9</v>
      </c>
      <c r="K37" s="8">
        <v>39.299999999999997</v>
      </c>
      <c r="L37" s="7">
        <v>1.2</v>
      </c>
      <c r="M37" s="11" t="s">
        <v>127</v>
      </c>
    </row>
    <row r="38" spans="1:13" ht="80" x14ac:dyDescent="0.2">
      <c r="A38" s="2" t="s">
        <v>128</v>
      </c>
      <c r="B38" s="2" t="s">
        <v>129</v>
      </c>
      <c r="C38" s="2" t="str">
        <f>RIGHT(B38,SUM(LEN(B38)-LEN(SUBSTITUTE(B38,{"0","1","2","3","4","5","6","7","8","9"},""))))</f>
        <v>6858</v>
      </c>
      <c r="D38" s="2" t="str">
        <f t="shared" si="2"/>
        <v>6858</v>
      </c>
      <c r="E38" s="2" t="str">
        <f t="shared" si="3"/>
        <v>'6858.HK'</v>
      </c>
      <c r="F38" s="4" t="s">
        <v>130</v>
      </c>
      <c r="G38" s="6" t="s">
        <v>14</v>
      </c>
      <c r="H38" s="7">
        <v>1.47</v>
      </c>
      <c r="I38" s="8">
        <v>-309</v>
      </c>
      <c r="J38" s="8">
        <v>1968.3</v>
      </c>
      <c r="K38" s="8">
        <v>38.799999999999997</v>
      </c>
      <c r="L38" s="7">
        <v>1.2</v>
      </c>
      <c r="M38" s="11" t="s">
        <v>131</v>
      </c>
    </row>
    <row r="39" spans="1:13" ht="120" x14ac:dyDescent="0.2">
      <c r="A39" s="2" t="s">
        <v>132</v>
      </c>
      <c r="B39" s="2" t="s">
        <v>133</v>
      </c>
      <c r="C39" s="2" t="str">
        <f>RIGHT(B39,SUM(LEN(B39)-LEN(SUBSTITUTE(B39,{"0","1","2","3","4","5","6","7","8","9"},""))))</f>
        <v>1970</v>
      </c>
      <c r="D39" s="2" t="str">
        <f t="shared" si="2"/>
        <v>1970</v>
      </c>
      <c r="E39" s="2" t="str">
        <f t="shared" si="3"/>
        <v>'1970.HK'</v>
      </c>
      <c r="F39" s="4" t="s">
        <v>134</v>
      </c>
      <c r="G39" s="6" t="s">
        <v>14</v>
      </c>
      <c r="H39" s="7">
        <v>2.86</v>
      </c>
      <c r="I39" s="8">
        <v>-734.2</v>
      </c>
      <c r="J39" s="8">
        <v>2169.5</v>
      </c>
      <c r="K39" s="8">
        <v>27.4</v>
      </c>
      <c r="L39" s="7">
        <v>1.19</v>
      </c>
      <c r="M39" s="11" t="s">
        <v>135</v>
      </c>
    </row>
    <row r="40" spans="1:13" ht="140" x14ac:dyDescent="0.2">
      <c r="A40" s="2" t="s">
        <v>136</v>
      </c>
      <c r="B40" s="2" t="s">
        <v>137</v>
      </c>
      <c r="C40" s="2" t="str">
        <f>RIGHT(B40,SUM(LEN(B40)-LEN(SUBSTITUTE(B40,{"0","1","2","3","4","5","6","7","8","9"},""))))</f>
        <v>799</v>
      </c>
      <c r="D40" s="2" t="str">
        <f t="shared" si="2"/>
        <v>0799</v>
      </c>
      <c r="E40" s="2" t="str">
        <f t="shared" si="3"/>
        <v>'0799.HK'</v>
      </c>
      <c r="F40" s="4" t="s">
        <v>138</v>
      </c>
      <c r="G40" s="6" t="s">
        <v>14</v>
      </c>
      <c r="H40" s="7">
        <v>2.29</v>
      </c>
      <c r="I40" s="8">
        <v>-1797.8</v>
      </c>
      <c r="J40" s="8">
        <v>3651.9</v>
      </c>
      <c r="K40" s="8">
        <v>25.6</v>
      </c>
      <c r="L40" s="7">
        <v>1.19</v>
      </c>
      <c r="M40" s="11" t="s">
        <v>139</v>
      </c>
    </row>
    <row r="41" spans="1:13" ht="80" x14ac:dyDescent="0.2">
      <c r="A41" s="2" t="s">
        <v>140</v>
      </c>
      <c r="B41" s="2" t="s">
        <v>141</v>
      </c>
      <c r="C41" s="2" t="str">
        <f>RIGHT(B41,SUM(LEN(B41)-LEN(SUBSTITUTE(B41,{"0","1","2","3","4","5","6","7","8","9"},""))))</f>
        <v>6668</v>
      </c>
      <c r="D41" s="2" t="str">
        <f t="shared" si="2"/>
        <v>6668</v>
      </c>
      <c r="E41" s="2" t="str">
        <f t="shared" si="3"/>
        <v>'6668.HK'</v>
      </c>
      <c r="F41" s="4" t="s">
        <v>142</v>
      </c>
      <c r="G41" s="6" t="s">
        <v>14</v>
      </c>
      <c r="H41" s="7">
        <v>5.68</v>
      </c>
      <c r="I41" s="8">
        <v>-1481.7</v>
      </c>
      <c r="J41" s="8">
        <v>1550.2</v>
      </c>
      <c r="K41" s="8">
        <v>20.5</v>
      </c>
      <c r="L41" s="7">
        <v>1.19</v>
      </c>
      <c r="M41" s="11" t="s">
        <v>143</v>
      </c>
    </row>
    <row r="42" spans="1:13" ht="140" x14ac:dyDescent="0.2">
      <c r="A42" s="2" t="s">
        <v>144</v>
      </c>
      <c r="B42" s="2" t="s">
        <v>145</v>
      </c>
      <c r="C42" s="2" t="str">
        <f>RIGHT(B42,SUM(LEN(B42)-LEN(SUBSTITUTE(B42,{"0","1","2","3","4","5","6","7","8","9"},""))))</f>
        <v>189</v>
      </c>
      <c r="D42" s="2" t="str">
        <f t="shared" si="2"/>
        <v>0189</v>
      </c>
      <c r="E42" s="2" t="str">
        <f t="shared" si="3"/>
        <v>'0189.HK'</v>
      </c>
      <c r="F42" s="4" t="s">
        <v>146</v>
      </c>
      <c r="G42" s="6" t="s">
        <v>14</v>
      </c>
      <c r="H42" s="7">
        <v>1.46</v>
      </c>
      <c r="I42" s="8">
        <v>-5631.2</v>
      </c>
      <c r="J42" s="8">
        <v>19178.8</v>
      </c>
      <c r="K42" s="8">
        <v>27.6</v>
      </c>
      <c r="L42" s="7">
        <v>1.18</v>
      </c>
      <c r="M42" s="11" t="s">
        <v>147</v>
      </c>
    </row>
    <row r="43" spans="1:13" ht="50" x14ac:dyDescent="0.2">
      <c r="A43" s="2" t="s">
        <v>148</v>
      </c>
      <c r="B43" s="2" t="s">
        <v>149</v>
      </c>
      <c r="C43" s="2" t="str">
        <f>RIGHT(B43,SUM(LEN(B43)-LEN(SUBSTITUTE(B43,{"0","1","2","3","4","5","6","7","8","9"},""))))</f>
        <v>606</v>
      </c>
      <c r="D43" s="2" t="str">
        <f t="shared" si="2"/>
        <v>0606</v>
      </c>
      <c r="E43" s="2" t="str">
        <f t="shared" si="3"/>
        <v>'0606.HK'</v>
      </c>
      <c r="F43" s="4" t="s">
        <v>150</v>
      </c>
      <c r="G43" s="6" t="s">
        <v>14</v>
      </c>
      <c r="H43" s="7">
        <v>4.91</v>
      </c>
      <c r="I43" s="8">
        <v>-3545</v>
      </c>
      <c r="J43" s="8">
        <v>3589.7</v>
      </c>
      <c r="K43" s="8">
        <v>20.100000000000001</v>
      </c>
      <c r="L43" s="7">
        <v>1.18</v>
      </c>
      <c r="M43" s="12" t="s">
        <v>151</v>
      </c>
    </row>
    <row r="44" spans="1:13" ht="100" x14ac:dyDescent="0.2">
      <c r="A44" s="2" t="s">
        <v>152</v>
      </c>
      <c r="B44" s="2" t="s">
        <v>153</v>
      </c>
      <c r="C44" s="2" t="str">
        <f>RIGHT(B44,SUM(LEN(B44)-LEN(SUBSTITUTE(B44,{"0","1","2","3","4","5","6","7","8","9"},""))))</f>
        <v>709</v>
      </c>
      <c r="D44" s="2" t="str">
        <f t="shared" si="2"/>
        <v>0709</v>
      </c>
      <c r="E44" s="2" t="str">
        <f t="shared" si="3"/>
        <v>'0709.HK'</v>
      </c>
      <c r="F44" s="4" t="s">
        <v>154</v>
      </c>
      <c r="G44" s="6" t="s">
        <v>14</v>
      </c>
      <c r="H44" s="7">
        <v>1.31</v>
      </c>
      <c r="I44" s="8">
        <v>-238</v>
      </c>
      <c r="J44" s="8">
        <v>2859.5</v>
      </c>
      <c r="K44" s="8">
        <v>39.1</v>
      </c>
      <c r="L44" s="7">
        <v>1.17</v>
      </c>
      <c r="M44" s="11" t="s">
        <v>155</v>
      </c>
    </row>
    <row r="45" spans="1:13" ht="150" x14ac:dyDescent="0.2">
      <c r="A45" s="2" t="s">
        <v>156</v>
      </c>
      <c r="B45" s="2" t="s">
        <v>157</v>
      </c>
      <c r="C45" s="2" t="str">
        <f>RIGHT(B45,SUM(LEN(B45)-LEN(SUBSTITUTE(B45,{"0","1","2","3","4","5","6","7","8","9"},""))))</f>
        <v>543</v>
      </c>
      <c r="D45" s="2" t="str">
        <f t="shared" si="2"/>
        <v>0543</v>
      </c>
      <c r="E45" s="2" t="str">
        <f t="shared" si="3"/>
        <v>'0543.HK'</v>
      </c>
      <c r="F45" s="4" t="s">
        <v>158</v>
      </c>
      <c r="G45" s="6" t="s">
        <v>14</v>
      </c>
      <c r="H45" s="7">
        <v>2.54</v>
      </c>
      <c r="I45" s="8">
        <v>-590.70000000000005</v>
      </c>
      <c r="J45" s="8">
        <v>1109</v>
      </c>
      <c r="K45" s="8">
        <v>26.5</v>
      </c>
      <c r="L45" s="7">
        <v>1.1299999999999999</v>
      </c>
      <c r="M45" s="11" t="s">
        <v>159</v>
      </c>
    </row>
    <row r="46" spans="1:13" ht="170" x14ac:dyDescent="0.2">
      <c r="A46" s="2" t="s">
        <v>160</v>
      </c>
      <c r="B46" s="2" t="s">
        <v>161</v>
      </c>
      <c r="C46" s="2" t="str">
        <f>RIGHT(B46,SUM(LEN(B46)-LEN(SUBSTITUTE(B46,{"0","1","2","3","4","5","6","7","8","9"},""))))</f>
        <v>3658</v>
      </c>
      <c r="D46" s="2" t="str">
        <f t="shared" si="2"/>
        <v>3658</v>
      </c>
      <c r="E46" s="2" t="str">
        <f t="shared" si="3"/>
        <v>'3658.HK'</v>
      </c>
      <c r="F46" s="4" t="s">
        <v>162</v>
      </c>
      <c r="G46" s="6" t="s">
        <v>14</v>
      </c>
      <c r="H46" s="7">
        <v>2.83</v>
      </c>
      <c r="I46" s="8">
        <v>-1276.8</v>
      </c>
      <c r="J46" s="8">
        <v>1302.5999999999999</v>
      </c>
      <c r="K46" s="8">
        <v>36</v>
      </c>
      <c r="L46" s="7">
        <v>1.1200000000000001</v>
      </c>
      <c r="M46" s="11" t="s">
        <v>163</v>
      </c>
    </row>
    <row r="47" spans="1:13" ht="150" x14ac:dyDescent="0.2">
      <c r="A47" s="2" t="s">
        <v>164</v>
      </c>
      <c r="B47" s="2" t="s">
        <v>165</v>
      </c>
      <c r="C47" s="2" t="str">
        <f>RIGHT(B47,SUM(LEN(B47)-LEN(SUBSTITUTE(B47,{"0","1","2","3","4","5","6","7","8","9"},""))))</f>
        <v>1303</v>
      </c>
      <c r="D47" s="2" t="str">
        <f t="shared" si="2"/>
        <v>1303</v>
      </c>
      <c r="E47" s="2" t="str">
        <f t="shared" si="3"/>
        <v>'1303.HK'</v>
      </c>
      <c r="F47" s="4" t="s">
        <v>166</v>
      </c>
      <c r="G47" s="6" t="s">
        <v>14</v>
      </c>
      <c r="H47" s="7">
        <v>1.78</v>
      </c>
      <c r="I47" s="8">
        <v>-287.2</v>
      </c>
      <c r="J47" s="8">
        <v>550.79999999999995</v>
      </c>
      <c r="K47" s="8">
        <v>29.8</v>
      </c>
      <c r="L47" s="7">
        <v>1.1100000000000001</v>
      </c>
      <c r="M47" s="11" t="s">
        <v>167</v>
      </c>
    </row>
    <row r="48" spans="1:13" ht="40" x14ac:dyDescent="0.2">
      <c r="A48" s="2" t="s">
        <v>168</v>
      </c>
      <c r="B48" s="2" t="s">
        <v>169</v>
      </c>
      <c r="C48" s="2" t="str">
        <f>RIGHT(B48,SUM(LEN(B48)-LEN(SUBSTITUTE(B48,{"0","1","2","3","4","5","6","7","8","9"},""))))</f>
        <v>1651</v>
      </c>
      <c r="D48" s="2" t="str">
        <f t="shared" si="2"/>
        <v>1651</v>
      </c>
      <c r="E48" s="2" t="str">
        <f t="shared" si="3"/>
        <v>'1651.HK'</v>
      </c>
      <c r="F48" s="4" t="s">
        <v>170</v>
      </c>
      <c r="G48" s="6" t="s">
        <v>14</v>
      </c>
      <c r="H48" s="7">
        <v>1.47</v>
      </c>
      <c r="I48" s="8">
        <v>-655.5</v>
      </c>
      <c r="J48" s="8">
        <v>3031.2</v>
      </c>
      <c r="K48" s="8">
        <v>36.799999999999997</v>
      </c>
      <c r="L48" s="7">
        <v>1.1100000000000001</v>
      </c>
      <c r="M48" s="5" t="s">
        <v>171</v>
      </c>
    </row>
    <row r="49" spans="1:13" ht="60" x14ac:dyDescent="0.2">
      <c r="A49" s="2" t="s">
        <v>172</v>
      </c>
      <c r="B49" s="2" t="s">
        <v>173</v>
      </c>
      <c r="C49" s="2" t="str">
        <f>RIGHT(B49,SUM(LEN(B49)-LEN(SUBSTITUTE(B49,{"0","1","2","3","4","5","6","7","8","9"},""))))</f>
        <v>8479</v>
      </c>
      <c r="D49" s="2" t="str">
        <f t="shared" si="2"/>
        <v>8479</v>
      </c>
      <c r="E49" s="2" t="str">
        <f t="shared" si="3"/>
        <v>'8479.HK'</v>
      </c>
      <c r="F49" s="4" t="s">
        <v>174</v>
      </c>
      <c r="G49" s="6" t="s">
        <v>14</v>
      </c>
      <c r="H49" s="7">
        <v>2.69</v>
      </c>
      <c r="I49" s="7">
        <v>-5.21</v>
      </c>
      <c r="J49" s="8">
        <v>530.1</v>
      </c>
      <c r="K49" s="8">
        <v>35.200000000000003</v>
      </c>
      <c r="L49" s="7">
        <v>1.1000000000000001</v>
      </c>
      <c r="M49" s="11" t="s">
        <v>175</v>
      </c>
    </row>
    <row r="50" spans="1:13" ht="60" x14ac:dyDescent="0.2">
      <c r="A50" s="2" t="s">
        <v>176</v>
      </c>
      <c r="B50" s="2" t="s">
        <v>177</v>
      </c>
      <c r="C50" s="2" t="str">
        <f>RIGHT(B50,SUM(LEN(B50)-LEN(SUBSTITUTE(B50,{"0","1","2","3","4","5","6","7","8","9"},""))))</f>
        <v>2180</v>
      </c>
      <c r="D50" s="2" t="str">
        <f t="shared" si="2"/>
        <v>2180</v>
      </c>
      <c r="E50" s="2" t="str">
        <f t="shared" si="3"/>
        <v>'2180.HK'</v>
      </c>
      <c r="F50" s="4" t="s">
        <v>178</v>
      </c>
      <c r="G50" s="6" t="s">
        <v>14</v>
      </c>
      <c r="H50" s="7">
        <v>2.79</v>
      </c>
      <c r="I50" s="8">
        <v>-1272.3</v>
      </c>
      <c r="J50" s="8">
        <v>1649.7</v>
      </c>
      <c r="K50" s="8">
        <v>33.200000000000003</v>
      </c>
      <c r="L50" s="7">
        <v>1.1000000000000001</v>
      </c>
      <c r="M50" s="11" t="s">
        <v>179</v>
      </c>
    </row>
    <row r="51" spans="1:13" ht="130" x14ac:dyDescent="0.2">
      <c r="A51" s="2" t="s">
        <v>180</v>
      </c>
      <c r="B51" s="2" t="s">
        <v>181</v>
      </c>
      <c r="C51" s="2" t="str">
        <f>RIGHT(B51,SUM(LEN(B51)-LEN(SUBSTITUTE(B51,{"0","1","2","3","4","5","6","7","8","9"},""))))</f>
        <v>1357</v>
      </c>
      <c r="D51" s="2" t="str">
        <f t="shared" si="2"/>
        <v>1357</v>
      </c>
      <c r="E51" s="2" t="str">
        <f t="shared" si="3"/>
        <v>'1357.HK'</v>
      </c>
      <c r="F51" s="4" t="s">
        <v>182</v>
      </c>
      <c r="G51" s="6" t="s">
        <v>14</v>
      </c>
      <c r="H51" s="7">
        <v>2.1800000000000002</v>
      </c>
      <c r="I51" s="8">
        <v>-1448</v>
      </c>
      <c r="J51" s="8">
        <v>4368.2</v>
      </c>
      <c r="K51" s="8">
        <v>25.9</v>
      </c>
      <c r="L51" s="7">
        <v>1.07</v>
      </c>
      <c r="M51" s="11" t="s">
        <v>183</v>
      </c>
    </row>
    <row r="52" spans="1:13" ht="140" x14ac:dyDescent="0.2">
      <c r="A52" s="2" t="s">
        <v>184</v>
      </c>
      <c r="B52" s="2" t="s">
        <v>185</v>
      </c>
      <c r="C52" s="2" t="str">
        <f>RIGHT(B52,SUM(LEN(B52)-LEN(SUBSTITUTE(B52,{"0","1","2","3","4","5","6","7","8","9"},""))))</f>
        <v>2119</v>
      </c>
      <c r="D52" s="2" t="str">
        <f t="shared" si="2"/>
        <v>2119</v>
      </c>
      <c r="E52" s="2" t="str">
        <f t="shared" si="3"/>
        <v>'2119.HK'</v>
      </c>
      <c r="F52" s="4" t="s">
        <v>186</v>
      </c>
      <c r="G52" s="6" t="s">
        <v>14</v>
      </c>
      <c r="H52" s="7">
        <v>2.6</v>
      </c>
      <c r="I52" s="8">
        <v>-243</v>
      </c>
      <c r="J52" s="8">
        <v>598.20000000000005</v>
      </c>
      <c r="K52" s="8">
        <v>22.8</v>
      </c>
      <c r="L52" s="7">
        <v>1.06</v>
      </c>
      <c r="M52" s="11" t="s">
        <v>187</v>
      </c>
    </row>
    <row r="53" spans="1:13" ht="100" x14ac:dyDescent="0.2">
      <c r="A53" s="2" t="s">
        <v>188</v>
      </c>
      <c r="B53" s="2" t="s">
        <v>189</v>
      </c>
      <c r="C53" s="2" t="str">
        <f>RIGHT(B53,SUM(LEN(B53)-LEN(SUBSTITUTE(B53,{"0","1","2","3","4","5","6","7","8","9"},""))))</f>
        <v>6822</v>
      </c>
      <c r="D53" s="2" t="str">
        <f t="shared" si="2"/>
        <v>6822</v>
      </c>
      <c r="E53" s="2" t="str">
        <f t="shared" si="3"/>
        <v>'6822.HK'</v>
      </c>
      <c r="F53" s="4" t="s">
        <v>190</v>
      </c>
      <c r="G53" s="6" t="s">
        <v>14</v>
      </c>
      <c r="H53" s="7">
        <v>3.2</v>
      </c>
      <c r="I53" s="8">
        <v>-178.8</v>
      </c>
      <c r="J53" s="8">
        <v>630</v>
      </c>
      <c r="K53" s="8">
        <v>18.3</v>
      </c>
      <c r="L53" s="7">
        <v>1.06</v>
      </c>
      <c r="M53" s="11" t="s">
        <v>191</v>
      </c>
    </row>
    <row r="54" spans="1:13" ht="90" x14ac:dyDescent="0.2">
      <c r="A54" s="2" t="s">
        <v>192</v>
      </c>
      <c r="B54" s="2" t="s">
        <v>193</v>
      </c>
      <c r="C54" s="2" t="str">
        <f>RIGHT(B54,SUM(LEN(B54)-LEN(SUBSTITUTE(B54,{"0","1","2","3","4","5","6","7","8","9"},""))))</f>
        <v>398</v>
      </c>
      <c r="D54" s="2" t="str">
        <f t="shared" si="2"/>
        <v>0398</v>
      </c>
      <c r="E54" s="2" t="str">
        <f t="shared" si="3"/>
        <v>'0398.HK'</v>
      </c>
      <c r="F54" s="4" t="s">
        <v>194</v>
      </c>
      <c r="G54" s="6" t="s">
        <v>14</v>
      </c>
      <c r="H54" s="7">
        <v>3.06</v>
      </c>
      <c r="I54" s="8">
        <v>-824.9</v>
      </c>
      <c r="J54" s="8">
        <v>2154.1</v>
      </c>
      <c r="K54" s="8">
        <v>29.3</v>
      </c>
      <c r="L54" s="7">
        <v>1.06</v>
      </c>
      <c r="M54" s="11" t="s">
        <v>195</v>
      </c>
    </row>
    <row r="55" spans="1:13" ht="170" x14ac:dyDescent="0.2">
      <c r="A55" s="2" t="s">
        <v>196</v>
      </c>
      <c r="B55" s="2" t="s">
        <v>197</v>
      </c>
      <c r="C55" s="2" t="str">
        <f>RIGHT(B55,SUM(LEN(B55)-LEN(SUBSTITUTE(B55,{"0","1","2","3","4","5","6","7","8","9"},""))))</f>
        <v>837</v>
      </c>
      <c r="D55" s="2" t="str">
        <f t="shared" si="2"/>
        <v>0837</v>
      </c>
      <c r="E55" s="2" t="str">
        <f t="shared" si="3"/>
        <v>'0837.HK'</v>
      </c>
      <c r="F55" s="4" t="s">
        <v>198</v>
      </c>
      <c r="G55" s="6" t="s">
        <v>14</v>
      </c>
      <c r="H55" s="7">
        <v>4.74</v>
      </c>
      <c r="I55" s="8">
        <v>-416.9</v>
      </c>
      <c r="J55" s="8">
        <v>800.9</v>
      </c>
      <c r="K55" s="8">
        <v>14.3</v>
      </c>
      <c r="L55" s="7">
        <v>1.03</v>
      </c>
      <c r="M55" s="11" t="s">
        <v>199</v>
      </c>
    </row>
    <row r="56" spans="1:13" ht="180" x14ac:dyDescent="0.2">
      <c r="A56" s="2" t="s">
        <v>200</v>
      </c>
      <c r="B56" s="2" t="s">
        <v>201</v>
      </c>
      <c r="C56" s="2" t="str">
        <f>RIGHT(B56,SUM(LEN(B56)-LEN(SUBSTITUTE(B56,{"0","1","2","3","4","5","6","7","8","9"},""))))</f>
        <v>777</v>
      </c>
      <c r="D56" s="2" t="str">
        <f t="shared" si="2"/>
        <v>0777</v>
      </c>
      <c r="E56" s="2" t="str">
        <f t="shared" si="3"/>
        <v>'0777.HK'</v>
      </c>
      <c r="F56" s="4" t="s">
        <v>202</v>
      </c>
      <c r="G56" s="6" t="s">
        <v>14</v>
      </c>
      <c r="H56" s="7">
        <v>2.23</v>
      </c>
      <c r="I56" s="8">
        <v>-3317.1</v>
      </c>
      <c r="J56" s="8">
        <v>8165.6</v>
      </c>
      <c r="K56" s="8">
        <v>35</v>
      </c>
      <c r="L56" s="7">
        <v>1.01</v>
      </c>
      <c r="M56" s="11" t="s">
        <v>203</v>
      </c>
    </row>
    <row r="57" spans="1:13" ht="130" x14ac:dyDescent="0.2">
      <c r="A57" s="2" t="s">
        <v>204</v>
      </c>
      <c r="B57" s="2" t="s">
        <v>205</v>
      </c>
      <c r="C57" s="2" t="str">
        <f>RIGHT(B57,SUM(LEN(B57)-LEN(SUBSTITUTE(B57,{"0","1","2","3","4","5","6","7","8","9"},""))))</f>
        <v>2327</v>
      </c>
      <c r="D57" s="2" t="str">
        <f t="shared" si="2"/>
        <v>2327</v>
      </c>
      <c r="E57" s="2" t="str">
        <f t="shared" si="3"/>
        <v>'2327.HK'</v>
      </c>
      <c r="F57" s="4" t="s">
        <v>206</v>
      </c>
      <c r="G57" s="6" t="s">
        <v>14</v>
      </c>
      <c r="H57" s="7">
        <v>4.26</v>
      </c>
      <c r="I57" s="8">
        <v>-210</v>
      </c>
      <c r="J57" s="8">
        <v>1310.3</v>
      </c>
      <c r="K57" s="8">
        <v>17.600000000000001</v>
      </c>
      <c r="L57" s="10">
        <v>0.99199999999999999</v>
      </c>
      <c r="M57" s="11" t="s">
        <v>207</v>
      </c>
    </row>
    <row r="58" spans="1:13" ht="80" x14ac:dyDescent="0.2">
      <c r="A58" s="2" t="s">
        <v>208</v>
      </c>
      <c r="B58" s="2" t="s">
        <v>209</v>
      </c>
      <c r="C58" s="2" t="str">
        <f>RIGHT(B58,SUM(LEN(B58)-LEN(SUBSTITUTE(B58,{"0","1","2","3","4","5","6","7","8","9"},""))))</f>
        <v>6677</v>
      </c>
      <c r="D58" s="2" t="str">
        <f t="shared" si="2"/>
        <v>6677</v>
      </c>
      <c r="E58" s="2" t="str">
        <f t="shared" si="3"/>
        <v>'6677.HK'</v>
      </c>
      <c r="F58" s="4" t="s">
        <v>210</v>
      </c>
      <c r="G58" s="6" t="s">
        <v>14</v>
      </c>
      <c r="H58" s="7">
        <v>2.37</v>
      </c>
      <c r="I58" s="8">
        <v>-3099.7</v>
      </c>
      <c r="J58" s="8">
        <v>2888.9</v>
      </c>
      <c r="K58" s="8">
        <v>36.4</v>
      </c>
      <c r="L58" s="10">
        <v>0.98</v>
      </c>
      <c r="M58" s="11" t="s">
        <v>211</v>
      </c>
    </row>
    <row r="59" spans="1:13" ht="160" x14ac:dyDescent="0.2">
      <c r="A59" s="2" t="s">
        <v>212</v>
      </c>
      <c r="B59" s="2" t="s">
        <v>213</v>
      </c>
      <c r="C59" s="2" t="str">
        <f>RIGHT(B59,SUM(LEN(B59)-LEN(SUBSTITUTE(B59,{"0","1","2","3","4","5","6","7","8","9"},""))))</f>
        <v>6989</v>
      </c>
      <c r="D59" s="2" t="str">
        <f t="shared" si="2"/>
        <v>6989</v>
      </c>
      <c r="E59" s="2" t="str">
        <f t="shared" si="3"/>
        <v>'6989.HK'</v>
      </c>
      <c r="F59" s="4" t="s">
        <v>214</v>
      </c>
      <c r="G59" s="6" t="s">
        <v>14</v>
      </c>
      <c r="H59" s="7">
        <v>2.82</v>
      </c>
      <c r="I59" s="8">
        <v>-3552</v>
      </c>
      <c r="J59" s="8">
        <v>4124.8</v>
      </c>
      <c r="K59" s="8">
        <v>31.7</v>
      </c>
      <c r="L59" s="10">
        <v>0.97399999999999998</v>
      </c>
      <c r="M59" s="11" t="s">
        <v>215</v>
      </c>
    </row>
    <row r="60" spans="1:13" ht="80" x14ac:dyDescent="0.2">
      <c r="A60" s="2" t="s">
        <v>216</v>
      </c>
      <c r="B60" s="2" t="s">
        <v>217</v>
      </c>
      <c r="C60" s="2" t="str">
        <f>RIGHT(B60,SUM(LEN(B60)-LEN(SUBSTITUTE(B60,{"0","1","2","3","4","5","6","7","8","9"},""))))</f>
        <v>1234</v>
      </c>
      <c r="D60" s="2" t="str">
        <f t="shared" si="2"/>
        <v>1234</v>
      </c>
      <c r="E60" s="2" t="str">
        <f t="shared" si="3"/>
        <v>'1234.HK'</v>
      </c>
      <c r="F60" s="4" t="s">
        <v>218</v>
      </c>
      <c r="G60" s="6" t="s">
        <v>14</v>
      </c>
      <c r="H60" s="7">
        <v>1.63</v>
      </c>
      <c r="I60" s="8">
        <v>-1642.1</v>
      </c>
      <c r="J60" s="8">
        <v>4167.2</v>
      </c>
      <c r="K60" s="8">
        <v>26.6</v>
      </c>
      <c r="L60" s="10">
        <v>0.96399999999999997</v>
      </c>
      <c r="M60" s="11" t="s">
        <v>219</v>
      </c>
    </row>
    <row r="61" spans="1:13" ht="60" x14ac:dyDescent="0.2">
      <c r="A61" s="2" t="s">
        <v>220</v>
      </c>
      <c r="B61" s="2" t="s">
        <v>221</v>
      </c>
      <c r="C61" s="2" t="str">
        <f>RIGHT(B61,SUM(LEN(B61)-LEN(SUBSTITUTE(B61,{"0","1","2","3","4","5","6","7","8","9"},""))))</f>
        <v>609</v>
      </c>
      <c r="D61" s="2" t="str">
        <f t="shared" si="2"/>
        <v>0609</v>
      </c>
      <c r="E61" s="2" t="str">
        <f t="shared" si="3"/>
        <v>'0609.HK'</v>
      </c>
      <c r="F61" s="4" t="s">
        <v>222</v>
      </c>
      <c r="G61" s="6" t="s">
        <v>14</v>
      </c>
      <c r="H61" s="7">
        <v>1.5</v>
      </c>
      <c r="I61" s="8">
        <v>-81.5</v>
      </c>
      <c r="J61" s="8">
        <v>2287</v>
      </c>
      <c r="K61" s="8">
        <v>24.3</v>
      </c>
      <c r="L61" s="10">
        <v>0.96299999999999997</v>
      </c>
      <c r="M61" s="11" t="s">
        <v>223</v>
      </c>
    </row>
    <row r="62" spans="1:13" ht="60" x14ac:dyDescent="0.2">
      <c r="A62" s="2" t="s">
        <v>224</v>
      </c>
      <c r="B62" s="2" t="s">
        <v>225</v>
      </c>
      <c r="C62" s="2" t="str">
        <f>RIGHT(B62,SUM(LEN(B62)-LEN(SUBSTITUTE(B62,{"0","1","2","3","4","5","6","7","8","9"},""))))</f>
        <v>2175</v>
      </c>
      <c r="D62" s="2" t="str">
        <f t="shared" si="2"/>
        <v>2175</v>
      </c>
      <c r="E62" s="2" t="str">
        <f t="shared" si="3"/>
        <v>'2175.HK'</v>
      </c>
      <c r="F62" s="4" t="s">
        <v>226</v>
      </c>
      <c r="G62" s="6" t="s">
        <v>14</v>
      </c>
      <c r="H62" s="7">
        <v>3.48</v>
      </c>
      <c r="I62" s="8">
        <v>-1285.5</v>
      </c>
      <c r="J62" s="8">
        <v>1905.8</v>
      </c>
      <c r="K62" s="8">
        <v>16.5</v>
      </c>
      <c r="L62" s="10">
        <v>0.95699999999999996</v>
      </c>
      <c r="M62" s="11" t="s">
        <v>227</v>
      </c>
    </row>
    <row r="63" spans="1:13" ht="110" x14ac:dyDescent="0.2">
      <c r="A63" s="2" t="s">
        <v>228</v>
      </c>
      <c r="B63" s="2" t="s">
        <v>229</v>
      </c>
      <c r="C63" s="2" t="str">
        <f>RIGHT(B63,SUM(LEN(B63)-LEN(SUBSTITUTE(B63,{"0","1","2","3","4","5","6","7","8","9"},""))))</f>
        <v>9836</v>
      </c>
      <c r="D63" s="2" t="str">
        <f t="shared" si="2"/>
        <v>9836</v>
      </c>
      <c r="E63" s="2" t="str">
        <f t="shared" si="3"/>
        <v>'9836.HK'</v>
      </c>
      <c r="F63" s="4" t="s">
        <v>230</v>
      </c>
      <c r="G63" s="6" t="s">
        <v>231</v>
      </c>
      <c r="H63" s="8">
        <v>30.1</v>
      </c>
      <c r="I63" s="8">
        <v>-755.8</v>
      </c>
      <c r="J63" s="8">
        <v>726.3</v>
      </c>
      <c r="K63" s="7">
        <v>3.44</v>
      </c>
      <c r="L63" s="10">
        <v>0.95599999999999996</v>
      </c>
      <c r="M63" s="5" t="s">
        <v>232</v>
      </c>
    </row>
    <row r="64" spans="1:13" ht="150" x14ac:dyDescent="0.2">
      <c r="A64" s="2" t="s">
        <v>233</v>
      </c>
      <c r="B64" s="2" t="s">
        <v>234</v>
      </c>
      <c r="C64" s="2" t="str">
        <f>RIGHT(B64,SUM(LEN(B64)-LEN(SUBSTITUTE(B64,{"0","1","2","3","4","5","6","7","8","9"},""))))</f>
        <v>29</v>
      </c>
      <c r="D64" s="2" t="str">
        <f t="shared" si="2"/>
        <v>0029</v>
      </c>
      <c r="E64" s="2" t="str">
        <f t="shared" si="3"/>
        <v>'0029.HK'</v>
      </c>
      <c r="F64" s="4" t="s">
        <v>235</v>
      </c>
      <c r="G64" s="6" t="s">
        <v>14</v>
      </c>
      <c r="H64" s="7">
        <v>1.42</v>
      </c>
      <c r="I64" s="8">
        <v>-108.2</v>
      </c>
      <c r="J64" s="8">
        <v>2115.6</v>
      </c>
      <c r="K64" s="8">
        <v>20.3</v>
      </c>
      <c r="L64" s="10">
        <v>0.94</v>
      </c>
      <c r="M64" s="11" t="s">
        <v>236</v>
      </c>
    </row>
    <row r="65" spans="1:13" ht="50" x14ac:dyDescent="0.2">
      <c r="A65" s="2" t="s">
        <v>237</v>
      </c>
      <c r="B65" s="2" t="s">
        <v>238</v>
      </c>
      <c r="C65" s="2" t="str">
        <f>RIGHT(B65,SUM(LEN(B65)-LEN(SUBSTITUTE(B65,{"0","1","2","3","4","5","6","7","8","9"},""))))</f>
        <v>166</v>
      </c>
      <c r="D65" s="2" t="str">
        <f t="shared" si="2"/>
        <v>0166</v>
      </c>
      <c r="E65" s="2" t="str">
        <f t="shared" si="3"/>
        <v>'0166.HK'</v>
      </c>
      <c r="F65" s="4" t="s">
        <v>239</v>
      </c>
      <c r="G65" s="6" t="s">
        <v>14</v>
      </c>
      <c r="H65" s="7">
        <v>4.21</v>
      </c>
      <c r="I65" s="8">
        <v>-611.6</v>
      </c>
      <c r="J65" s="8">
        <v>1233.2</v>
      </c>
      <c r="K65" s="8">
        <v>36.6</v>
      </c>
      <c r="L65" s="10">
        <v>0.93899999999999995</v>
      </c>
      <c r="M65" s="5" t="s">
        <v>240</v>
      </c>
    </row>
    <row r="66" spans="1:13" ht="50" x14ac:dyDescent="0.2">
      <c r="A66" s="2" t="s">
        <v>241</v>
      </c>
      <c r="B66" s="2" t="s">
        <v>242</v>
      </c>
      <c r="C66" s="2" t="str">
        <f>RIGHT(B66,SUM(LEN(B66)-LEN(SUBSTITUTE(B66,{"0","1","2","3","4","5","6","7","8","9"},""))))</f>
        <v>6988</v>
      </c>
      <c r="D66" s="2" t="str">
        <f t="shared" si="2"/>
        <v>6988</v>
      </c>
      <c r="E66" s="2" t="str">
        <f t="shared" si="3"/>
        <v>'6988.HK'</v>
      </c>
      <c r="F66" s="4" t="s">
        <v>243</v>
      </c>
      <c r="G66" s="6" t="s">
        <v>14</v>
      </c>
      <c r="H66" s="7">
        <v>7.74</v>
      </c>
      <c r="I66" s="8">
        <v>-607.20000000000005</v>
      </c>
      <c r="J66" s="8">
        <v>2714</v>
      </c>
      <c r="K66" s="7">
        <v>5.77</v>
      </c>
      <c r="L66" s="10">
        <v>0.92600000000000005</v>
      </c>
      <c r="M66" s="5" t="s">
        <v>244</v>
      </c>
    </row>
    <row r="67" spans="1:13" ht="60" x14ac:dyDescent="0.2">
      <c r="A67" s="2" t="s">
        <v>245</v>
      </c>
      <c r="B67" s="2" t="s">
        <v>246</v>
      </c>
      <c r="C67" s="2" t="str">
        <f>RIGHT(B67,SUM(LEN(B67)-LEN(SUBSTITUTE(B67,{"0","1","2","3","4","5","6","7","8","9"},""))))</f>
        <v>1516</v>
      </c>
      <c r="D67" s="2" t="str">
        <f t="shared" si="2"/>
        <v>1516</v>
      </c>
      <c r="E67" s="2" t="str">
        <f t="shared" si="3"/>
        <v>'1516.HK'</v>
      </c>
      <c r="F67" s="4" t="s">
        <v>247</v>
      </c>
      <c r="G67" s="6" t="s">
        <v>14</v>
      </c>
      <c r="H67" s="7">
        <v>2.2200000000000002</v>
      </c>
      <c r="I67" s="8">
        <v>-6900.4</v>
      </c>
      <c r="J67" s="8">
        <v>8039.5</v>
      </c>
      <c r="K67" s="8">
        <v>35.6</v>
      </c>
      <c r="L67" s="10">
        <v>0.92500000000000004</v>
      </c>
      <c r="M67" s="11" t="s">
        <v>248</v>
      </c>
    </row>
    <row r="68" spans="1:13" ht="110" x14ac:dyDescent="0.2">
      <c r="A68" s="2" t="s">
        <v>249</v>
      </c>
      <c r="B68" s="2" t="s">
        <v>250</v>
      </c>
      <c r="C68" s="2" t="str">
        <f>RIGHT(B68,SUM(LEN(B68)-LEN(SUBSTITUTE(B68,{"0","1","2","3","4","5","6","7","8","9"},""))))</f>
        <v>1277</v>
      </c>
      <c r="D68" s="2" t="str">
        <f t="shared" si="2"/>
        <v>1277</v>
      </c>
      <c r="E68" s="2" t="str">
        <f t="shared" si="3"/>
        <v>'1277.HK'</v>
      </c>
      <c r="F68" s="4" t="s">
        <v>251</v>
      </c>
      <c r="G68" s="6" t="s">
        <v>14</v>
      </c>
      <c r="H68" s="7">
        <v>2.0099999999999998</v>
      </c>
      <c r="I68" s="8">
        <v>-2919.8</v>
      </c>
      <c r="J68" s="8">
        <v>5901</v>
      </c>
      <c r="K68" s="8">
        <v>24.3</v>
      </c>
      <c r="L68" s="10">
        <v>0.92200000000000004</v>
      </c>
      <c r="M68" s="11" t="s">
        <v>252</v>
      </c>
    </row>
    <row r="69" spans="1:13" ht="70" x14ac:dyDescent="0.2">
      <c r="A69" s="2" t="s">
        <v>253</v>
      </c>
      <c r="B69" s="2" t="s">
        <v>254</v>
      </c>
      <c r="C69" s="2" t="str">
        <f>RIGHT(B69,SUM(LEN(B69)-LEN(SUBSTITUTE(B69,{"0","1","2","3","4","5","6","7","8","9"},""))))</f>
        <v>1316</v>
      </c>
      <c r="D69" s="2" t="str">
        <f t="shared" si="2"/>
        <v>1316</v>
      </c>
      <c r="E69" s="2" t="str">
        <f t="shared" si="3"/>
        <v>'1316.HK'</v>
      </c>
      <c r="F69" s="4" t="s">
        <v>255</v>
      </c>
      <c r="G69" s="6" t="s">
        <v>14</v>
      </c>
      <c r="H69" s="7">
        <v>1.1399999999999999</v>
      </c>
      <c r="I69" s="8">
        <v>-1401.6</v>
      </c>
      <c r="J69" s="8">
        <v>12549.1</v>
      </c>
      <c r="K69" s="8">
        <v>37.5</v>
      </c>
      <c r="L69" s="10">
        <v>0.92</v>
      </c>
      <c r="M69" s="11" t="s">
        <v>256</v>
      </c>
    </row>
    <row r="70" spans="1:13" ht="220" x14ac:dyDescent="0.2">
      <c r="A70" s="2" t="s">
        <v>257</v>
      </c>
      <c r="B70" s="2" t="s">
        <v>258</v>
      </c>
      <c r="C70" s="2" t="str">
        <f>RIGHT(B70,SUM(LEN(B70)-LEN(SUBSTITUTE(B70,{"0","1","2","3","4","5","6","7","8","9"},""))))</f>
        <v>1060</v>
      </c>
      <c r="D70" s="2" t="str">
        <f t="shared" si="2"/>
        <v>1060</v>
      </c>
      <c r="E70" s="2" t="str">
        <f t="shared" si="3"/>
        <v>'1060.HK'</v>
      </c>
      <c r="F70" s="4" t="s">
        <v>259</v>
      </c>
      <c r="G70" s="6" t="s">
        <v>14</v>
      </c>
      <c r="H70" s="7">
        <v>4.2699999999999996</v>
      </c>
      <c r="I70" s="8">
        <v>-4152</v>
      </c>
      <c r="J70" s="8">
        <v>15915.6</v>
      </c>
      <c r="K70" s="7">
        <v>9.85</v>
      </c>
      <c r="L70" s="10">
        <v>0.91900000000000004</v>
      </c>
      <c r="M70" s="11" t="s">
        <v>260</v>
      </c>
    </row>
    <row r="71" spans="1:13" ht="40" x14ac:dyDescent="0.2">
      <c r="A71" s="2" t="s">
        <v>261</v>
      </c>
      <c r="B71" s="2" t="s">
        <v>262</v>
      </c>
      <c r="C71" s="2" t="str">
        <f>RIGHT(B71,SUM(LEN(B71)-LEN(SUBSTITUTE(B71,{"0","1","2","3","4","5","6","7","8","9"},""))))</f>
        <v>3798</v>
      </c>
      <c r="D71" s="2" t="str">
        <f t="shared" si="2"/>
        <v>3798</v>
      </c>
      <c r="E71" s="2" t="str">
        <f t="shared" si="3"/>
        <v>'3798.HK'</v>
      </c>
      <c r="F71" s="4" t="s">
        <v>263</v>
      </c>
      <c r="G71" s="6" t="s">
        <v>14</v>
      </c>
      <c r="H71" s="7">
        <v>5.56</v>
      </c>
      <c r="I71" s="8">
        <v>-1343.4</v>
      </c>
      <c r="J71" s="8">
        <v>2008.9</v>
      </c>
      <c r="K71" s="8">
        <v>16.7</v>
      </c>
      <c r="L71" s="10">
        <v>0.91900000000000004</v>
      </c>
      <c r="M71" s="5" t="s">
        <v>264</v>
      </c>
    </row>
    <row r="72" spans="1:13" ht="170" x14ac:dyDescent="0.2">
      <c r="A72" s="2" t="s">
        <v>265</v>
      </c>
      <c r="B72" s="2" t="s">
        <v>266</v>
      </c>
      <c r="C72" s="2" t="str">
        <f>RIGHT(B72,SUM(LEN(B72)-LEN(SUBSTITUTE(B72,{"0","1","2","3","4","5","6","7","8","9"},""))))</f>
        <v>1412</v>
      </c>
      <c r="D72" s="2" t="str">
        <f t="shared" si="2"/>
        <v>1412</v>
      </c>
      <c r="E72" s="2" t="str">
        <f t="shared" si="3"/>
        <v>'1412.HK'</v>
      </c>
      <c r="F72" s="4" t="s">
        <v>267</v>
      </c>
      <c r="G72" s="6" t="s">
        <v>14</v>
      </c>
      <c r="H72" s="7">
        <v>1.17</v>
      </c>
      <c r="I72" s="8">
        <v>-69.900000000000006</v>
      </c>
      <c r="J72" s="8">
        <v>744.8</v>
      </c>
      <c r="K72" s="8">
        <v>30.6</v>
      </c>
      <c r="L72" s="10">
        <v>0.91800000000000004</v>
      </c>
      <c r="M72" s="11" t="s">
        <v>268</v>
      </c>
    </row>
    <row r="73" spans="1:13" ht="40" x14ac:dyDescent="0.2">
      <c r="A73" s="2" t="s">
        <v>269</v>
      </c>
      <c r="B73" s="2" t="s">
        <v>270</v>
      </c>
      <c r="C73" s="2" t="str">
        <f>RIGHT(B73,SUM(LEN(B73)-LEN(SUBSTITUTE(B73,{"0","1","2","3","4","5","6","7","8","9"},""))))</f>
        <v>1022</v>
      </c>
      <c r="D73" s="2" t="str">
        <f t="shared" si="2"/>
        <v>1022</v>
      </c>
      <c r="E73" s="2" t="str">
        <f t="shared" si="3"/>
        <v>'1022.HK'</v>
      </c>
      <c r="F73" s="4" t="s">
        <v>271</v>
      </c>
      <c r="G73" s="6" t="s">
        <v>14</v>
      </c>
      <c r="H73" s="7">
        <v>1.87</v>
      </c>
      <c r="I73" s="8">
        <v>-59.1</v>
      </c>
      <c r="J73" s="8">
        <v>532.79999999999995</v>
      </c>
      <c r="K73" s="8">
        <v>26.1</v>
      </c>
      <c r="L73" s="10">
        <v>0.91500000000000004</v>
      </c>
      <c r="M73" s="5" t="s">
        <v>264</v>
      </c>
    </row>
    <row r="74" spans="1:13" ht="40" x14ac:dyDescent="0.2">
      <c r="A74" s="2" t="s">
        <v>272</v>
      </c>
      <c r="B74" s="2" t="s">
        <v>273</v>
      </c>
      <c r="C74" s="2" t="str">
        <f>RIGHT(B74,SUM(LEN(B74)-LEN(SUBSTITUTE(B74,{"0","1","2","3","4","5","6","7","8","9"},""))))</f>
        <v>9982</v>
      </c>
      <c r="D74" s="2" t="str">
        <f t="shared" si="2"/>
        <v>9982</v>
      </c>
      <c r="E74" s="2" t="str">
        <f t="shared" si="3"/>
        <v>'9982.HK'</v>
      </c>
      <c r="F74" s="4" t="s">
        <v>274</v>
      </c>
      <c r="G74" s="6" t="s">
        <v>14</v>
      </c>
      <c r="H74" s="7">
        <v>4.96</v>
      </c>
      <c r="I74" s="8">
        <v>-2423.5</v>
      </c>
      <c r="J74" s="8">
        <v>2397.3000000000002</v>
      </c>
      <c r="K74" s="8">
        <v>19.899999999999999</v>
      </c>
      <c r="L74" s="10">
        <v>0.90900000000000003</v>
      </c>
      <c r="M74" s="5" t="s">
        <v>275</v>
      </c>
    </row>
    <row r="75" spans="1:13" ht="30" x14ac:dyDescent="0.2">
      <c r="A75" s="2" t="s">
        <v>276</v>
      </c>
      <c r="B75" s="2" t="s">
        <v>277</v>
      </c>
      <c r="C75" s="2" t="str">
        <f>RIGHT(B75,SUM(LEN(B75)-LEN(SUBSTITUTE(B75,{"0","1","2","3","4","5","6","7","8","9"},""))))</f>
        <v>806</v>
      </c>
      <c r="D75" s="2" t="str">
        <f t="shared" si="2"/>
        <v>0806</v>
      </c>
      <c r="E75" s="2" t="str">
        <f t="shared" si="3"/>
        <v>'0806.HK'</v>
      </c>
      <c r="F75" s="4" t="s">
        <v>278</v>
      </c>
      <c r="G75" s="6" t="s">
        <v>14</v>
      </c>
      <c r="H75" s="7">
        <v>6.79</v>
      </c>
      <c r="I75" s="8">
        <v>-1563.3</v>
      </c>
      <c r="J75" s="8">
        <v>4171.2</v>
      </c>
      <c r="K75" s="7">
        <v>7.15</v>
      </c>
      <c r="L75" s="10">
        <v>0.89700000000000002</v>
      </c>
      <c r="M75" s="5" t="s">
        <v>279</v>
      </c>
    </row>
    <row r="76" spans="1:13" ht="120" x14ac:dyDescent="0.2">
      <c r="A76" s="2" t="s">
        <v>280</v>
      </c>
      <c r="B76" s="2" t="s">
        <v>281</v>
      </c>
      <c r="C76" s="2" t="str">
        <f>RIGHT(B76,SUM(LEN(B76)-LEN(SUBSTITUTE(B76,{"0","1","2","3","4","5","6","7","8","9"},""))))</f>
        <v>1361</v>
      </c>
      <c r="D76" s="2" t="str">
        <f t="shared" si="2"/>
        <v>1361</v>
      </c>
      <c r="E76" s="2" t="str">
        <f t="shared" si="3"/>
        <v>'1361.HK'</v>
      </c>
      <c r="F76" s="4" t="s">
        <v>282</v>
      </c>
      <c r="G76" s="6" t="s">
        <v>14</v>
      </c>
      <c r="H76" s="7">
        <v>3.01</v>
      </c>
      <c r="I76" s="8">
        <v>-6297.3</v>
      </c>
      <c r="J76" s="8">
        <v>7960.2</v>
      </c>
      <c r="K76" s="8">
        <v>23.9</v>
      </c>
      <c r="L76" s="10">
        <v>0.88700000000000001</v>
      </c>
      <c r="M76" s="11" t="s">
        <v>283</v>
      </c>
    </row>
    <row r="77" spans="1:13" ht="40" x14ac:dyDescent="0.2">
      <c r="A77" s="2" t="s">
        <v>284</v>
      </c>
      <c r="B77" s="2" t="s">
        <v>285</v>
      </c>
      <c r="C77" s="2" t="str">
        <f>RIGHT(B77,SUM(LEN(B77)-LEN(SUBSTITUTE(B77,{"0","1","2","3","4","5","6","7","8","9"},""))))</f>
        <v>2660</v>
      </c>
      <c r="D77" s="2" t="str">
        <f t="shared" si="2"/>
        <v>2660</v>
      </c>
      <c r="E77" s="2" t="str">
        <f t="shared" si="3"/>
        <v>'2660.HK'</v>
      </c>
      <c r="F77" s="4" t="s">
        <v>286</v>
      </c>
      <c r="G77" s="6" t="s">
        <v>14</v>
      </c>
      <c r="H77" s="7">
        <v>5.85</v>
      </c>
      <c r="I77" s="8">
        <v>-1445.9</v>
      </c>
      <c r="J77" s="8">
        <v>1589.5</v>
      </c>
      <c r="K77" s="8">
        <v>17.7</v>
      </c>
      <c r="L77" s="10">
        <v>0.88700000000000001</v>
      </c>
      <c r="M77" s="5" t="s">
        <v>264</v>
      </c>
    </row>
    <row r="78" spans="1:13" ht="80" x14ac:dyDescent="0.2">
      <c r="A78" s="2" t="s">
        <v>287</v>
      </c>
      <c r="B78" s="2" t="s">
        <v>288</v>
      </c>
      <c r="C78" s="2" t="str">
        <f>RIGHT(B78,SUM(LEN(B78)-LEN(SUBSTITUTE(B78,{"0","1","2","3","4","5","6","7","8","9"},""))))</f>
        <v>1230</v>
      </c>
      <c r="D78" s="2" t="str">
        <f t="shared" si="2"/>
        <v>1230</v>
      </c>
      <c r="E78" s="2" t="str">
        <f t="shared" si="3"/>
        <v>'1230.HK'</v>
      </c>
      <c r="F78" s="4" t="s">
        <v>289</v>
      </c>
      <c r="G78" s="6" t="s">
        <v>14</v>
      </c>
      <c r="H78" s="7">
        <v>1.5</v>
      </c>
      <c r="I78" s="8">
        <v>-2199</v>
      </c>
      <c r="J78" s="8">
        <v>5552.3</v>
      </c>
      <c r="K78" s="8">
        <v>24.1</v>
      </c>
      <c r="L78" s="10">
        <v>0.88200000000000001</v>
      </c>
      <c r="M78" s="11" t="s">
        <v>290</v>
      </c>
    </row>
    <row r="79" spans="1:13" ht="110" x14ac:dyDescent="0.2">
      <c r="A79" s="2" t="s">
        <v>291</v>
      </c>
      <c r="B79" s="2" t="s">
        <v>292</v>
      </c>
      <c r="C79" s="2" t="str">
        <f>RIGHT(B79,SUM(LEN(B79)-LEN(SUBSTITUTE(B79,{"0","1","2","3","4","5","6","7","8","9"},""))))</f>
        <v>6608</v>
      </c>
      <c r="D79" s="2" t="str">
        <f t="shared" si="2"/>
        <v>6608</v>
      </c>
      <c r="E79" s="2" t="str">
        <f t="shared" si="3"/>
        <v>'6608.HK'</v>
      </c>
      <c r="F79" s="4" t="s">
        <v>293</v>
      </c>
      <c r="G79" s="6" t="s">
        <v>14</v>
      </c>
      <c r="H79" s="7">
        <v>6.49</v>
      </c>
      <c r="I79" s="8">
        <v>-4559.5</v>
      </c>
      <c r="J79" s="8">
        <v>4443.1000000000004</v>
      </c>
      <c r="K79" s="8">
        <v>14.7</v>
      </c>
      <c r="L79" s="10">
        <v>0.88200000000000001</v>
      </c>
      <c r="M79" s="11" t="s">
        <v>294</v>
      </c>
    </row>
    <row r="80" spans="1:13" ht="100" x14ac:dyDescent="0.2">
      <c r="A80" s="2" t="s">
        <v>295</v>
      </c>
      <c r="B80" s="2" t="s">
        <v>296</v>
      </c>
      <c r="C80" s="2" t="str">
        <f>RIGHT(B80,SUM(LEN(B80)-LEN(SUBSTITUTE(B80,{"0","1","2","3","4","5","6","7","8","9"},""))))</f>
        <v>1328</v>
      </c>
      <c r="D80" s="2" t="str">
        <f t="shared" si="2"/>
        <v>1328</v>
      </c>
      <c r="E80" s="2" t="str">
        <f t="shared" si="3"/>
        <v>'1328.HK'</v>
      </c>
      <c r="F80" s="4" t="s">
        <v>297</v>
      </c>
      <c r="G80" s="6" t="s">
        <v>14</v>
      </c>
      <c r="H80" s="7">
        <v>1.63</v>
      </c>
      <c r="I80" s="8">
        <v>-212.1</v>
      </c>
      <c r="J80" s="8">
        <v>655.20000000000005</v>
      </c>
      <c r="K80" s="8">
        <v>29.5</v>
      </c>
      <c r="L80" s="10">
        <v>0.877</v>
      </c>
      <c r="M80" s="11" t="s">
        <v>298</v>
      </c>
    </row>
    <row r="81" spans="1:13" ht="150" hidden="1" x14ac:dyDescent="0.2">
      <c r="A81" s="2" t="s">
        <v>299</v>
      </c>
      <c r="B81" s="2" t="s">
        <v>300</v>
      </c>
      <c r="C81" s="2" t="str">
        <f>RIGHT(B81,SUM(LEN(B81)-LEN(SUBSTITUTE(B81,{"0","1","2","3","4","5","6","7","8","9"},""))))</f>
        <v/>
      </c>
      <c r="D81" s="2"/>
      <c r="E81" s="2"/>
      <c r="F81" s="5" t="s">
        <v>14</v>
      </c>
      <c r="G81" s="6" t="s">
        <v>301</v>
      </c>
      <c r="H81" s="7">
        <v>4.3099999999999996</v>
      </c>
      <c r="I81" s="8">
        <v>-8702.4</v>
      </c>
      <c r="J81" s="8">
        <v>5888.5</v>
      </c>
      <c r="K81" s="8">
        <v>23.5</v>
      </c>
      <c r="L81" s="10">
        <v>0.872</v>
      </c>
      <c r="M81" s="11" t="s">
        <v>302</v>
      </c>
    </row>
    <row r="82" spans="1:13" ht="100" x14ac:dyDescent="0.2">
      <c r="A82" s="2" t="s">
        <v>303</v>
      </c>
      <c r="B82" s="2" t="s">
        <v>304</v>
      </c>
      <c r="C82" s="2" t="str">
        <f>RIGHT(B82,SUM(LEN(B82)-LEN(SUBSTITUTE(B82,{"0","1","2","3","4","5","6","7","8","9"},""))))</f>
        <v>2218</v>
      </c>
      <c r="D82" s="2" t="str">
        <f t="shared" si="2"/>
        <v>2218</v>
      </c>
      <c r="E82" s="2" t="str">
        <f t="shared" ref="E82:E98" si="4">"'"&amp;D82&amp;".HK"&amp;"'"</f>
        <v>'2218.HK'</v>
      </c>
      <c r="F82" s="4" t="s">
        <v>305</v>
      </c>
      <c r="G82" s="6" t="s">
        <v>14</v>
      </c>
      <c r="H82" s="7">
        <v>4.3099999999999996</v>
      </c>
      <c r="I82" s="8">
        <v>-880</v>
      </c>
      <c r="J82" s="8">
        <v>7975.3</v>
      </c>
      <c r="K82" s="7">
        <v>9.68</v>
      </c>
      <c r="L82" s="10">
        <v>0.871</v>
      </c>
      <c r="M82" s="11" t="s">
        <v>306</v>
      </c>
    </row>
    <row r="83" spans="1:13" ht="50" x14ac:dyDescent="0.2">
      <c r="A83" s="2" t="s">
        <v>307</v>
      </c>
      <c r="B83" s="2" t="s">
        <v>308</v>
      </c>
      <c r="C83" s="2" t="str">
        <f>RIGHT(B83,SUM(LEN(B83)-LEN(SUBSTITUTE(B83,{"0","1","2","3","4","5","6","7","8","9"},""))))</f>
        <v>6896</v>
      </c>
      <c r="D83" s="2" t="str">
        <f t="shared" si="2"/>
        <v>6896</v>
      </c>
      <c r="E83" s="2" t="str">
        <f t="shared" si="4"/>
        <v>'6896.HK'</v>
      </c>
      <c r="F83" s="4" t="s">
        <v>309</v>
      </c>
      <c r="G83" s="6" t="s">
        <v>14</v>
      </c>
      <c r="H83" s="7">
        <v>2.13</v>
      </c>
      <c r="I83" s="8">
        <v>-697</v>
      </c>
      <c r="J83" s="8">
        <v>1330.7</v>
      </c>
      <c r="K83" s="8">
        <v>30.1</v>
      </c>
      <c r="L83" s="10">
        <v>0.86399999999999999</v>
      </c>
      <c r="M83" s="12" t="s">
        <v>310</v>
      </c>
    </row>
    <row r="84" spans="1:13" ht="100" x14ac:dyDescent="0.2">
      <c r="A84" s="2" t="s">
        <v>311</v>
      </c>
      <c r="B84" s="2" t="s">
        <v>312</v>
      </c>
      <c r="C84" s="2" t="str">
        <f>RIGHT(B84,SUM(LEN(B84)-LEN(SUBSTITUTE(B84,{"0","1","2","3","4","5","6","7","8","9"},""))))</f>
        <v>697</v>
      </c>
      <c r="D84" s="2" t="str">
        <f t="shared" si="2"/>
        <v>0697</v>
      </c>
      <c r="E84" s="2" t="str">
        <f t="shared" si="4"/>
        <v>'0697.HK'</v>
      </c>
      <c r="F84" s="4" t="s">
        <v>313</v>
      </c>
      <c r="G84" s="6" t="s">
        <v>14</v>
      </c>
      <c r="H84" s="7">
        <v>4.5</v>
      </c>
      <c r="I84" s="8">
        <v>-1854.4</v>
      </c>
      <c r="J84" s="8">
        <v>8954.7999999999993</v>
      </c>
      <c r="K84" s="8">
        <v>23.6</v>
      </c>
      <c r="L84" s="10">
        <v>0.84799999999999998</v>
      </c>
      <c r="M84" s="11" t="s">
        <v>314</v>
      </c>
    </row>
    <row r="85" spans="1:13" ht="30" x14ac:dyDescent="0.2">
      <c r="A85" s="2" t="s">
        <v>315</v>
      </c>
      <c r="B85" s="2" t="s">
        <v>316</v>
      </c>
      <c r="C85" s="2" t="str">
        <f>RIGHT(B85,SUM(LEN(B85)-LEN(SUBSTITUTE(B85,{"0","1","2","3","4","5","6","7","8","9"},""))))</f>
        <v>721</v>
      </c>
      <c r="D85" s="2" t="str">
        <f t="shared" si="2"/>
        <v>0721</v>
      </c>
      <c r="E85" s="2" t="str">
        <f t="shared" si="4"/>
        <v>'0721.HK'</v>
      </c>
      <c r="F85" s="4" t="s">
        <v>317</v>
      </c>
      <c r="G85" s="6" t="s">
        <v>14</v>
      </c>
      <c r="H85" s="7">
        <v>3.09</v>
      </c>
      <c r="I85" s="8">
        <v>-51.7</v>
      </c>
      <c r="J85" s="8">
        <v>603.4</v>
      </c>
      <c r="K85" s="7">
        <v>4.18</v>
      </c>
      <c r="L85" s="10">
        <v>0.84299999999999997</v>
      </c>
      <c r="M85" s="5" t="s">
        <v>279</v>
      </c>
    </row>
    <row r="86" spans="1:13" ht="90" x14ac:dyDescent="0.2">
      <c r="A86" s="2" t="s">
        <v>318</v>
      </c>
      <c r="B86" s="2" t="s">
        <v>319</v>
      </c>
      <c r="C86" s="2" t="str">
        <f>RIGHT(B86,SUM(LEN(B86)-LEN(SUBSTITUTE(B86,{"0","1","2","3","4","5","6","7","8","9"},""))))</f>
        <v>1301</v>
      </c>
      <c r="D86" s="2" t="str">
        <f t="shared" si="2"/>
        <v>1301</v>
      </c>
      <c r="E86" s="2" t="str">
        <f t="shared" si="4"/>
        <v>'1301.HK'</v>
      </c>
      <c r="F86" s="4" t="s">
        <v>320</v>
      </c>
      <c r="G86" s="6" t="s">
        <v>14</v>
      </c>
      <c r="H86" s="7">
        <v>1.67</v>
      </c>
      <c r="I86" s="8">
        <v>-218.1</v>
      </c>
      <c r="J86" s="8">
        <v>652.20000000000005</v>
      </c>
      <c r="K86" s="8">
        <v>27.5</v>
      </c>
      <c r="L86" s="10">
        <v>0.84199999999999997</v>
      </c>
      <c r="M86" s="11" t="s">
        <v>321</v>
      </c>
    </row>
    <row r="87" spans="1:13" ht="40" x14ac:dyDescent="0.2">
      <c r="A87" s="2" t="s">
        <v>322</v>
      </c>
      <c r="B87" s="2" t="s">
        <v>323</v>
      </c>
      <c r="C87" s="2" t="str">
        <f>RIGHT(B87,SUM(LEN(B87)-LEN(SUBSTITUTE(B87,{"0","1","2","3","4","5","6","7","8","9"},""))))</f>
        <v>6913</v>
      </c>
      <c r="D87" s="2" t="str">
        <f t="shared" si="2"/>
        <v>6913</v>
      </c>
      <c r="E87" s="2" t="str">
        <f t="shared" si="4"/>
        <v>'6913.HK'</v>
      </c>
      <c r="F87" s="4" t="s">
        <v>324</v>
      </c>
      <c r="G87" s="6" t="s">
        <v>14</v>
      </c>
      <c r="H87" s="7">
        <v>1.47</v>
      </c>
      <c r="I87" s="8">
        <v>-168.6</v>
      </c>
      <c r="J87" s="8">
        <v>1454.1</v>
      </c>
      <c r="K87" s="8">
        <v>36.1</v>
      </c>
      <c r="L87" s="10">
        <v>0.84199999999999997</v>
      </c>
      <c r="M87" s="5" t="s">
        <v>325</v>
      </c>
    </row>
    <row r="88" spans="1:13" ht="210" x14ac:dyDescent="0.2">
      <c r="A88" s="2" t="s">
        <v>326</v>
      </c>
      <c r="B88" s="2" t="s">
        <v>327</v>
      </c>
      <c r="C88" s="2" t="str">
        <f>RIGHT(B88,SUM(LEN(B88)-LEN(SUBSTITUTE(B88,{"0","1","2","3","4","5","6","7","8","9"},""))))</f>
        <v>3319</v>
      </c>
      <c r="D88" s="2" t="str">
        <f t="shared" ref="D88:D98" si="5">IF(LEN(C88)=4,C88,IF(LEN(C88)&lt;4,REPT("0",4-LEN(C88))&amp;C88))</f>
        <v>3319</v>
      </c>
      <c r="E88" s="2" t="str">
        <f t="shared" si="4"/>
        <v>'3319.HK'</v>
      </c>
      <c r="F88" s="4" t="s">
        <v>328</v>
      </c>
      <c r="G88" s="6" t="s">
        <v>14</v>
      </c>
      <c r="H88" s="7">
        <v>1.46</v>
      </c>
      <c r="I88" s="8">
        <v>-5712.8</v>
      </c>
      <c r="J88" s="8">
        <v>11558.8</v>
      </c>
      <c r="K88" s="8">
        <v>36</v>
      </c>
      <c r="L88" s="10">
        <v>0.82299999999999995</v>
      </c>
      <c r="M88" s="11" t="s">
        <v>329</v>
      </c>
    </row>
    <row r="89" spans="1:13" ht="100" x14ac:dyDescent="0.2">
      <c r="A89" s="2" t="s">
        <v>330</v>
      </c>
      <c r="B89" s="2" t="s">
        <v>331</v>
      </c>
      <c r="C89" s="2" t="str">
        <f>RIGHT(B89,SUM(LEN(B89)-LEN(SUBSTITUTE(B89,{"0","1","2","3","4","5","6","7","8","9"},""))))</f>
        <v>336</v>
      </c>
      <c r="D89" s="2" t="str">
        <f t="shared" si="5"/>
        <v>0336</v>
      </c>
      <c r="E89" s="2" t="str">
        <f t="shared" si="4"/>
        <v>'0336.HK'</v>
      </c>
      <c r="F89" s="4" t="s">
        <v>332</v>
      </c>
      <c r="G89" s="6" t="s">
        <v>14</v>
      </c>
      <c r="H89" s="7">
        <v>3.63</v>
      </c>
      <c r="I89" s="8">
        <v>-7216.2</v>
      </c>
      <c r="J89" s="8">
        <v>12693.6</v>
      </c>
      <c r="K89" s="8">
        <v>12.8</v>
      </c>
      <c r="L89" s="10">
        <v>0.82199999999999995</v>
      </c>
      <c r="M89" s="11" t="s">
        <v>333</v>
      </c>
    </row>
    <row r="90" spans="1:13" ht="140" x14ac:dyDescent="0.2">
      <c r="A90" s="2" t="s">
        <v>334</v>
      </c>
      <c r="B90" s="2" t="s">
        <v>335</v>
      </c>
      <c r="C90" s="2" t="str">
        <f>RIGHT(B90,SUM(LEN(B90)-LEN(SUBSTITUTE(B90,{"0","1","2","3","4","5","6","7","8","9"},""))))</f>
        <v>1836</v>
      </c>
      <c r="D90" s="2" t="str">
        <f t="shared" si="5"/>
        <v>1836</v>
      </c>
      <c r="E90" s="2" t="str">
        <f t="shared" si="4"/>
        <v>'1836.HK'</v>
      </c>
      <c r="F90" s="4" t="s">
        <v>336</v>
      </c>
      <c r="G90" s="6" t="s">
        <v>14</v>
      </c>
      <c r="H90" s="7">
        <v>1.97</v>
      </c>
      <c r="I90" s="8">
        <v>-831.9</v>
      </c>
      <c r="J90" s="8">
        <v>6337.6</v>
      </c>
      <c r="K90" s="8">
        <v>21.7</v>
      </c>
      <c r="L90" s="10">
        <v>0.81</v>
      </c>
      <c r="M90" s="11" t="s">
        <v>337</v>
      </c>
    </row>
    <row r="91" spans="1:13" ht="50" x14ac:dyDescent="0.2">
      <c r="A91" s="2" t="s">
        <v>338</v>
      </c>
      <c r="B91" s="2" t="s">
        <v>339</v>
      </c>
      <c r="C91" s="2" t="str">
        <f>RIGHT(B91,SUM(LEN(B91)-LEN(SUBSTITUTE(B91,{"0","1","2","3","4","5","6","7","8","9"},""))))</f>
        <v>1837</v>
      </c>
      <c r="D91" s="2" t="str">
        <f t="shared" si="5"/>
        <v>1837</v>
      </c>
      <c r="E91" s="2" t="str">
        <f t="shared" si="4"/>
        <v>'1837.HK'</v>
      </c>
      <c r="F91" s="4" t="s">
        <v>340</v>
      </c>
      <c r="G91" s="6" t="s">
        <v>14</v>
      </c>
      <c r="H91" s="7">
        <v>3.36</v>
      </c>
      <c r="I91" s="8">
        <v>-778.3</v>
      </c>
      <c r="J91" s="8">
        <v>1116.0999999999999</v>
      </c>
      <c r="K91" s="8">
        <v>19.600000000000001</v>
      </c>
      <c r="L91" s="10">
        <v>0.80800000000000005</v>
      </c>
      <c r="M91" s="12" t="s">
        <v>341</v>
      </c>
    </row>
    <row r="92" spans="1:13" ht="30" x14ac:dyDescent="0.2">
      <c r="A92" s="2" t="s">
        <v>342</v>
      </c>
      <c r="B92" s="2" t="s">
        <v>343</v>
      </c>
      <c r="C92" s="2" t="str">
        <f>RIGHT(B92,SUM(LEN(B92)-LEN(SUBSTITUTE(B92,{"0","1","2","3","4","5","6","7","8","9"},""))))</f>
        <v>2801</v>
      </c>
      <c r="D92" s="2" t="str">
        <f t="shared" si="5"/>
        <v>2801</v>
      </c>
      <c r="E92" s="2" t="str">
        <f t="shared" si="4"/>
        <v>'2801.HK'</v>
      </c>
      <c r="F92" s="4" t="s">
        <v>344</v>
      </c>
      <c r="G92" s="6" t="s">
        <v>14</v>
      </c>
      <c r="H92" s="8">
        <v>103.6</v>
      </c>
      <c r="I92" s="8">
        <v>-4450.8999999999996</v>
      </c>
      <c r="J92" s="8">
        <v>3432.2</v>
      </c>
      <c r="K92" s="10">
        <v>0.96499999999999997</v>
      </c>
      <c r="L92" s="10">
        <v>0.80800000000000005</v>
      </c>
      <c r="M92" s="5" t="s">
        <v>232</v>
      </c>
    </row>
    <row r="93" spans="1:13" ht="120" x14ac:dyDescent="0.2">
      <c r="A93" s="2" t="s">
        <v>345</v>
      </c>
      <c r="B93" s="2" t="s">
        <v>346</v>
      </c>
      <c r="C93" s="2" t="str">
        <f>RIGHT(B93,SUM(LEN(B93)-LEN(SUBSTITUTE(B93,{"0","1","2","3","4","5","6","7","8","9"},""))))</f>
        <v>18</v>
      </c>
      <c r="D93" s="2" t="str">
        <f t="shared" si="5"/>
        <v>0018</v>
      </c>
      <c r="E93" s="2" t="str">
        <f t="shared" si="4"/>
        <v>'0018.HK'</v>
      </c>
      <c r="F93" s="4" t="s">
        <v>347</v>
      </c>
      <c r="G93" s="6" t="s">
        <v>14</v>
      </c>
      <c r="H93" s="7">
        <v>5.78</v>
      </c>
      <c r="I93" s="8">
        <v>-632.4</v>
      </c>
      <c r="J93" s="8">
        <v>1462.7</v>
      </c>
      <c r="K93" s="7">
        <v>9.42</v>
      </c>
      <c r="L93" s="10">
        <v>0.80100000000000005</v>
      </c>
      <c r="M93" s="11" t="s">
        <v>348</v>
      </c>
    </row>
    <row r="94" spans="1:13" ht="210" x14ac:dyDescent="0.2">
      <c r="A94" s="2" t="s">
        <v>349</v>
      </c>
      <c r="B94" s="2" t="s">
        <v>350</v>
      </c>
      <c r="C94" s="2" t="str">
        <f>RIGHT(B94,SUM(LEN(B94)-LEN(SUBSTITUTE(B94,{"0","1","2","3","4","5","6","7","8","9"},""))))</f>
        <v>687</v>
      </c>
      <c r="D94" s="2" t="str">
        <f t="shared" si="5"/>
        <v>0687</v>
      </c>
      <c r="E94" s="2" t="str">
        <f t="shared" si="4"/>
        <v>'0687.HK'</v>
      </c>
      <c r="F94" s="4" t="s">
        <v>351</v>
      </c>
      <c r="G94" s="6" t="s">
        <v>14</v>
      </c>
      <c r="H94" s="7">
        <v>2.65</v>
      </c>
      <c r="I94" s="8">
        <v>-571</v>
      </c>
      <c r="J94" s="8">
        <v>1094</v>
      </c>
      <c r="K94" s="8">
        <v>32</v>
      </c>
      <c r="L94" s="10">
        <v>0.80100000000000005</v>
      </c>
      <c r="M94" s="11" t="s">
        <v>352</v>
      </c>
    </row>
    <row r="95" spans="1:13" ht="40" x14ac:dyDescent="0.2">
      <c r="A95" s="2" t="s">
        <v>353</v>
      </c>
      <c r="B95" s="2" t="s">
        <v>354</v>
      </c>
      <c r="C95" s="2" t="str">
        <f>RIGHT(B95,SUM(LEN(B95)-LEN(SUBSTITUTE(B95,{"0","1","2","3","4","5","6","7","8","9"},""))))</f>
        <v>195</v>
      </c>
      <c r="D95" s="2" t="str">
        <f t="shared" si="5"/>
        <v>0195</v>
      </c>
      <c r="E95" s="2" t="str">
        <f t="shared" si="4"/>
        <v>'0195.HK'</v>
      </c>
      <c r="F95" s="4" t="s">
        <v>355</v>
      </c>
      <c r="G95" s="6" t="s">
        <v>14</v>
      </c>
      <c r="H95" s="7">
        <v>1.1499999999999999</v>
      </c>
      <c r="I95" s="8">
        <v>-178.4</v>
      </c>
      <c r="J95" s="8">
        <v>751.3</v>
      </c>
      <c r="K95" s="8">
        <v>39.6</v>
      </c>
      <c r="L95" s="10">
        <v>0.8</v>
      </c>
      <c r="M95" s="5" t="s">
        <v>356</v>
      </c>
    </row>
    <row r="96" spans="1:13" ht="40" x14ac:dyDescent="0.2">
      <c r="A96" s="2" t="s">
        <v>357</v>
      </c>
      <c r="B96" s="2" t="s">
        <v>358</v>
      </c>
      <c r="C96" s="2" t="str">
        <f>RIGHT(B96,SUM(LEN(B96)-LEN(SUBSTITUTE(B96,{"0","1","2","3","4","5","6","7","8","9"},""))))</f>
        <v>255</v>
      </c>
      <c r="D96" s="2" t="str">
        <f t="shared" si="5"/>
        <v>0255</v>
      </c>
      <c r="E96" s="2" t="str">
        <f t="shared" si="4"/>
        <v>'0255.HK'</v>
      </c>
      <c r="F96" s="4" t="s">
        <v>359</v>
      </c>
      <c r="G96" s="6" t="s">
        <v>14</v>
      </c>
      <c r="H96" s="7">
        <v>3.27</v>
      </c>
      <c r="I96" s="8">
        <v>-942.5</v>
      </c>
      <c r="J96" s="8">
        <v>1642.4</v>
      </c>
      <c r="K96" s="8">
        <v>17.3</v>
      </c>
      <c r="L96" s="10">
        <v>0.79500000000000004</v>
      </c>
      <c r="M96" s="5" t="s">
        <v>360</v>
      </c>
    </row>
    <row r="97" spans="1:13" ht="240" x14ac:dyDescent="0.2">
      <c r="A97" s="2" t="s">
        <v>361</v>
      </c>
      <c r="B97" s="2" t="s">
        <v>362</v>
      </c>
      <c r="C97" s="2" t="str">
        <f>RIGHT(B97,SUM(LEN(B97)-LEN(SUBSTITUTE(B97,{"0","1","2","3","4","5","6","7","8","9"},""))))</f>
        <v>411</v>
      </c>
      <c r="D97" s="2" t="str">
        <f t="shared" si="5"/>
        <v>0411</v>
      </c>
      <c r="E97" s="2" t="str">
        <f t="shared" si="4"/>
        <v>'0411.HK'</v>
      </c>
      <c r="F97" s="4" t="s">
        <v>363</v>
      </c>
      <c r="G97" s="6" t="s">
        <v>14</v>
      </c>
      <c r="H97" s="7">
        <v>2.36</v>
      </c>
      <c r="I97" s="8">
        <v>-1537</v>
      </c>
      <c r="J97" s="8">
        <v>2331.6</v>
      </c>
      <c r="K97" s="8">
        <v>22.1</v>
      </c>
      <c r="L97" s="10">
        <v>0.78700000000000003</v>
      </c>
      <c r="M97" s="11" t="s">
        <v>364</v>
      </c>
    </row>
    <row r="98" spans="1:13" ht="40" x14ac:dyDescent="0.2">
      <c r="A98" s="2" t="s">
        <v>365</v>
      </c>
      <c r="B98" s="2" t="s">
        <v>366</v>
      </c>
      <c r="C98" s="2" t="str">
        <f>RIGHT(B98,SUM(LEN(B98)-LEN(SUBSTITUTE(B98,{"0","1","2","3","4","5","6","7","8","9"},""))))</f>
        <v>639</v>
      </c>
      <c r="D98" s="2" t="str">
        <f t="shared" si="5"/>
        <v>0639</v>
      </c>
      <c r="E98" s="2" t="str">
        <f t="shared" si="4"/>
        <v>'0639.HK'</v>
      </c>
      <c r="F98" s="4" t="s">
        <v>367</v>
      </c>
      <c r="G98" s="6" t="s">
        <v>14</v>
      </c>
      <c r="H98" s="7">
        <v>2.5299999999999998</v>
      </c>
      <c r="I98" s="8">
        <v>-6528.5</v>
      </c>
      <c r="J98" s="8">
        <v>13488.4</v>
      </c>
      <c r="K98" s="8">
        <v>22.7</v>
      </c>
      <c r="L98" s="10">
        <v>0.77100000000000002</v>
      </c>
      <c r="M98" s="5" t="s">
        <v>368</v>
      </c>
    </row>
    <row r="99" spans="1:13" ht="40" hidden="1" x14ac:dyDescent="0.2">
      <c r="A99" s="2" t="s">
        <v>369</v>
      </c>
      <c r="B99" s="2" t="s">
        <v>370</v>
      </c>
      <c r="C99" s="2" t="str">
        <f>RIGHT(B99,SUM(LEN(B99)-LEN(SUBSTITUTE(B99,{"0","1","2","3","4","5","6","7","8","9"},""))))</f>
        <v/>
      </c>
      <c r="D99" s="2"/>
      <c r="E99" s="2"/>
      <c r="F99" s="5" t="s">
        <v>14</v>
      </c>
      <c r="G99" s="6" t="s">
        <v>371</v>
      </c>
      <c r="H99" s="7">
        <v>2.06</v>
      </c>
      <c r="I99" s="8">
        <v>-4006.9</v>
      </c>
      <c r="J99" s="8">
        <v>7827.8</v>
      </c>
      <c r="K99" s="8">
        <v>25.2</v>
      </c>
      <c r="L99" s="10">
        <v>0.76900000000000002</v>
      </c>
      <c r="M99" s="5" t="s">
        <v>279</v>
      </c>
    </row>
    <row r="100" spans="1:13" ht="250" x14ac:dyDescent="0.2">
      <c r="A100" s="2" t="s">
        <v>372</v>
      </c>
      <c r="B100" s="2" t="s">
        <v>373</v>
      </c>
      <c r="C100" s="2" t="str">
        <f>RIGHT(B100,SUM(LEN(B100)-LEN(SUBSTITUTE(B100,{"0","1","2","3","4","5","6","7","8","9"},""))))</f>
        <v>3686</v>
      </c>
      <c r="D100" s="2" t="str">
        <f t="shared" ref="D100:D163" si="6">IF(LEN(C100)=4,C100,IF(LEN(C100)&lt;4,REPT("0",4-LEN(C100))&amp;C100))</f>
        <v>3686</v>
      </c>
      <c r="E100" s="2" t="str">
        <f t="shared" ref="E100:E163" si="7">"'"&amp;D100&amp;".HK"&amp;"'"</f>
        <v>'3686.HK'</v>
      </c>
      <c r="F100" s="4" t="s">
        <v>374</v>
      </c>
      <c r="G100" s="6" t="s">
        <v>14</v>
      </c>
      <c r="H100" s="7">
        <v>3.75</v>
      </c>
      <c r="I100" s="8">
        <v>-430.6</v>
      </c>
      <c r="J100" s="8">
        <v>538.29999999999995</v>
      </c>
      <c r="K100" s="8">
        <v>26.3</v>
      </c>
      <c r="L100" s="10">
        <v>0.76800000000000002</v>
      </c>
      <c r="M100" s="11" t="s">
        <v>375</v>
      </c>
    </row>
    <row r="101" spans="1:13" ht="80" x14ac:dyDescent="0.2">
      <c r="A101" s="2" t="s">
        <v>376</v>
      </c>
      <c r="B101" s="2" t="s">
        <v>377</v>
      </c>
      <c r="C101" s="2" t="str">
        <f>RIGHT(B101,SUM(LEN(B101)-LEN(SUBSTITUTE(B101,{"0","1","2","3","4","5","6","7","8","9"},""))))</f>
        <v>302</v>
      </c>
      <c r="D101" s="2" t="str">
        <f t="shared" si="6"/>
        <v>0302</v>
      </c>
      <c r="E101" s="2" t="str">
        <f t="shared" si="7"/>
        <v>'0302.HK'</v>
      </c>
      <c r="F101" s="4" t="s">
        <v>378</v>
      </c>
      <c r="G101" s="6" t="s">
        <v>14</v>
      </c>
      <c r="H101" s="7">
        <v>1.26</v>
      </c>
      <c r="I101" s="8">
        <v>-495.4</v>
      </c>
      <c r="J101" s="8">
        <v>5093.2</v>
      </c>
      <c r="K101" s="8">
        <v>26.1</v>
      </c>
      <c r="L101" s="10">
        <v>0.76700000000000002</v>
      </c>
      <c r="M101" s="11" t="s">
        <v>379</v>
      </c>
    </row>
    <row r="102" spans="1:13" ht="40" x14ac:dyDescent="0.2">
      <c r="A102" s="2" t="s">
        <v>380</v>
      </c>
      <c r="B102" s="2" t="s">
        <v>381</v>
      </c>
      <c r="C102" s="2" t="str">
        <f>RIGHT(B102,SUM(LEN(B102)-LEN(SUBSTITUTE(B102,{"0","1","2","3","4","5","6","7","8","9"},""))))</f>
        <v>1057</v>
      </c>
      <c r="D102" s="2" t="str">
        <f t="shared" si="6"/>
        <v>1057</v>
      </c>
      <c r="E102" s="2" t="str">
        <f t="shared" si="7"/>
        <v>'1057.HK'</v>
      </c>
      <c r="F102" s="4" t="s">
        <v>382</v>
      </c>
      <c r="G102" s="6" t="s">
        <v>14</v>
      </c>
      <c r="H102" s="7">
        <v>1.1399999999999999</v>
      </c>
      <c r="I102" s="8">
        <v>-115.8</v>
      </c>
      <c r="J102" s="8">
        <v>6370.4</v>
      </c>
      <c r="K102" s="8">
        <v>34.700000000000003</v>
      </c>
      <c r="L102" s="10">
        <v>0.75800000000000001</v>
      </c>
      <c r="M102" s="5" t="s">
        <v>383</v>
      </c>
    </row>
    <row r="103" spans="1:13" ht="110" x14ac:dyDescent="0.2">
      <c r="A103" s="2" t="s">
        <v>384</v>
      </c>
      <c r="B103" s="2" t="s">
        <v>385</v>
      </c>
      <c r="C103" s="2" t="str">
        <f>RIGHT(B103,SUM(LEN(B103)-LEN(SUBSTITUTE(B103,{"0","1","2","3","4","5","6","7","8","9"},""))))</f>
        <v>1731</v>
      </c>
      <c r="D103" s="2" t="str">
        <f t="shared" si="6"/>
        <v>1731</v>
      </c>
      <c r="E103" s="2" t="str">
        <f t="shared" si="7"/>
        <v>'1731.HK'</v>
      </c>
      <c r="F103" s="4" t="s">
        <v>386</v>
      </c>
      <c r="G103" s="6" t="s">
        <v>14</v>
      </c>
      <c r="H103" s="7">
        <v>2.0299999999999998</v>
      </c>
      <c r="I103" s="8">
        <v>-359.8</v>
      </c>
      <c r="J103" s="8">
        <v>806.4</v>
      </c>
      <c r="K103" s="8">
        <v>26.9</v>
      </c>
      <c r="L103" s="10">
        <v>0.75600000000000001</v>
      </c>
      <c r="M103" s="11" t="s">
        <v>387</v>
      </c>
    </row>
    <row r="104" spans="1:13" ht="130" x14ac:dyDescent="0.2">
      <c r="A104" s="2" t="s">
        <v>388</v>
      </c>
      <c r="B104" s="2" t="s">
        <v>389</v>
      </c>
      <c r="C104" s="2" t="str">
        <f>RIGHT(B104,SUM(LEN(B104)-LEN(SUBSTITUTE(B104,{"0","1","2","3","4","5","6","7","8","9"},""))))</f>
        <v>206</v>
      </c>
      <c r="D104" s="2" t="str">
        <f t="shared" si="6"/>
        <v>0206</v>
      </c>
      <c r="E104" s="2" t="str">
        <f t="shared" si="7"/>
        <v>'0206.HK'</v>
      </c>
      <c r="F104" s="4" t="s">
        <v>390</v>
      </c>
      <c r="G104" s="6" t="s">
        <v>14</v>
      </c>
      <c r="H104" s="7">
        <v>1.49</v>
      </c>
      <c r="I104" s="8">
        <v>-99.9</v>
      </c>
      <c r="J104" s="8">
        <v>859.5</v>
      </c>
      <c r="K104" s="8">
        <v>35.4</v>
      </c>
      <c r="L104" s="10">
        <v>0.746</v>
      </c>
      <c r="M104" s="11" t="s">
        <v>391</v>
      </c>
    </row>
    <row r="105" spans="1:13" ht="50" x14ac:dyDescent="0.2">
      <c r="A105" s="2" t="s">
        <v>392</v>
      </c>
      <c r="B105" s="2" t="s">
        <v>393</v>
      </c>
      <c r="C105" s="2" t="str">
        <f>RIGHT(B105,SUM(LEN(B105)-LEN(SUBSTITUTE(B105,{"0","1","2","3","4","5","6","7","8","9"},""))))</f>
        <v>869</v>
      </c>
      <c r="D105" s="2" t="str">
        <f t="shared" si="6"/>
        <v>0869</v>
      </c>
      <c r="E105" s="2" t="str">
        <f t="shared" si="7"/>
        <v>'0869.HK'</v>
      </c>
      <c r="F105" s="4" t="s">
        <v>394</v>
      </c>
      <c r="G105" s="6" t="s">
        <v>14</v>
      </c>
      <c r="H105" s="7">
        <v>4.3600000000000003</v>
      </c>
      <c r="I105" s="8">
        <v>-942.9</v>
      </c>
      <c r="J105" s="8">
        <v>708</v>
      </c>
      <c r="K105" s="8">
        <v>21</v>
      </c>
      <c r="L105" s="10">
        <v>0.73</v>
      </c>
      <c r="M105" s="5" t="s">
        <v>395</v>
      </c>
    </row>
    <row r="106" spans="1:13" ht="180" x14ac:dyDescent="0.2">
      <c r="A106" s="2" t="s">
        <v>396</v>
      </c>
      <c r="B106" s="2" t="s">
        <v>397</v>
      </c>
      <c r="C106" s="2" t="str">
        <f>RIGHT(B106,SUM(LEN(B106)-LEN(SUBSTITUTE(B106,{"0","1","2","3","4","5","6","7","8","9"},""))))</f>
        <v>1896</v>
      </c>
      <c r="D106" s="2" t="str">
        <f t="shared" si="6"/>
        <v>1896</v>
      </c>
      <c r="E106" s="2" t="str">
        <f t="shared" si="7"/>
        <v>'1896.HK'</v>
      </c>
      <c r="F106" s="4" t="s">
        <v>398</v>
      </c>
      <c r="G106" s="6" t="s">
        <v>14</v>
      </c>
      <c r="H106" s="7">
        <v>1.23</v>
      </c>
      <c r="I106" s="8">
        <v>-2525.1999999999998</v>
      </c>
      <c r="J106" s="8">
        <v>6862</v>
      </c>
      <c r="K106" s="8">
        <v>27.6</v>
      </c>
      <c r="L106" s="10">
        <v>0.72799999999999998</v>
      </c>
      <c r="M106" s="11" t="s">
        <v>399</v>
      </c>
    </row>
    <row r="107" spans="1:13" ht="110" x14ac:dyDescent="0.2">
      <c r="A107" s="2" t="s">
        <v>400</v>
      </c>
      <c r="B107" s="2" t="s">
        <v>401</v>
      </c>
      <c r="C107" s="2" t="str">
        <f>RIGHT(B107,SUM(LEN(B107)-LEN(SUBSTITUTE(B107,{"0","1","2","3","4","5","6","7","8","9"},""))))</f>
        <v>128</v>
      </c>
      <c r="D107" s="2" t="str">
        <f t="shared" si="6"/>
        <v>0128</v>
      </c>
      <c r="E107" s="2" t="str">
        <f t="shared" si="7"/>
        <v>'0128.HK'</v>
      </c>
      <c r="F107" s="4" t="s">
        <v>402</v>
      </c>
      <c r="G107" s="6" t="s">
        <v>14</v>
      </c>
      <c r="H107" s="8">
        <v>17.5</v>
      </c>
      <c r="I107" s="8">
        <v>-688</v>
      </c>
      <c r="J107" s="8">
        <v>858.3</v>
      </c>
      <c r="K107" s="7">
        <v>3.81</v>
      </c>
      <c r="L107" s="10">
        <v>0.72699999999999998</v>
      </c>
      <c r="M107" s="11" t="s">
        <v>403</v>
      </c>
    </row>
    <row r="108" spans="1:13" ht="90" x14ac:dyDescent="0.2">
      <c r="A108" s="2" t="s">
        <v>404</v>
      </c>
      <c r="B108" s="2" t="s">
        <v>405</v>
      </c>
      <c r="C108" s="2" t="str">
        <f>RIGHT(B108,SUM(LEN(B108)-LEN(SUBSTITUTE(B108,{"0","1","2","3","4","5","6","7","8","9"},""))))</f>
        <v>2232</v>
      </c>
      <c r="D108" s="2" t="str">
        <f t="shared" si="6"/>
        <v>2232</v>
      </c>
      <c r="E108" s="2" t="str">
        <f t="shared" si="7"/>
        <v>'2232.HK'</v>
      </c>
      <c r="F108" s="4" t="s">
        <v>406</v>
      </c>
      <c r="G108" s="6" t="s">
        <v>14</v>
      </c>
      <c r="H108" s="7">
        <v>1.21</v>
      </c>
      <c r="I108" s="8">
        <v>-1581.7</v>
      </c>
      <c r="J108" s="8">
        <v>7331.7</v>
      </c>
      <c r="K108" s="8">
        <v>34</v>
      </c>
      <c r="L108" s="10">
        <v>0.72499999999999998</v>
      </c>
      <c r="M108" s="11" t="s">
        <v>407</v>
      </c>
    </row>
    <row r="109" spans="1:13" ht="50" x14ac:dyDescent="0.2">
      <c r="A109" s="2" t="s">
        <v>408</v>
      </c>
      <c r="B109" s="2" t="s">
        <v>409</v>
      </c>
      <c r="C109" s="2" t="str">
        <f>RIGHT(B109,SUM(LEN(B109)-LEN(SUBSTITUTE(B109,{"0","1","2","3","4","5","6","7","8","9"},""))))</f>
        <v>2205</v>
      </c>
      <c r="D109" s="2" t="str">
        <f t="shared" si="6"/>
        <v>2205</v>
      </c>
      <c r="E109" s="2" t="str">
        <f t="shared" si="7"/>
        <v>'2205.HK'</v>
      </c>
      <c r="F109" s="4" t="s">
        <v>410</v>
      </c>
      <c r="G109" s="6" t="s">
        <v>14</v>
      </c>
      <c r="H109" s="7">
        <v>2.36</v>
      </c>
      <c r="I109" s="8">
        <v>-682</v>
      </c>
      <c r="J109" s="8">
        <v>588</v>
      </c>
      <c r="K109" s="8">
        <v>38.200000000000003</v>
      </c>
      <c r="L109" s="10">
        <v>0.72399999999999998</v>
      </c>
      <c r="M109" s="12" t="s">
        <v>151</v>
      </c>
    </row>
    <row r="110" spans="1:13" ht="100" x14ac:dyDescent="0.2">
      <c r="A110" s="2" t="s">
        <v>411</v>
      </c>
      <c r="B110" s="2" t="s">
        <v>412</v>
      </c>
      <c r="C110" s="2" t="str">
        <f>RIGHT(B110,SUM(LEN(B110)-LEN(SUBSTITUTE(B110,{"0","1","2","3","4","5","6","7","8","9"},""))))</f>
        <v>1502</v>
      </c>
      <c r="D110" s="2" t="str">
        <f t="shared" si="6"/>
        <v>1502</v>
      </c>
      <c r="E110" s="2" t="str">
        <f t="shared" si="7"/>
        <v>'1502.HK'</v>
      </c>
      <c r="F110" s="4" t="s">
        <v>413</v>
      </c>
      <c r="G110" s="6" t="s">
        <v>14</v>
      </c>
      <c r="H110" s="7">
        <v>2.4300000000000002</v>
      </c>
      <c r="I110" s="8">
        <v>-1684.8</v>
      </c>
      <c r="J110" s="8">
        <v>959.9</v>
      </c>
      <c r="K110" s="8">
        <v>38.1</v>
      </c>
      <c r="L110" s="10">
        <v>0.72299999999999998</v>
      </c>
      <c r="M110" s="11" t="s">
        <v>414</v>
      </c>
    </row>
    <row r="111" spans="1:13" ht="140" x14ac:dyDescent="0.2">
      <c r="A111" s="2" t="s">
        <v>415</v>
      </c>
      <c r="B111" s="2" t="s">
        <v>416</v>
      </c>
      <c r="C111" s="2" t="str">
        <f>RIGHT(B111,SUM(LEN(B111)-LEN(SUBSTITUTE(B111,{"0","1","2","3","4","5","6","7","8","9"},""))))</f>
        <v>1126</v>
      </c>
      <c r="D111" s="2" t="str">
        <f t="shared" si="6"/>
        <v>1126</v>
      </c>
      <c r="E111" s="2" t="str">
        <f t="shared" si="7"/>
        <v>'1126.HK'</v>
      </c>
      <c r="F111" s="4" t="s">
        <v>417</v>
      </c>
      <c r="G111" s="6" t="s">
        <v>14</v>
      </c>
      <c r="H111" s="7">
        <v>1.24</v>
      </c>
      <c r="I111" s="8">
        <v>-302.8</v>
      </c>
      <c r="J111" s="8">
        <v>1976.4</v>
      </c>
      <c r="K111" s="8">
        <v>36.299999999999997</v>
      </c>
      <c r="L111" s="10">
        <v>0.70599999999999996</v>
      </c>
      <c r="M111" s="11" t="s">
        <v>418</v>
      </c>
    </row>
    <row r="112" spans="1:13" ht="90" x14ac:dyDescent="0.2">
      <c r="A112" s="2" t="s">
        <v>419</v>
      </c>
      <c r="B112" s="2" t="s">
        <v>420</v>
      </c>
      <c r="C112" s="2" t="str">
        <f>RIGHT(B112,SUM(LEN(B112)-LEN(SUBSTITUTE(B112,{"0","1","2","3","4","5","6","7","8","9"},""))))</f>
        <v>6909</v>
      </c>
      <c r="D112" s="2" t="str">
        <f t="shared" si="6"/>
        <v>6909</v>
      </c>
      <c r="E112" s="2" t="str">
        <f t="shared" si="7"/>
        <v>'6909.HK'</v>
      </c>
      <c r="F112" s="4" t="s">
        <v>421</v>
      </c>
      <c r="G112" s="6" t="s">
        <v>14</v>
      </c>
      <c r="H112" s="7">
        <v>1.81</v>
      </c>
      <c r="I112" s="8">
        <v>-1225.2</v>
      </c>
      <c r="J112" s="8">
        <v>2178.8000000000002</v>
      </c>
      <c r="K112" s="8">
        <v>32.5</v>
      </c>
      <c r="L112" s="10">
        <v>0.69899999999999995</v>
      </c>
      <c r="M112" s="11" t="s">
        <v>422</v>
      </c>
    </row>
    <row r="113" spans="1:13" ht="100" x14ac:dyDescent="0.2">
      <c r="A113" s="2" t="s">
        <v>423</v>
      </c>
      <c r="B113" s="2" t="s">
        <v>424</v>
      </c>
      <c r="C113" s="2" t="str">
        <f>RIGHT(B113,SUM(LEN(B113)-LEN(SUBSTITUTE(B113,{"0","1","2","3","4","5","6","7","8","9"},""))))</f>
        <v>6601</v>
      </c>
      <c r="D113" s="2" t="str">
        <f t="shared" si="6"/>
        <v>6601</v>
      </c>
      <c r="E113" s="2" t="str">
        <f t="shared" si="7"/>
        <v>'6601.HK'</v>
      </c>
      <c r="F113" s="4" t="s">
        <v>425</v>
      </c>
      <c r="G113" s="6" t="s">
        <v>14</v>
      </c>
      <c r="H113" s="7">
        <v>4.05</v>
      </c>
      <c r="I113" s="8">
        <v>-3256.8</v>
      </c>
      <c r="J113" s="8">
        <v>2333.3000000000002</v>
      </c>
      <c r="K113" s="8">
        <v>20.100000000000001</v>
      </c>
      <c r="L113" s="10">
        <v>0.69799999999999995</v>
      </c>
      <c r="M113" s="11" t="s">
        <v>426</v>
      </c>
    </row>
    <row r="114" spans="1:13" ht="160" x14ac:dyDescent="0.2">
      <c r="A114" s="2" t="s">
        <v>427</v>
      </c>
      <c r="B114" s="2" t="s">
        <v>428</v>
      </c>
      <c r="C114" s="2" t="str">
        <f>RIGHT(B114,SUM(LEN(B114)-LEN(SUBSTITUTE(B114,{"0","1","2","3","4","5","6","7","8","9"},""))))</f>
        <v>677</v>
      </c>
      <c r="D114" s="2" t="str">
        <f t="shared" si="6"/>
        <v>0677</v>
      </c>
      <c r="E114" s="2" t="str">
        <f t="shared" si="7"/>
        <v>'0677.HK'</v>
      </c>
      <c r="F114" s="4" t="s">
        <v>429</v>
      </c>
      <c r="G114" s="6" t="s">
        <v>14</v>
      </c>
      <c r="H114" s="7">
        <v>1.98</v>
      </c>
      <c r="I114" s="8">
        <v>-271.8</v>
      </c>
      <c r="J114" s="8">
        <v>789.3</v>
      </c>
      <c r="K114" s="8">
        <v>34.700000000000003</v>
      </c>
      <c r="L114" s="10">
        <v>0.69</v>
      </c>
      <c r="M114" s="11" t="s">
        <v>430</v>
      </c>
    </row>
    <row r="115" spans="1:13" ht="200" x14ac:dyDescent="0.2">
      <c r="A115" s="2" t="s">
        <v>431</v>
      </c>
      <c r="B115" s="2" t="s">
        <v>432</v>
      </c>
      <c r="C115" s="2" t="str">
        <f>RIGHT(B115,SUM(LEN(B115)-LEN(SUBSTITUTE(B115,{"0","1","2","3","4","5","6","7","8","9"},""))))</f>
        <v>9666</v>
      </c>
      <c r="D115" s="2" t="str">
        <f t="shared" si="6"/>
        <v>9666</v>
      </c>
      <c r="E115" s="2" t="str">
        <f t="shared" si="7"/>
        <v>'9666.HK'</v>
      </c>
      <c r="F115" s="4" t="s">
        <v>433</v>
      </c>
      <c r="G115" s="6" t="s">
        <v>14</v>
      </c>
      <c r="H115" s="7">
        <v>3.51</v>
      </c>
      <c r="I115" s="8">
        <v>-6097.1</v>
      </c>
      <c r="J115" s="8">
        <v>5888.7</v>
      </c>
      <c r="K115" s="8">
        <v>26</v>
      </c>
      <c r="L115" s="10">
        <v>0.66900000000000004</v>
      </c>
      <c r="M115" s="11" t="s">
        <v>434</v>
      </c>
    </row>
    <row r="116" spans="1:13" ht="160" x14ac:dyDescent="0.2">
      <c r="A116" s="2" t="s">
        <v>435</v>
      </c>
      <c r="B116" s="2" t="s">
        <v>436</v>
      </c>
      <c r="C116" s="2" t="str">
        <f>RIGHT(B116,SUM(LEN(B116)-LEN(SUBSTITUTE(B116,{"0","1","2","3","4","5","6","7","8","9"},""))))</f>
        <v>335</v>
      </c>
      <c r="D116" s="2" t="str">
        <f t="shared" si="6"/>
        <v>0335</v>
      </c>
      <c r="E116" s="2" t="str">
        <f t="shared" si="7"/>
        <v>'0335.HK'</v>
      </c>
      <c r="F116" s="4" t="s">
        <v>437</v>
      </c>
      <c r="G116" s="6" t="s">
        <v>14</v>
      </c>
      <c r="H116" s="7">
        <v>2.63</v>
      </c>
      <c r="I116" s="8">
        <v>-333.8</v>
      </c>
      <c r="J116" s="8">
        <v>1797.1</v>
      </c>
      <c r="K116" s="8">
        <v>17.399999999999999</v>
      </c>
      <c r="L116" s="10">
        <v>0.66100000000000003</v>
      </c>
      <c r="M116" s="11" t="s">
        <v>438</v>
      </c>
    </row>
    <row r="117" spans="1:13" ht="40" x14ac:dyDescent="0.2">
      <c r="A117" s="2" t="s">
        <v>439</v>
      </c>
      <c r="B117" s="2" t="s">
        <v>440</v>
      </c>
      <c r="C117" s="2" t="str">
        <f>RIGHT(B117,SUM(LEN(B117)-LEN(SUBSTITUTE(B117,{"0","1","2","3","4","5","6","7","8","9"},""))))</f>
        <v>9990</v>
      </c>
      <c r="D117" s="2" t="str">
        <f t="shared" si="6"/>
        <v>9990</v>
      </c>
      <c r="E117" s="2" t="str">
        <f t="shared" si="7"/>
        <v>'9990.HK'</v>
      </c>
      <c r="F117" s="4" t="s">
        <v>441</v>
      </c>
      <c r="G117" s="6" t="s">
        <v>14</v>
      </c>
      <c r="H117" s="8">
        <v>12.1</v>
      </c>
      <c r="I117" s="8">
        <v>-3153.3</v>
      </c>
      <c r="J117" s="8">
        <v>2594.6</v>
      </c>
      <c r="K117" s="7">
        <v>10</v>
      </c>
      <c r="L117" s="10">
        <v>0.65900000000000003</v>
      </c>
      <c r="M117" s="5" t="s">
        <v>264</v>
      </c>
    </row>
    <row r="118" spans="1:13" ht="30" x14ac:dyDescent="0.2">
      <c r="A118" s="2" t="s">
        <v>442</v>
      </c>
      <c r="B118" s="2" t="s">
        <v>443</v>
      </c>
      <c r="C118" s="2" t="str">
        <f>RIGHT(B118,SUM(LEN(B118)-LEN(SUBSTITUTE(B118,{"0","1","2","3","4","5","6","7","8","9"},""))))</f>
        <v>2686</v>
      </c>
      <c r="D118" s="2" t="str">
        <f t="shared" si="6"/>
        <v>2686</v>
      </c>
      <c r="E118" s="2" t="str">
        <f t="shared" si="7"/>
        <v>'2686.HK'</v>
      </c>
      <c r="F118" s="4" t="s">
        <v>444</v>
      </c>
      <c r="G118" s="6" t="s">
        <v>14</v>
      </c>
      <c r="H118" s="7">
        <v>3.08</v>
      </c>
      <c r="I118" s="8">
        <v>-2181.6</v>
      </c>
      <c r="J118" s="8">
        <v>5058.7</v>
      </c>
      <c r="K118" s="8">
        <v>20.5</v>
      </c>
      <c r="L118" s="10">
        <v>0.63500000000000001</v>
      </c>
      <c r="M118" s="5" t="s">
        <v>445</v>
      </c>
    </row>
    <row r="119" spans="1:13" ht="70" x14ac:dyDescent="0.2">
      <c r="A119" s="2" t="s">
        <v>446</v>
      </c>
      <c r="B119" s="2" t="s">
        <v>447</v>
      </c>
      <c r="C119" s="2" t="str">
        <f>RIGHT(B119,SUM(LEN(B119)-LEN(SUBSTITUTE(B119,{"0","1","2","3","4","5","6","7","8","9"},""))))</f>
        <v>1981</v>
      </c>
      <c r="D119" s="2" t="str">
        <f t="shared" si="6"/>
        <v>1981</v>
      </c>
      <c r="E119" s="2" t="str">
        <f t="shared" si="7"/>
        <v>'1981.HK'</v>
      </c>
      <c r="F119" s="4" t="s">
        <v>448</v>
      </c>
      <c r="G119" s="6" t="s">
        <v>449</v>
      </c>
      <c r="H119" s="7">
        <v>1.29</v>
      </c>
      <c r="I119" s="8">
        <v>-1016.3</v>
      </c>
      <c r="J119" s="8">
        <v>1952.8</v>
      </c>
      <c r="K119" s="8">
        <v>26.7</v>
      </c>
      <c r="L119" s="10">
        <v>0.624</v>
      </c>
      <c r="M119" s="11" t="s">
        <v>450</v>
      </c>
    </row>
    <row r="120" spans="1:13" ht="60" x14ac:dyDescent="0.2">
      <c r="A120" s="2" t="s">
        <v>451</v>
      </c>
      <c r="B120" s="2" t="s">
        <v>452</v>
      </c>
      <c r="C120" s="2" t="str">
        <f>RIGHT(B120,SUM(LEN(B120)-LEN(SUBSTITUTE(B120,{"0","1","2","3","4","5","6","7","8","9"},""))))</f>
        <v>3913</v>
      </c>
      <c r="D120" s="2" t="str">
        <f t="shared" si="6"/>
        <v>3913</v>
      </c>
      <c r="E120" s="2" t="str">
        <f t="shared" si="7"/>
        <v>'3913.HK'</v>
      </c>
      <c r="F120" s="4" t="s">
        <v>453</v>
      </c>
      <c r="G120" s="6" t="s">
        <v>14</v>
      </c>
      <c r="H120" s="7">
        <v>1.82</v>
      </c>
      <c r="I120" s="8">
        <v>-1539.5</v>
      </c>
      <c r="J120" s="8">
        <v>2734.9</v>
      </c>
      <c r="K120" s="8">
        <v>29.7</v>
      </c>
      <c r="L120" s="10">
        <v>0.61599999999999999</v>
      </c>
      <c r="M120" s="11" t="s">
        <v>248</v>
      </c>
    </row>
    <row r="121" spans="1:13" ht="150" x14ac:dyDescent="0.2">
      <c r="A121" s="2" t="s">
        <v>454</v>
      </c>
      <c r="B121" s="2" t="s">
        <v>455</v>
      </c>
      <c r="C121" s="2" t="str">
        <f>RIGHT(B121,SUM(LEN(B121)-LEN(SUBSTITUTE(B121,{"0","1","2","3","4","5","6","7","8","9"},""))))</f>
        <v>800</v>
      </c>
      <c r="D121" s="2" t="str">
        <f t="shared" si="6"/>
        <v>0800</v>
      </c>
      <c r="E121" s="2" t="str">
        <f t="shared" si="7"/>
        <v>'0800.HK'</v>
      </c>
      <c r="F121" s="4" t="s">
        <v>456</v>
      </c>
      <c r="G121" s="6" t="s">
        <v>14</v>
      </c>
      <c r="H121" s="7">
        <v>7.21</v>
      </c>
      <c r="I121" s="8">
        <v>-683.7</v>
      </c>
      <c r="J121" s="8">
        <v>1087.9000000000001</v>
      </c>
      <c r="K121" s="8">
        <v>11</v>
      </c>
      <c r="L121" s="10">
        <v>0.60899999999999999</v>
      </c>
      <c r="M121" s="11" t="s">
        <v>457</v>
      </c>
    </row>
    <row r="122" spans="1:13" ht="70" x14ac:dyDescent="0.2">
      <c r="A122" s="2" t="s">
        <v>458</v>
      </c>
      <c r="B122" s="2" t="s">
        <v>459</v>
      </c>
      <c r="C122" s="2" t="str">
        <f>RIGHT(B122,SUM(LEN(B122)-LEN(SUBSTITUTE(B122,{"0","1","2","3","4","5","6","7","8","9"},""))))</f>
        <v>93</v>
      </c>
      <c r="D122" s="2" t="str">
        <f t="shared" si="6"/>
        <v>0093</v>
      </c>
      <c r="E122" s="2" t="str">
        <f t="shared" si="7"/>
        <v>'0093.HK'</v>
      </c>
      <c r="F122" s="4" t="s">
        <v>460</v>
      </c>
      <c r="G122" s="6" t="s">
        <v>14</v>
      </c>
      <c r="H122" s="7">
        <v>2.93</v>
      </c>
      <c r="I122" s="8">
        <v>-180.3</v>
      </c>
      <c r="J122" s="8">
        <v>666.9</v>
      </c>
      <c r="K122" s="8">
        <v>15.9</v>
      </c>
      <c r="L122" s="10">
        <v>0.59799999999999998</v>
      </c>
      <c r="M122" s="11" t="s">
        <v>461</v>
      </c>
    </row>
    <row r="123" spans="1:13" ht="60" x14ac:dyDescent="0.2">
      <c r="A123" s="2" t="s">
        <v>462</v>
      </c>
      <c r="B123" s="2" t="s">
        <v>463</v>
      </c>
      <c r="C123" s="2" t="str">
        <f>RIGHT(B123,SUM(LEN(B123)-LEN(SUBSTITUTE(B123,{"0","1","2","3","4","5","6","7","8","9"},""))))</f>
        <v>8137</v>
      </c>
      <c r="D123" s="2" t="str">
        <f t="shared" si="6"/>
        <v>8137</v>
      </c>
      <c r="E123" s="2" t="str">
        <f t="shared" si="7"/>
        <v>'8137.HK'</v>
      </c>
      <c r="F123" s="4" t="s">
        <v>464</v>
      </c>
      <c r="G123" s="6" t="s">
        <v>14</v>
      </c>
      <c r="H123" s="7">
        <v>2.54</v>
      </c>
      <c r="I123" s="8">
        <v>-259.3</v>
      </c>
      <c r="J123" s="8">
        <v>2872.5</v>
      </c>
      <c r="K123" s="8">
        <v>35.9</v>
      </c>
      <c r="L123" s="10">
        <v>0.58899999999999997</v>
      </c>
      <c r="M123" s="11" t="s">
        <v>465</v>
      </c>
    </row>
    <row r="124" spans="1:13" ht="90" x14ac:dyDescent="0.2">
      <c r="A124" s="2" t="s">
        <v>466</v>
      </c>
      <c r="B124" s="2" t="s">
        <v>467</v>
      </c>
      <c r="C124" s="2" t="str">
        <f>RIGHT(B124,SUM(LEN(B124)-LEN(SUBSTITUTE(B124,{"0","1","2","3","4","5","6","7","8","9"},""))))</f>
        <v>468</v>
      </c>
      <c r="D124" s="2" t="str">
        <f t="shared" si="6"/>
        <v>0468</v>
      </c>
      <c r="E124" s="2" t="str">
        <f t="shared" si="7"/>
        <v>'0468.HK'</v>
      </c>
      <c r="F124" s="4" t="s">
        <v>468</v>
      </c>
      <c r="G124" s="6" t="s">
        <v>14</v>
      </c>
      <c r="H124" s="7">
        <v>1.01</v>
      </c>
      <c r="I124" s="8">
        <v>-140</v>
      </c>
      <c r="J124" s="8">
        <v>1844.5</v>
      </c>
      <c r="K124" s="8">
        <v>33.9</v>
      </c>
      <c r="L124" s="10">
        <v>0.58699999999999997</v>
      </c>
      <c r="M124" s="11" t="s">
        <v>469</v>
      </c>
    </row>
    <row r="125" spans="1:13" ht="70" x14ac:dyDescent="0.2">
      <c r="A125" s="2" t="s">
        <v>470</v>
      </c>
      <c r="B125" s="2" t="s">
        <v>471</v>
      </c>
      <c r="C125" s="2" t="str">
        <f>RIGHT(B125,SUM(LEN(B125)-LEN(SUBSTITUTE(B125,{"0","1","2","3","4","5","6","7","8","9"},""))))</f>
        <v>1868</v>
      </c>
      <c r="D125" s="2" t="str">
        <f t="shared" si="6"/>
        <v>1868</v>
      </c>
      <c r="E125" s="2" t="str">
        <f t="shared" si="7"/>
        <v>'1868.HK'</v>
      </c>
      <c r="F125" s="4" t="s">
        <v>472</v>
      </c>
      <c r="G125" s="6" t="s">
        <v>14</v>
      </c>
      <c r="H125" s="7">
        <v>3.66</v>
      </c>
      <c r="I125" s="8">
        <v>-775.8</v>
      </c>
      <c r="J125" s="8">
        <v>963.5</v>
      </c>
      <c r="K125" s="8">
        <v>16.7</v>
      </c>
      <c r="L125" s="10">
        <v>0.57999999999999996</v>
      </c>
      <c r="M125" s="11" t="s">
        <v>473</v>
      </c>
    </row>
    <row r="126" spans="1:13" ht="180" x14ac:dyDescent="0.2">
      <c r="A126" s="2" t="s">
        <v>474</v>
      </c>
      <c r="B126" s="2" t="s">
        <v>475</v>
      </c>
      <c r="C126" s="2" t="str">
        <f>RIGHT(B126,SUM(LEN(B126)-LEN(SUBSTITUTE(B126,{"0","1","2","3","4","5","6","7","8","9"},""))))</f>
        <v>423</v>
      </c>
      <c r="D126" s="2" t="str">
        <f t="shared" si="6"/>
        <v>0423</v>
      </c>
      <c r="E126" s="2" t="str">
        <f t="shared" si="7"/>
        <v>'0423.HK'</v>
      </c>
      <c r="F126" s="4" t="s">
        <v>476</v>
      </c>
      <c r="G126" s="6" t="s">
        <v>14</v>
      </c>
      <c r="H126" s="7">
        <v>2.42</v>
      </c>
      <c r="I126" s="8">
        <v>-473.5</v>
      </c>
      <c r="J126" s="8">
        <v>505</v>
      </c>
      <c r="K126" s="8">
        <v>24.4</v>
      </c>
      <c r="L126" s="10">
        <v>0.56499999999999995</v>
      </c>
      <c r="M126" s="11" t="s">
        <v>477</v>
      </c>
    </row>
    <row r="127" spans="1:13" ht="60" x14ac:dyDescent="0.2">
      <c r="A127" s="2" t="s">
        <v>478</v>
      </c>
      <c r="B127" s="2" t="s">
        <v>479</v>
      </c>
      <c r="C127" s="2" t="str">
        <f>RIGHT(B127,SUM(LEN(B127)-LEN(SUBSTITUTE(B127,{"0","1","2","3","4","5","6","7","8","9"},""))))</f>
        <v>1753</v>
      </c>
      <c r="D127" s="2" t="str">
        <f t="shared" si="6"/>
        <v>1753</v>
      </c>
      <c r="E127" s="2" t="str">
        <f t="shared" si="7"/>
        <v>'1753.HK'</v>
      </c>
      <c r="F127" s="4" t="s">
        <v>480</v>
      </c>
      <c r="G127" s="6" t="s">
        <v>14</v>
      </c>
      <c r="H127" s="7">
        <v>4.68</v>
      </c>
      <c r="I127" s="8">
        <v>-1498.3</v>
      </c>
      <c r="J127" s="8">
        <v>850.7</v>
      </c>
      <c r="K127" s="8">
        <v>17.8</v>
      </c>
      <c r="L127" s="10">
        <v>0.56200000000000006</v>
      </c>
      <c r="M127" s="11" t="s">
        <v>481</v>
      </c>
    </row>
    <row r="128" spans="1:13" ht="170" x14ac:dyDescent="0.2">
      <c r="A128" s="2" t="s">
        <v>482</v>
      </c>
      <c r="B128" s="2" t="s">
        <v>483</v>
      </c>
      <c r="C128" s="2" t="str">
        <f>RIGHT(B128,SUM(LEN(B128)-LEN(SUBSTITUTE(B128,{"0","1","2","3","4","5","6","7","8","9"},""))))</f>
        <v>32</v>
      </c>
      <c r="D128" s="2" t="str">
        <f t="shared" si="6"/>
        <v>0032</v>
      </c>
      <c r="E128" s="2" t="str">
        <f t="shared" si="7"/>
        <v>'0032.HK'</v>
      </c>
      <c r="F128" s="4" t="s">
        <v>484</v>
      </c>
      <c r="G128" s="6" t="s">
        <v>14</v>
      </c>
      <c r="H128" s="7">
        <v>5.35</v>
      </c>
      <c r="I128" s="8">
        <v>-4070.1</v>
      </c>
      <c r="J128" s="8">
        <v>3913.2</v>
      </c>
      <c r="K128" s="7">
        <v>9.92</v>
      </c>
      <c r="L128" s="10">
        <v>0.55800000000000005</v>
      </c>
      <c r="M128" s="11" t="s">
        <v>485</v>
      </c>
    </row>
    <row r="129" spans="1:13" ht="90" x14ac:dyDescent="0.2">
      <c r="A129" s="2" t="s">
        <v>486</v>
      </c>
      <c r="B129" s="2" t="s">
        <v>487</v>
      </c>
      <c r="C129" s="2" t="str">
        <f>RIGHT(B129,SUM(LEN(B129)-LEN(SUBSTITUTE(B129,{"0","1","2","3","4","5","6","7","8","9"},""))))</f>
        <v>2125</v>
      </c>
      <c r="D129" s="2" t="str">
        <f t="shared" si="6"/>
        <v>2125</v>
      </c>
      <c r="E129" s="2" t="str">
        <f t="shared" si="7"/>
        <v>'2125.HK'</v>
      </c>
      <c r="F129" s="4" t="s">
        <v>488</v>
      </c>
      <c r="G129" s="6" t="s">
        <v>14</v>
      </c>
      <c r="H129" s="7">
        <v>1.07</v>
      </c>
      <c r="I129" s="8">
        <v>-52.4</v>
      </c>
      <c r="J129" s="8">
        <v>1198.2</v>
      </c>
      <c r="K129" s="8">
        <v>37.6</v>
      </c>
      <c r="L129" s="10">
        <v>0.55500000000000005</v>
      </c>
      <c r="M129" s="11" t="s">
        <v>489</v>
      </c>
    </row>
    <row r="130" spans="1:13" ht="110" x14ac:dyDescent="0.2">
      <c r="A130" s="2" t="s">
        <v>490</v>
      </c>
      <c r="B130" s="2" t="s">
        <v>491</v>
      </c>
      <c r="C130" s="2" t="str">
        <f>RIGHT(B130,SUM(LEN(B130)-LEN(SUBSTITUTE(B130,{"0","1","2","3","4","5","6","7","8","9"},""))))</f>
        <v>3339</v>
      </c>
      <c r="D130" s="2" t="str">
        <f t="shared" si="6"/>
        <v>3339</v>
      </c>
      <c r="E130" s="2" t="str">
        <f t="shared" si="7"/>
        <v>'3339.HK'</v>
      </c>
      <c r="F130" s="4" t="s">
        <v>492</v>
      </c>
      <c r="G130" s="6" t="s">
        <v>14</v>
      </c>
      <c r="H130" s="7">
        <v>1.31</v>
      </c>
      <c r="I130" s="8">
        <v>-4206.3999999999996</v>
      </c>
      <c r="J130" s="8">
        <v>5435.7</v>
      </c>
      <c r="K130" s="8">
        <v>38.5</v>
      </c>
      <c r="L130" s="10">
        <v>0.54400000000000004</v>
      </c>
      <c r="M130" s="11" t="s">
        <v>493</v>
      </c>
    </row>
    <row r="131" spans="1:13" ht="90" x14ac:dyDescent="0.2">
      <c r="A131" s="2" t="s">
        <v>494</v>
      </c>
      <c r="B131" s="2" t="s">
        <v>495</v>
      </c>
      <c r="C131" s="2" t="str">
        <f>RIGHT(B131,SUM(LEN(B131)-LEN(SUBSTITUTE(B131,{"0","1","2","3","4","5","6","7","8","9"},""))))</f>
        <v>1170</v>
      </c>
      <c r="D131" s="2" t="str">
        <f t="shared" si="6"/>
        <v>1170</v>
      </c>
      <c r="E131" s="2" t="str">
        <f t="shared" si="7"/>
        <v>'1170.HK'</v>
      </c>
      <c r="F131" s="4" t="s">
        <v>496</v>
      </c>
      <c r="G131" s="6" t="s">
        <v>14</v>
      </c>
      <c r="H131" s="7">
        <v>1.8</v>
      </c>
      <c r="I131" s="8">
        <v>-285.60000000000002</v>
      </c>
      <c r="J131" s="8">
        <v>652.29999999999995</v>
      </c>
      <c r="K131" s="8">
        <v>26.4</v>
      </c>
      <c r="L131" s="10">
        <v>0.53900000000000003</v>
      </c>
      <c r="M131" s="11" t="s">
        <v>497</v>
      </c>
    </row>
    <row r="132" spans="1:13" ht="100" x14ac:dyDescent="0.2">
      <c r="A132" s="2" t="s">
        <v>498</v>
      </c>
      <c r="B132" s="2" t="s">
        <v>499</v>
      </c>
      <c r="C132" s="2" t="str">
        <f>RIGHT(B132,SUM(LEN(B132)-LEN(SUBSTITUTE(B132,{"0","1","2","3","4","5","6","7","8","9"},""))))</f>
        <v>1221</v>
      </c>
      <c r="D132" s="2" t="str">
        <f t="shared" si="6"/>
        <v>1221</v>
      </c>
      <c r="E132" s="2" t="str">
        <f t="shared" si="7"/>
        <v>'1221.HK'</v>
      </c>
      <c r="F132" s="4" t="s">
        <v>500</v>
      </c>
      <c r="G132" s="6" t="s">
        <v>14</v>
      </c>
      <c r="H132" s="8">
        <v>58.1</v>
      </c>
      <c r="I132" s="8">
        <v>-837.8</v>
      </c>
      <c r="J132" s="8">
        <v>2171</v>
      </c>
      <c r="K132" s="10">
        <v>0.35</v>
      </c>
      <c r="L132" s="10">
        <v>0.53200000000000003</v>
      </c>
      <c r="M132" s="11" t="s">
        <v>501</v>
      </c>
    </row>
    <row r="133" spans="1:13" ht="100" x14ac:dyDescent="0.2">
      <c r="A133" s="2" t="s">
        <v>502</v>
      </c>
      <c r="B133" s="2" t="s">
        <v>503</v>
      </c>
      <c r="C133" s="2" t="str">
        <f>RIGHT(B133,SUM(LEN(B133)-LEN(SUBSTITUTE(B133,{"0","1","2","3","4","5","6","7","8","9"},""))))</f>
        <v>215</v>
      </c>
      <c r="D133" s="2" t="str">
        <f t="shared" si="6"/>
        <v>0215</v>
      </c>
      <c r="E133" s="2" t="str">
        <f t="shared" si="7"/>
        <v>'0215.HK'</v>
      </c>
      <c r="F133" s="4" t="s">
        <v>504</v>
      </c>
      <c r="G133" s="6" t="s">
        <v>14</v>
      </c>
      <c r="H133" s="7">
        <v>2.09</v>
      </c>
      <c r="I133" s="8">
        <v>-3558</v>
      </c>
      <c r="J133" s="8">
        <v>5541.9</v>
      </c>
      <c r="K133" s="8">
        <v>30</v>
      </c>
      <c r="L133" s="10">
        <v>0.52900000000000003</v>
      </c>
      <c r="M133" s="11" t="s">
        <v>505</v>
      </c>
    </row>
    <row r="134" spans="1:13" ht="70" x14ac:dyDescent="0.2">
      <c r="A134" s="2" t="s">
        <v>506</v>
      </c>
      <c r="B134" s="2" t="s">
        <v>507</v>
      </c>
      <c r="C134" s="2" t="str">
        <f>RIGHT(B134,SUM(LEN(B134)-LEN(SUBSTITUTE(B134,{"0","1","2","3","4","5","6","7","8","9"},""))))</f>
        <v>6919</v>
      </c>
      <c r="D134" s="2" t="str">
        <f t="shared" si="6"/>
        <v>6919</v>
      </c>
      <c r="E134" s="2" t="str">
        <f t="shared" si="7"/>
        <v>'6919.HK'</v>
      </c>
      <c r="F134" s="4" t="s">
        <v>508</v>
      </c>
      <c r="G134" s="6" t="s">
        <v>14</v>
      </c>
      <c r="H134" s="7">
        <v>2.4700000000000002</v>
      </c>
      <c r="I134" s="8">
        <v>-951.8</v>
      </c>
      <c r="J134" s="8">
        <v>744.3</v>
      </c>
      <c r="K134" s="8">
        <v>35.9</v>
      </c>
      <c r="L134" s="10">
        <v>0.51400000000000001</v>
      </c>
      <c r="M134" s="11" t="s">
        <v>509</v>
      </c>
    </row>
    <row r="135" spans="1:13" ht="110" x14ac:dyDescent="0.2">
      <c r="A135" s="2" t="s">
        <v>510</v>
      </c>
      <c r="B135" s="2" t="s">
        <v>511</v>
      </c>
      <c r="C135" s="2" t="str">
        <f>RIGHT(B135,SUM(LEN(B135)-LEN(SUBSTITUTE(B135,{"0","1","2","3","4","5","6","7","8","9"},""))))</f>
        <v>2100</v>
      </c>
      <c r="D135" s="2" t="str">
        <f t="shared" si="6"/>
        <v>2100</v>
      </c>
      <c r="E135" s="2" t="str">
        <f t="shared" si="7"/>
        <v>'2100.HK'</v>
      </c>
      <c r="F135" s="4" t="s">
        <v>512</v>
      </c>
      <c r="G135" s="6" t="s">
        <v>14</v>
      </c>
      <c r="H135" s="7">
        <v>6.14</v>
      </c>
      <c r="I135" s="8">
        <v>-1733.7</v>
      </c>
      <c r="J135" s="8">
        <v>1044.4000000000001</v>
      </c>
      <c r="K135" s="8">
        <v>15.6</v>
      </c>
      <c r="L135" s="10">
        <v>0.51100000000000001</v>
      </c>
      <c r="M135" s="11" t="s">
        <v>513</v>
      </c>
    </row>
    <row r="136" spans="1:13" ht="100" x14ac:dyDescent="0.2">
      <c r="A136" s="2" t="s">
        <v>514</v>
      </c>
      <c r="B136" s="2" t="s">
        <v>515</v>
      </c>
      <c r="C136" s="2" t="str">
        <f>RIGHT(B136,SUM(LEN(B136)-LEN(SUBSTITUTE(B136,{"0","1","2","3","4","5","6","7","8","9"},""))))</f>
        <v>1127</v>
      </c>
      <c r="D136" s="2" t="str">
        <f t="shared" si="6"/>
        <v>1127</v>
      </c>
      <c r="E136" s="2" t="str">
        <f t="shared" si="7"/>
        <v>'1127.HK'</v>
      </c>
      <c r="F136" s="4" t="s">
        <v>516</v>
      </c>
      <c r="G136" s="6" t="s">
        <v>14</v>
      </c>
      <c r="H136" s="7">
        <v>1.52</v>
      </c>
      <c r="I136" s="8">
        <v>-112.8</v>
      </c>
      <c r="J136" s="8">
        <v>677.6</v>
      </c>
      <c r="K136" s="8">
        <v>33.6</v>
      </c>
      <c r="L136" s="10">
        <v>0.502</v>
      </c>
      <c r="M136" s="11" t="s">
        <v>517</v>
      </c>
    </row>
    <row r="137" spans="1:13" ht="200" x14ac:dyDescent="0.2">
      <c r="A137" s="2" t="s">
        <v>518</v>
      </c>
      <c r="B137" s="2" t="s">
        <v>519</v>
      </c>
      <c r="C137" s="2" t="str">
        <f>RIGHT(B137,SUM(LEN(B137)-LEN(SUBSTITUTE(B137,{"0","1","2","3","4","5","6","7","8","9"},""))))</f>
        <v>701</v>
      </c>
      <c r="D137" s="2" t="str">
        <f t="shared" si="6"/>
        <v>0701</v>
      </c>
      <c r="E137" s="2" t="str">
        <f t="shared" si="7"/>
        <v>'0701.HK'</v>
      </c>
      <c r="F137" s="4" t="s">
        <v>520</v>
      </c>
      <c r="G137" s="6" t="s">
        <v>14</v>
      </c>
      <c r="H137" s="7">
        <v>1.37</v>
      </c>
      <c r="I137" s="8">
        <v>-267</v>
      </c>
      <c r="J137" s="8">
        <v>713.9</v>
      </c>
      <c r="K137" s="8">
        <v>31.1</v>
      </c>
      <c r="L137" s="10">
        <v>0.5</v>
      </c>
      <c r="M137" s="11" t="s">
        <v>521</v>
      </c>
    </row>
    <row r="138" spans="1:13" ht="110" x14ac:dyDescent="0.2">
      <c r="A138" s="2" t="s">
        <v>522</v>
      </c>
      <c r="B138" s="2" t="s">
        <v>523</v>
      </c>
      <c r="C138" s="2" t="str">
        <f>RIGHT(B138,SUM(LEN(B138)-LEN(SUBSTITUTE(B138,{"0","1","2","3","4","5","6","7","8","9"},""))))</f>
        <v>3700</v>
      </c>
      <c r="D138" s="2" t="str">
        <f t="shared" si="6"/>
        <v>3700</v>
      </c>
      <c r="E138" s="2" t="str">
        <f t="shared" si="7"/>
        <v>'3700.HK'</v>
      </c>
      <c r="F138" s="4" t="s">
        <v>524</v>
      </c>
      <c r="G138" s="6" t="s">
        <v>14</v>
      </c>
      <c r="H138" s="7">
        <v>2.62</v>
      </c>
      <c r="I138" s="8">
        <v>-3328.5</v>
      </c>
      <c r="J138" s="8">
        <v>2287.1999999999998</v>
      </c>
      <c r="K138" s="8">
        <v>25</v>
      </c>
      <c r="L138" s="10">
        <v>0.48699999999999999</v>
      </c>
      <c r="M138" s="11" t="s">
        <v>525</v>
      </c>
    </row>
    <row r="139" spans="1:13" ht="80" x14ac:dyDescent="0.2">
      <c r="A139" s="2" t="s">
        <v>526</v>
      </c>
      <c r="B139" s="2" t="s">
        <v>527</v>
      </c>
      <c r="C139" s="2" t="str">
        <f>RIGHT(B139,SUM(LEN(B139)-LEN(SUBSTITUTE(B139,{"0","1","2","3","4","5","6","7","8","9"},""))))</f>
        <v>556</v>
      </c>
      <c r="D139" s="2" t="str">
        <f t="shared" si="6"/>
        <v>0556</v>
      </c>
      <c r="E139" s="2" t="str">
        <f t="shared" si="7"/>
        <v>'0556.HK'</v>
      </c>
      <c r="F139" s="4" t="s">
        <v>528</v>
      </c>
      <c r="G139" s="6" t="s">
        <v>14</v>
      </c>
      <c r="H139" s="8">
        <v>15.1</v>
      </c>
      <c r="I139" s="8">
        <v>-1444.4</v>
      </c>
      <c r="J139" s="8">
        <v>613.20000000000005</v>
      </c>
      <c r="K139" s="7">
        <v>8.17</v>
      </c>
      <c r="L139" s="10">
        <v>0.47899999999999998</v>
      </c>
      <c r="M139" s="11" t="s">
        <v>529</v>
      </c>
    </row>
    <row r="140" spans="1:13" ht="250" x14ac:dyDescent="0.2">
      <c r="A140" s="2" t="s">
        <v>530</v>
      </c>
      <c r="B140" s="2" t="s">
        <v>531</v>
      </c>
      <c r="C140" s="2" t="str">
        <f>RIGHT(B140,SUM(LEN(B140)-LEN(SUBSTITUTE(B140,{"0","1","2","3","4","5","6","7","8","9"},""))))</f>
        <v>393</v>
      </c>
      <c r="D140" s="2" t="str">
        <f t="shared" si="6"/>
        <v>0393</v>
      </c>
      <c r="E140" s="2" t="str">
        <f t="shared" si="7"/>
        <v>'0393.HK'</v>
      </c>
      <c r="F140" s="4" t="s">
        <v>532</v>
      </c>
      <c r="G140" s="6" t="s">
        <v>14</v>
      </c>
      <c r="H140" s="7">
        <v>3.6</v>
      </c>
      <c r="I140" s="8">
        <v>-2359</v>
      </c>
      <c r="J140" s="8">
        <v>1130.7</v>
      </c>
      <c r="K140" s="8">
        <v>24.5</v>
      </c>
      <c r="L140" s="10">
        <v>0.47</v>
      </c>
      <c r="M140" s="11" t="s">
        <v>533</v>
      </c>
    </row>
    <row r="141" spans="1:13" ht="120" x14ac:dyDescent="0.2">
      <c r="A141" s="2" t="s">
        <v>534</v>
      </c>
      <c r="B141" s="2" t="s">
        <v>535</v>
      </c>
      <c r="C141" s="2" t="str">
        <f>RIGHT(B141,SUM(LEN(B141)-LEN(SUBSTITUTE(B141,{"0","1","2","3","4","5","6","7","8","9"},""))))</f>
        <v>3983</v>
      </c>
      <c r="D141" s="2" t="str">
        <f t="shared" si="6"/>
        <v>3983</v>
      </c>
      <c r="E141" s="2" t="str">
        <f t="shared" si="7"/>
        <v>'3983.HK'</v>
      </c>
      <c r="F141" s="4" t="s">
        <v>536</v>
      </c>
      <c r="G141" s="6" t="s">
        <v>14</v>
      </c>
      <c r="H141" s="7">
        <v>3.52</v>
      </c>
      <c r="I141" s="8">
        <v>-12788.9</v>
      </c>
      <c r="J141" s="8">
        <v>8897.2999999999993</v>
      </c>
      <c r="K141" s="8">
        <v>21.1</v>
      </c>
      <c r="L141" s="10">
        <v>0.46300000000000002</v>
      </c>
      <c r="M141" s="11" t="s">
        <v>537</v>
      </c>
    </row>
    <row r="142" spans="1:13" ht="80" x14ac:dyDescent="0.2">
      <c r="A142" s="2" t="s">
        <v>538</v>
      </c>
      <c r="B142" s="2" t="s">
        <v>539</v>
      </c>
      <c r="C142" s="2" t="str">
        <f>RIGHT(B142,SUM(LEN(B142)-LEN(SUBSTITUTE(B142,{"0","1","2","3","4","5","6","7","8","9"},""))))</f>
        <v>105</v>
      </c>
      <c r="D142" s="2" t="str">
        <f t="shared" si="6"/>
        <v>0105</v>
      </c>
      <c r="E142" s="2" t="str">
        <f t="shared" si="7"/>
        <v>'0105.HK'</v>
      </c>
      <c r="F142" s="4" t="s">
        <v>540</v>
      </c>
      <c r="G142" s="6" t="s">
        <v>14</v>
      </c>
      <c r="H142" s="7">
        <v>3.36</v>
      </c>
      <c r="I142" s="8">
        <v>-240.8</v>
      </c>
      <c r="J142" s="8">
        <v>4320</v>
      </c>
      <c r="K142" s="7">
        <v>4.93</v>
      </c>
      <c r="L142" s="10">
        <v>0.45500000000000002</v>
      </c>
      <c r="M142" s="11" t="s">
        <v>541</v>
      </c>
    </row>
    <row r="143" spans="1:13" ht="260" x14ac:dyDescent="0.2">
      <c r="A143" s="2" t="s">
        <v>542</v>
      </c>
      <c r="B143" s="2" t="s">
        <v>543</v>
      </c>
      <c r="C143" s="2" t="str">
        <f>RIGHT(B143,SUM(LEN(B143)-LEN(SUBSTITUTE(B143,{"0","1","2","3","4","5","6","7","8","9"},""))))</f>
        <v>2008</v>
      </c>
      <c r="D143" s="2" t="str">
        <f t="shared" si="6"/>
        <v>2008</v>
      </c>
      <c r="E143" s="2" t="str">
        <f t="shared" si="7"/>
        <v>'2008.HK'</v>
      </c>
      <c r="F143" s="4" t="s">
        <v>544</v>
      </c>
      <c r="G143" s="6" t="s">
        <v>14</v>
      </c>
      <c r="H143" s="7">
        <v>1.85</v>
      </c>
      <c r="I143" s="8">
        <v>-1658.5</v>
      </c>
      <c r="J143" s="8">
        <v>1647.9</v>
      </c>
      <c r="K143" s="8">
        <v>38.4</v>
      </c>
      <c r="L143" s="10">
        <v>0.45500000000000002</v>
      </c>
      <c r="M143" s="11" t="s">
        <v>545</v>
      </c>
    </row>
    <row r="144" spans="1:13" ht="80" x14ac:dyDescent="0.2">
      <c r="A144" s="2" t="s">
        <v>546</v>
      </c>
      <c r="B144" s="2" t="s">
        <v>547</v>
      </c>
      <c r="C144" s="2" t="str">
        <f>RIGHT(B144,SUM(LEN(B144)-LEN(SUBSTITUTE(B144,{"0","1","2","3","4","5","6","7","8","9"},""))))</f>
        <v>26</v>
      </c>
      <c r="D144" s="2" t="str">
        <f t="shared" si="6"/>
        <v>0026</v>
      </c>
      <c r="E144" s="2" t="str">
        <f t="shared" si="7"/>
        <v>'0026.HK'</v>
      </c>
      <c r="F144" s="4" t="s">
        <v>548</v>
      </c>
      <c r="G144" s="6" t="s">
        <v>14</v>
      </c>
      <c r="H144" s="8">
        <v>23.1</v>
      </c>
      <c r="I144" s="8">
        <v>-1121.4000000000001</v>
      </c>
      <c r="J144" s="8">
        <v>3556.7</v>
      </c>
      <c r="K144" s="7">
        <v>1.17</v>
      </c>
      <c r="L144" s="10">
        <v>0.44500000000000001</v>
      </c>
      <c r="M144" s="11" t="s">
        <v>549</v>
      </c>
    </row>
    <row r="145" spans="1:13" ht="80" x14ac:dyDescent="0.2">
      <c r="A145" s="2" t="s">
        <v>550</v>
      </c>
      <c r="B145" s="2" t="s">
        <v>551</v>
      </c>
      <c r="C145" s="2" t="str">
        <f>RIGHT(B145,SUM(LEN(B145)-LEN(SUBSTITUTE(B145,{"0","1","2","3","4","5","6","7","8","9"},""))))</f>
        <v>439</v>
      </c>
      <c r="D145" s="2" t="str">
        <f t="shared" si="6"/>
        <v>0439</v>
      </c>
      <c r="E145" s="2" t="str">
        <f t="shared" si="7"/>
        <v>'0439.HK'</v>
      </c>
      <c r="F145" s="4" t="s">
        <v>552</v>
      </c>
      <c r="G145" s="6" t="s">
        <v>14</v>
      </c>
      <c r="H145" s="7">
        <v>2.2799999999999998</v>
      </c>
      <c r="I145" s="8">
        <v>-164.7</v>
      </c>
      <c r="J145" s="8">
        <v>763.5</v>
      </c>
      <c r="K145" s="8">
        <v>19.7</v>
      </c>
      <c r="L145" s="10">
        <v>0.44500000000000001</v>
      </c>
      <c r="M145" s="11" t="s">
        <v>553</v>
      </c>
    </row>
    <row r="146" spans="1:13" ht="130" x14ac:dyDescent="0.2">
      <c r="A146" s="2" t="s">
        <v>554</v>
      </c>
      <c r="B146" s="2" t="s">
        <v>555</v>
      </c>
      <c r="C146" s="2" t="str">
        <f>RIGHT(B146,SUM(LEN(B146)-LEN(SUBSTITUTE(B146,{"0","1","2","3","4","5","6","7","8","9"},""))))</f>
        <v>71</v>
      </c>
      <c r="D146" s="2" t="str">
        <f t="shared" si="6"/>
        <v>0071</v>
      </c>
      <c r="E146" s="2" t="str">
        <f t="shared" si="7"/>
        <v>'0071.HK'</v>
      </c>
      <c r="F146" s="4" t="s">
        <v>556</v>
      </c>
      <c r="G146" s="6" t="s">
        <v>14</v>
      </c>
      <c r="H146" s="8">
        <v>10.4</v>
      </c>
      <c r="I146" s="8">
        <v>-5223.8</v>
      </c>
      <c r="J146" s="8">
        <v>8968.6</v>
      </c>
      <c r="K146" s="7">
        <v>4.93</v>
      </c>
      <c r="L146" s="10">
        <v>0.443</v>
      </c>
      <c r="M146" s="11" t="s">
        <v>557</v>
      </c>
    </row>
    <row r="147" spans="1:13" ht="90" x14ac:dyDescent="0.2">
      <c r="A147" s="2" t="s">
        <v>558</v>
      </c>
      <c r="B147" s="2" t="s">
        <v>559</v>
      </c>
      <c r="C147" s="2" t="str">
        <f>RIGHT(B147,SUM(LEN(B147)-LEN(SUBSTITUTE(B147,{"0","1","2","3","4","5","6","7","8","9"},""))))</f>
        <v>1469</v>
      </c>
      <c r="D147" s="2" t="str">
        <f t="shared" si="6"/>
        <v>1469</v>
      </c>
      <c r="E147" s="2" t="str">
        <f t="shared" si="7"/>
        <v>'1469.HK'</v>
      </c>
      <c r="F147" s="4" t="s">
        <v>560</v>
      </c>
      <c r="G147" s="6" t="s">
        <v>14</v>
      </c>
      <c r="H147" s="7">
        <v>8.5500000000000007</v>
      </c>
      <c r="I147" s="8">
        <v>-1692.7</v>
      </c>
      <c r="J147" s="8">
        <v>1775</v>
      </c>
      <c r="K147" s="8">
        <v>11.1</v>
      </c>
      <c r="L147" s="10">
        <v>0.438</v>
      </c>
      <c r="M147" s="11" t="s">
        <v>561</v>
      </c>
    </row>
    <row r="148" spans="1:13" ht="100" x14ac:dyDescent="0.2">
      <c r="A148" s="2" t="s">
        <v>562</v>
      </c>
      <c r="B148" s="2" t="s">
        <v>563</v>
      </c>
      <c r="C148" s="2" t="str">
        <f>RIGHT(B148,SUM(LEN(B148)-LEN(SUBSTITUTE(B148,{"0","1","2","3","4","5","6","7","8","9"},""))))</f>
        <v>278</v>
      </c>
      <c r="D148" s="2" t="str">
        <f t="shared" si="6"/>
        <v>0278</v>
      </c>
      <c r="E148" s="2" t="str">
        <f t="shared" si="7"/>
        <v>'0278.HK'</v>
      </c>
      <c r="F148" s="4" t="s">
        <v>564</v>
      </c>
      <c r="G148" s="6" t="s">
        <v>14</v>
      </c>
      <c r="H148" s="7">
        <v>3.03</v>
      </c>
      <c r="I148" s="8">
        <v>-279.10000000000002</v>
      </c>
      <c r="J148" s="8">
        <v>532.20000000000005</v>
      </c>
      <c r="K148" s="7">
        <v>7.76</v>
      </c>
      <c r="L148" s="10">
        <v>0.42299999999999999</v>
      </c>
      <c r="M148" s="11" t="s">
        <v>565</v>
      </c>
    </row>
    <row r="149" spans="1:13" ht="120" x14ac:dyDescent="0.2">
      <c r="A149" s="2" t="s">
        <v>566</v>
      </c>
      <c r="B149" s="2" t="s">
        <v>567</v>
      </c>
      <c r="C149" s="2" t="str">
        <f>RIGHT(B149,SUM(LEN(B149)-LEN(SUBSTITUTE(B149,{"0","1","2","3","4","5","6","7","8","9"},""))))</f>
        <v>2779</v>
      </c>
      <c r="D149" s="2" t="str">
        <f t="shared" si="6"/>
        <v>2779</v>
      </c>
      <c r="E149" s="2" t="str">
        <f t="shared" si="7"/>
        <v>'2779.HK'</v>
      </c>
      <c r="F149" s="4" t="s">
        <v>568</v>
      </c>
      <c r="G149" s="6" t="s">
        <v>14</v>
      </c>
      <c r="H149" s="7">
        <v>1.4</v>
      </c>
      <c r="I149" s="8">
        <v>-23.5</v>
      </c>
      <c r="J149" s="8">
        <v>1656.8</v>
      </c>
      <c r="K149" s="8">
        <v>22.6</v>
      </c>
      <c r="L149" s="10">
        <v>0.41799999999999998</v>
      </c>
      <c r="M149" s="11" t="s">
        <v>569</v>
      </c>
    </row>
    <row r="150" spans="1:13" ht="150" x14ac:dyDescent="0.2">
      <c r="A150" s="2" t="s">
        <v>570</v>
      </c>
      <c r="B150" s="2" t="s">
        <v>571</v>
      </c>
      <c r="C150" s="2" t="str">
        <f>RIGHT(B150,SUM(LEN(B150)-LEN(SUBSTITUTE(B150,{"0","1","2","3","4","5","6","7","8","9"},""))))</f>
        <v>517</v>
      </c>
      <c r="D150" s="2" t="str">
        <f t="shared" si="6"/>
        <v>0517</v>
      </c>
      <c r="E150" s="2" t="str">
        <f t="shared" si="7"/>
        <v>'0517.HK'</v>
      </c>
      <c r="F150" s="4" t="s">
        <v>572</v>
      </c>
      <c r="G150" s="6" t="s">
        <v>14</v>
      </c>
      <c r="H150" s="7">
        <v>5.74</v>
      </c>
      <c r="I150" s="8">
        <v>-6161.3</v>
      </c>
      <c r="J150" s="8">
        <v>3234.5</v>
      </c>
      <c r="K150" s="8">
        <v>13.8</v>
      </c>
      <c r="L150" s="10">
        <v>0.40300000000000002</v>
      </c>
      <c r="M150" s="11" t="s">
        <v>573</v>
      </c>
    </row>
    <row r="151" spans="1:13" ht="180" x14ac:dyDescent="0.2">
      <c r="A151" s="2" t="s">
        <v>574</v>
      </c>
      <c r="B151" s="2" t="s">
        <v>575</v>
      </c>
      <c r="C151" s="2" t="str">
        <f>RIGHT(B151,SUM(LEN(B151)-LEN(SUBSTITUTE(B151,{"0","1","2","3","4","5","6","7","8","9"},""))))</f>
        <v>50</v>
      </c>
      <c r="D151" s="2" t="str">
        <f t="shared" si="6"/>
        <v>0050</v>
      </c>
      <c r="E151" s="2" t="str">
        <f t="shared" si="7"/>
        <v>'0050.HK'</v>
      </c>
      <c r="F151" s="4" t="s">
        <v>576</v>
      </c>
      <c r="G151" s="6" t="s">
        <v>14</v>
      </c>
      <c r="H151" s="8">
        <v>10.5</v>
      </c>
      <c r="I151" s="8">
        <v>-1678.9</v>
      </c>
      <c r="J151" s="8">
        <v>2426.1999999999998</v>
      </c>
      <c r="K151" s="7">
        <v>4.22</v>
      </c>
      <c r="L151" s="10">
        <v>0.4</v>
      </c>
      <c r="M151" s="11" t="s">
        <v>577</v>
      </c>
    </row>
    <row r="152" spans="1:13" ht="70" x14ac:dyDescent="0.2">
      <c r="A152" s="2" t="s">
        <v>578</v>
      </c>
      <c r="B152" s="2" t="s">
        <v>579</v>
      </c>
      <c r="C152" s="2" t="str">
        <f>RIGHT(B152,SUM(LEN(B152)-LEN(SUBSTITUTE(B152,{"0","1","2","3","4","5","6","7","8","9"},""))))</f>
        <v>934</v>
      </c>
      <c r="D152" s="2" t="str">
        <f t="shared" si="6"/>
        <v>0934</v>
      </c>
      <c r="E152" s="2" t="str">
        <f t="shared" si="7"/>
        <v>'0934.HK'</v>
      </c>
      <c r="F152" s="4" t="s">
        <v>580</v>
      </c>
      <c r="G152" s="6" t="s">
        <v>14</v>
      </c>
      <c r="H152" s="8">
        <v>24.3</v>
      </c>
      <c r="I152" s="8">
        <v>-4174.7</v>
      </c>
      <c r="J152" s="8">
        <v>5867.3</v>
      </c>
      <c r="K152" s="7">
        <v>2.82</v>
      </c>
      <c r="L152" s="10">
        <v>0.39600000000000002</v>
      </c>
      <c r="M152" s="11" t="s">
        <v>581</v>
      </c>
    </row>
    <row r="153" spans="1:13" ht="120" x14ac:dyDescent="0.2">
      <c r="A153" s="2" t="s">
        <v>582</v>
      </c>
      <c r="B153" s="2" t="s">
        <v>583</v>
      </c>
      <c r="C153" s="2" t="str">
        <f>RIGHT(B153,SUM(LEN(B153)-LEN(SUBSTITUTE(B153,{"0","1","2","3","4","5","6","7","8","9"},""))))</f>
        <v>88</v>
      </c>
      <c r="D153" s="2" t="str">
        <f t="shared" si="6"/>
        <v>0088</v>
      </c>
      <c r="E153" s="2" t="str">
        <f t="shared" si="7"/>
        <v>'0088.HK'</v>
      </c>
      <c r="F153" s="4" t="s">
        <v>584</v>
      </c>
      <c r="G153" s="6" t="s">
        <v>14</v>
      </c>
      <c r="H153" s="8">
        <v>10.7</v>
      </c>
      <c r="I153" s="8">
        <v>-1647.3</v>
      </c>
      <c r="J153" s="8">
        <v>2636.8</v>
      </c>
      <c r="K153" s="7">
        <v>4.28</v>
      </c>
      <c r="L153" s="10">
        <v>0.39600000000000002</v>
      </c>
      <c r="M153" s="11" t="s">
        <v>585</v>
      </c>
    </row>
    <row r="154" spans="1:13" ht="50" x14ac:dyDescent="0.2">
      <c r="A154" s="2" t="s">
        <v>586</v>
      </c>
      <c r="B154" s="2" t="s">
        <v>587</v>
      </c>
      <c r="C154" s="2" t="str">
        <f>RIGHT(B154,SUM(LEN(B154)-LEN(SUBSTITUTE(B154,{"0","1","2","3","4","5","6","7","8","9"},""))))</f>
        <v>158</v>
      </c>
      <c r="D154" s="2" t="str">
        <f t="shared" si="6"/>
        <v>0158</v>
      </c>
      <c r="E154" s="2" t="str">
        <f t="shared" si="7"/>
        <v>'0158.HK'</v>
      </c>
      <c r="F154" s="4" t="s">
        <v>588</v>
      </c>
      <c r="G154" s="6" t="s">
        <v>14</v>
      </c>
      <c r="H154" s="7">
        <v>4.5599999999999996</v>
      </c>
      <c r="I154" s="8">
        <v>-250.1</v>
      </c>
      <c r="J154" s="8">
        <v>3075</v>
      </c>
      <c r="K154" s="10">
        <v>0.93300000000000005</v>
      </c>
      <c r="L154" s="10">
        <v>0.39500000000000002</v>
      </c>
      <c r="M154" s="5" t="s">
        <v>589</v>
      </c>
    </row>
    <row r="155" spans="1:13" ht="130" x14ac:dyDescent="0.2">
      <c r="A155" s="2" t="s">
        <v>590</v>
      </c>
      <c r="B155" s="2" t="s">
        <v>591</v>
      </c>
      <c r="C155" s="2" t="str">
        <f>RIGHT(B155,SUM(LEN(B155)-LEN(SUBSTITUTE(B155,{"0","1","2","3","4","5","6","7","8","9"},""))))</f>
        <v>929</v>
      </c>
      <c r="D155" s="2" t="str">
        <f t="shared" si="6"/>
        <v>0929</v>
      </c>
      <c r="E155" s="2" t="str">
        <f t="shared" si="7"/>
        <v>'0929.HK'</v>
      </c>
      <c r="F155" s="4" t="s">
        <v>592</v>
      </c>
      <c r="G155" s="6" t="s">
        <v>14</v>
      </c>
      <c r="H155" s="7">
        <v>3.3</v>
      </c>
      <c r="I155" s="8">
        <v>-720.7</v>
      </c>
      <c r="J155" s="8">
        <v>757.6</v>
      </c>
      <c r="K155" s="8">
        <v>16.100000000000001</v>
      </c>
      <c r="L155" s="10">
        <v>0.39100000000000001</v>
      </c>
      <c r="M155" s="11" t="s">
        <v>593</v>
      </c>
    </row>
    <row r="156" spans="1:13" ht="130" x14ac:dyDescent="0.2">
      <c r="A156" s="2" t="s">
        <v>594</v>
      </c>
      <c r="B156" s="2" t="s">
        <v>595</v>
      </c>
      <c r="C156" s="2" t="str">
        <f>RIGHT(B156,SUM(LEN(B156)-LEN(SUBSTITUTE(B156,{"0","1","2","3","4","5","6","7","8","9"},""))))</f>
        <v>730</v>
      </c>
      <c r="D156" s="2" t="str">
        <f t="shared" si="6"/>
        <v>0730</v>
      </c>
      <c r="E156" s="2" t="str">
        <f t="shared" si="7"/>
        <v>'0730.HK'</v>
      </c>
      <c r="F156" s="4" t="s">
        <v>596</v>
      </c>
      <c r="G156" s="6" t="s">
        <v>14</v>
      </c>
      <c r="H156" s="7">
        <v>6.24</v>
      </c>
      <c r="I156" s="8">
        <v>-78.900000000000006</v>
      </c>
      <c r="J156" s="8">
        <v>557.79999999999995</v>
      </c>
      <c r="K156" s="8">
        <v>18.7</v>
      </c>
      <c r="L156" s="10">
        <v>0.376</v>
      </c>
      <c r="M156" s="11" t="s">
        <v>597</v>
      </c>
    </row>
    <row r="157" spans="1:13" ht="130" x14ac:dyDescent="0.2">
      <c r="A157" s="2" t="s">
        <v>598</v>
      </c>
      <c r="B157" s="2" t="s">
        <v>599</v>
      </c>
      <c r="C157" s="2" t="str">
        <f>RIGHT(B157,SUM(LEN(B157)-LEN(SUBSTITUTE(B157,{"0","1","2","3","4","5","6","7","8","9"},""))))</f>
        <v>57</v>
      </c>
      <c r="D157" s="2" t="str">
        <f t="shared" si="6"/>
        <v>0057</v>
      </c>
      <c r="E157" s="2" t="str">
        <f t="shared" si="7"/>
        <v>'0057.HK'</v>
      </c>
      <c r="F157" s="4" t="s">
        <v>600</v>
      </c>
      <c r="G157" s="6" t="s">
        <v>14</v>
      </c>
      <c r="H157" s="7">
        <v>1.86</v>
      </c>
      <c r="I157" s="8">
        <v>-764.9</v>
      </c>
      <c r="J157" s="8">
        <v>1198</v>
      </c>
      <c r="K157" s="8">
        <v>27.1</v>
      </c>
      <c r="L157" s="10">
        <v>0.375</v>
      </c>
      <c r="M157" s="11" t="s">
        <v>601</v>
      </c>
    </row>
    <row r="158" spans="1:13" ht="50" x14ac:dyDescent="0.2">
      <c r="A158" s="2" t="s">
        <v>602</v>
      </c>
      <c r="B158" s="2" t="s">
        <v>603</v>
      </c>
      <c r="C158" s="2" t="str">
        <f>RIGHT(B158,SUM(LEN(B158)-LEN(SUBSTITUTE(B158,{"0","1","2","3","4","5","6","7","8","9"},""))))</f>
        <v>266</v>
      </c>
      <c r="D158" s="2" t="str">
        <f t="shared" si="6"/>
        <v>0266</v>
      </c>
      <c r="E158" s="2" t="str">
        <f t="shared" si="7"/>
        <v>'0266.HK'</v>
      </c>
      <c r="F158" s="4" t="s">
        <v>604</v>
      </c>
      <c r="G158" s="6" t="s">
        <v>14</v>
      </c>
      <c r="H158" s="7">
        <v>3.48</v>
      </c>
      <c r="I158" s="8">
        <v>-291.3</v>
      </c>
      <c r="J158" s="8">
        <v>1851.4</v>
      </c>
      <c r="K158" s="7">
        <v>4.84</v>
      </c>
      <c r="L158" s="10">
        <v>0.36699999999999999</v>
      </c>
      <c r="M158" s="5" t="s">
        <v>589</v>
      </c>
    </row>
    <row r="159" spans="1:13" ht="60" x14ac:dyDescent="0.2">
      <c r="A159" s="2" t="s">
        <v>605</v>
      </c>
      <c r="B159" s="2" t="s">
        <v>606</v>
      </c>
      <c r="C159" s="2" t="str">
        <f>RIGHT(B159,SUM(LEN(B159)-LEN(SUBSTITUTE(B159,{"0","1","2","3","4","5","6","7","8","9"},""))))</f>
        <v>769</v>
      </c>
      <c r="D159" s="2" t="str">
        <f t="shared" si="6"/>
        <v>0769</v>
      </c>
      <c r="E159" s="2" t="str">
        <f t="shared" si="7"/>
        <v>'0769.HK'</v>
      </c>
      <c r="F159" s="4" t="s">
        <v>607</v>
      </c>
      <c r="G159" s="6" t="s">
        <v>14</v>
      </c>
      <c r="H159" s="8">
        <v>15.3</v>
      </c>
      <c r="I159" s="8">
        <v>-1818.1</v>
      </c>
      <c r="J159" s="8">
        <v>995.2</v>
      </c>
      <c r="K159" s="7">
        <v>5.15</v>
      </c>
      <c r="L159" s="10">
        <v>0.36299999999999999</v>
      </c>
      <c r="M159" s="11" t="s">
        <v>608</v>
      </c>
    </row>
    <row r="160" spans="1:13" ht="110" x14ac:dyDescent="0.2">
      <c r="A160" s="2" t="s">
        <v>609</v>
      </c>
      <c r="B160" s="2" t="s">
        <v>610</v>
      </c>
      <c r="C160" s="2" t="str">
        <f>RIGHT(B160,SUM(LEN(B160)-LEN(SUBSTITUTE(B160,{"0","1","2","3","4","5","6","7","8","9"},""))))</f>
        <v>829</v>
      </c>
      <c r="D160" s="2" t="str">
        <f t="shared" si="6"/>
        <v>0829</v>
      </c>
      <c r="E160" s="2" t="str">
        <f t="shared" si="7"/>
        <v>'0829.HK'</v>
      </c>
      <c r="F160" s="4" t="s">
        <v>611</v>
      </c>
      <c r="G160" s="6" t="s">
        <v>14</v>
      </c>
      <c r="H160" s="7">
        <v>1.92</v>
      </c>
      <c r="I160" s="8">
        <v>-700.7</v>
      </c>
      <c r="J160" s="8">
        <v>1049.9000000000001</v>
      </c>
      <c r="K160" s="8">
        <v>19.8</v>
      </c>
      <c r="L160" s="10">
        <v>0.35699999999999998</v>
      </c>
      <c r="M160" s="11" t="s">
        <v>612</v>
      </c>
    </row>
    <row r="161" spans="1:13" ht="110" x14ac:dyDescent="0.2">
      <c r="A161" s="2" t="s">
        <v>613</v>
      </c>
      <c r="B161" s="2" t="s">
        <v>614</v>
      </c>
      <c r="C161" s="2" t="str">
        <f>RIGHT(B161,SUM(LEN(B161)-LEN(SUBSTITUTE(B161,{"0","1","2","3","4","5","6","7","8","9"},""))))</f>
        <v>1265</v>
      </c>
      <c r="D161" s="2" t="str">
        <f t="shared" si="6"/>
        <v>1265</v>
      </c>
      <c r="E161" s="2" t="str">
        <f t="shared" si="7"/>
        <v>'1265.HK'</v>
      </c>
      <c r="F161" s="4" t="s">
        <v>615</v>
      </c>
      <c r="G161" s="6" t="s">
        <v>14</v>
      </c>
      <c r="H161" s="7">
        <v>2.2999999999999998</v>
      </c>
      <c r="I161" s="8">
        <v>-1412.8</v>
      </c>
      <c r="J161" s="8">
        <v>689.7</v>
      </c>
      <c r="K161" s="8">
        <v>29.5</v>
      </c>
      <c r="L161" s="10">
        <v>0.35499999999999998</v>
      </c>
      <c r="M161" s="11" t="s">
        <v>616</v>
      </c>
    </row>
    <row r="162" spans="1:13" ht="100" x14ac:dyDescent="0.2">
      <c r="A162" s="2" t="s">
        <v>617</v>
      </c>
      <c r="B162" s="2" t="s">
        <v>618</v>
      </c>
      <c r="C162" s="2" t="str">
        <f>RIGHT(B162,SUM(LEN(B162)-LEN(SUBSTITUTE(B162,{"0","1","2","3","4","5","6","7","8","9"},""))))</f>
        <v>420</v>
      </c>
      <c r="D162" s="2" t="str">
        <f t="shared" si="6"/>
        <v>0420</v>
      </c>
      <c r="E162" s="2" t="str">
        <f t="shared" si="7"/>
        <v>'0420.HK'</v>
      </c>
      <c r="F162" s="4" t="s">
        <v>619</v>
      </c>
      <c r="G162" s="6" t="s">
        <v>14</v>
      </c>
      <c r="H162" s="7">
        <v>1.3</v>
      </c>
      <c r="I162" s="8">
        <v>-406.5</v>
      </c>
      <c r="J162" s="8">
        <v>1237.3</v>
      </c>
      <c r="K162" s="8">
        <v>34.6</v>
      </c>
      <c r="L162" s="10">
        <v>0.35499999999999998</v>
      </c>
      <c r="M162" s="11" t="s">
        <v>620</v>
      </c>
    </row>
    <row r="163" spans="1:13" ht="140" x14ac:dyDescent="0.2">
      <c r="A163" s="2" t="s">
        <v>621</v>
      </c>
      <c r="B163" s="2" t="s">
        <v>622</v>
      </c>
      <c r="C163" s="2" t="str">
        <f>RIGHT(B163,SUM(LEN(B163)-LEN(SUBSTITUTE(B163,{"0","1","2","3","4","5","6","7","8","9"},""))))</f>
        <v>716</v>
      </c>
      <c r="D163" s="2" t="str">
        <f t="shared" si="6"/>
        <v>0716</v>
      </c>
      <c r="E163" s="2" t="str">
        <f t="shared" si="7"/>
        <v>'0716.HK'</v>
      </c>
      <c r="F163" s="4" t="s">
        <v>623</v>
      </c>
      <c r="G163" s="6" t="s">
        <v>14</v>
      </c>
      <c r="H163" s="7">
        <v>2.13</v>
      </c>
      <c r="I163" s="8">
        <v>-3375.7</v>
      </c>
      <c r="J163" s="8">
        <v>1716</v>
      </c>
      <c r="K163" s="8">
        <v>26.2</v>
      </c>
      <c r="L163" s="10">
        <v>0.35199999999999998</v>
      </c>
      <c r="M163" s="11" t="s">
        <v>624</v>
      </c>
    </row>
    <row r="164" spans="1:13" ht="50" x14ac:dyDescent="0.2">
      <c r="A164" s="2" t="s">
        <v>625</v>
      </c>
      <c r="B164" s="2" t="s">
        <v>626</v>
      </c>
      <c r="C164" s="2" t="str">
        <f>RIGHT(B164,SUM(LEN(B164)-LEN(SUBSTITUTE(B164,{"0","1","2","3","4","5","6","7","8","9"},""))))</f>
        <v>3838</v>
      </c>
      <c r="D164" s="2" t="str">
        <f t="shared" ref="D164:D213" si="8">IF(LEN(C164)=4,C164,IF(LEN(C164)&lt;4,REPT("0",4-LEN(C164))&amp;C164))</f>
        <v>3838</v>
      </c>
      <c r="E164" s="2" t="str">
        <f t="shared" ref="E164:E213" si="9">"'"&amp;D164&amp;".HK"&amp;"'"</f>
        <v>'3838.HK'</v>
      </c>
      <c r="F164" s="4" t="s">
        <v>627</v>
      </c>
      <c r="G164" s="6" t="s">
        <v>14</v>
      </c>
      <c r="H164" s="7">
        <v>1.52</v>
      </c>
      <c r="I164" s="8">
        <v>-1091.7</v>
      </c>
      <c r="J164" s="8">
        <v>1474.6</v>
      </c>
      <c r="K164" s="8">
        <v>26</v>
      </c>
      <c r="L164" s="10">
        <v>0.34699999999999998</v>
      </c>
      <c r="M164" s="12" t="s">
        <v>628</v>
      </c>
    </row>
    <row r="165" spans="1:13" ht="150" x14ac:dyDescent="0.2">
      <c r="A165" s="2" t="s">
        <v>629</v>
      </c>
      <c r="B165" s="2" t="s">
        <v>630</v>
      </c>
      <c r="C165" s="2" t="str">
        <f>RIGHT(B165,SUM(LEN(B165)-LEN(SUBSTITUTE(B165,{"0","1","2","3","4","5","6","7","8","9"},""))))</f>
        <v>1045</v>
      </c>
      <c r="D165" s="2" t="str">
        <f t="shared" si="8"/>
        <v>1045</v>
      </c>
      <c r="E165" s="2" t="str">
        <f t="shared" si="9"/>
        <v>'1045.HK'</v>
      </c>
      <c r="F165" s="4" t="s">
        <v>631</v>
      </c>
      <c r="G165" s="6" t="s">
        <v>14</v>
      </c>
      <c r="H165" s="7">
        <v>6.59</v>
      </c>
      <c r="I165" s="8">
        <v>-1186.3</v>
      </c>
      <c r="J165" s="8">
        <v>2070.6999999999998</v>
      </c>
      <c r="K165" s="8">
        <v>15.9</v>
      </c>
      <c r="L165" s="10">
        <v>0.34699999999999998</v>
      </c>
      <c r="M165" s="11" t="s">
        <v>632</v>
      </c>
    </row>
    <row r="166" spans="1:13" ht="110" x14ac:dyDescent="0.2">
      <c r="A166" s="2" t="s">
        <v>633</v>
      </c>
      <c r="B166" s="2" t="s">
        <v>634</v>
      </c>
      <c r="C166" s="2" t="str">
        <f>RIGHT(B166,SUM(LEN(B166)-LEN(SUBSTITUTE(B166,{"0","1","2","3","4","5","6","7","8","9"},""))))</f>
        <v>472</v>
      </c>
      <c r="D166" s="2" t="str">
        <f t="shared" si="8"/>
        <v>0472</v>
      </c>
      <c r="E166" s="2" t="str">
        <f t="shared" si="9"/>
        <v>'0472.HK'</v>
      </c>
      <c r="F166" s="4" t="s">
        <v>635</v>
      </c>
      <c r="G166" s="6" t="s">
        <v>14</v>
      </c>
      <c r="H166" s="7">
        <v>1.32</v>
      </c>
      <c r="I166" s="8">
        <v>-408.6</v>
      </c>
      <c r="J166" s="8">
        <v>545.29999999999995</v>
      </c>
      <c r="K166" s="8">
        <v>22.6</v>
      </c>
      <c r="L166" s="10">
        <v>0.33800000000000002</v>
      </c>
      <c r="M166" s="11" t="s">
        <v>636</v>
      </c>
    </row>
    <row r="167" spans="1:13" ht="180" x14ac:dyDescent="0.2">
      <c r="A167" s="2" t="s">
        <v>637</v>
      </c>
      <c r="B167" s="2" t="s">
        <v>638</v>
      </c>
      <c r="C167" s="2" t="str">
        <f>RIGHT(B167,SUM(LEN(B167)-LEN(SUBSTITUTE(B167,{"0","1","2","3","4","5","6","7","8","9"},""))))</f>
        <v>2033</v>
      </c>
      <c r="D167" s="2" t="str">
        <f t="shared" si="8"/>
        <v>2033</v>
      </c>
      <c r="E167" s="2" t="str">
        <f t="shared" si="9"/>
        <v>'2033.HK'</v>
      </c>
      <c r="F167" s="4" t="s">
        <v>639</v>
      </c>
      <c r="G167" s="6" t="s">
        <v>14</v>
      </c>
      <c r="H167" s="7">
        <v>4.2699999999999996</v>
      </c>
      <c r="I167" s="8">
        <v>-1006.8</v>
      </c>
      <c r="J167" s="8">
        <v>895.3</v>
      </c>
      <c r="K167" s="8">
        <v>14.4</v>
      </c>
      <c r="L167" s="10">
        <v>0.33400000000000002</v>
      </c>
      <c r="M167" s="11" t="s">
        <v>640</v>
      </c>
    </row>
    <row r="168" spans="1:13" ht="80" x14ac:dyDescent="0.2">
      <c r="A168" s="2" t="s">
        <v>641</v>
      </c>
      <c r="B168" s="2" t="s">
        <v>642</v>
      </c>
      <c r="C168" s="2" t="str">
        <f>RIGHT(B168,SUM(LEN(B168)-LEN(SUBSTITUTE(B168,{"0","1","2","3","4","5","6","7","8","9"},""))))</f>
        <v>1104</v>
      </c>
      <c r="D168" s="2" t="str">
        <f t="shared" si="8"/>
        <v>1104</v>
      </c>
      <c r="E168" s="2" t="str">
        <f t="shared" si="9"/>
        <v>'1104.HK'</v>
      </c>
      <c r="F168" s="4" t="s">
        <v>643</v>
      </c>
      <c r="G168" s="6" t="s">
        <v>14</v>
      </c>
      <c r="H168" s="8">
        <v>16.8</v>
      </c>
      <c r="I168" s="8">
        <v>-1644.9</v>
      </c>
      <c r="J168" s="8">
        <v>1445.6</v>
      </c>
      <c r="K168" s="7">
        <v>2.31</v>
      </c>
      <c r="L168" s="10">
        <v>0.33100000000000002</v>
      </c>
      <c r="M168" s="11" t="s">
        <v>644</v>
      </c>
    </row>
    <row r="169" spans="1:13" ht="30" x14ac:dyDescent="0.2">
      <c r="A169" s="2" t="s">
        <v>645</v>
      </c>
      <c r="B169" s="2" t="s">
        <v>646</v>
      </c>
      <c r="C169" s="2" t="str">
        <f>RIGHT(B169,SUM(LEN(B169)-LEN(SUBSTITUTE(B169,{"0","1","2","3","4","5","6","7","8","9"},""))))</f>
        <v>1140</v>
      </c>
      <c r="D169" s="2" t="str">
        <f t="shared" si="8"/>
        <v>1140</v>
      </c>
      <c r="E169" s="2" t="str">
        <f t="shared" si="9"/>
        <v>'1140.HK'</v>
      </c>
      <c r="F169" s="4" t="s">
        <v>647</v>
      </c>
      <c r="G169" s="6" t="s">
        <v>14</v>
      </c>
      <c r="H169" s="7">
        <v>1.08</v>
      </c>
      <c r="I169" s="8">
        <v>-56.4</v>
      </c>
      <c r="J169" s="8">
        <v>3531.3</v>
      </c>
      <c r="K169" s="8">
        <v>25.7</v>
      </c>
      <c r="L169" s="10">
        <v>0.32700000000000001</v>
      </c>
      <c r="M169" s="5" t="s">
        <v>279</v>
      </c>
    </row>
    <row r="170" spans="1:13" ht="90" x14ac:dyDescent="0.2">
      <c r="A170" s="2" t="s">
        <v>648</v>
      </c>
      <c r="B170" s="2" t="s">
        <v>649</v>
      </c>
      <c r="C170" s="2" t="str">
        <f>RIGHT(B170,SUM(LEN(B170)-LEN(SUBSTITUTE(B170,{"0","1","2","3","4","5","6","7","8","9"},""))))</f>
        <v>1122</v>
      </c>
      <c r="D170" s="2" t="str">
        <f t="shared" si="8"/>
        <v>1122</v>
      </c>
      <c r="E170" s="2" t="str">
        <f t="shared" si="9"/>
        <v>'1122.HK'</v>
      </c>
      <c r="F170" s="4" t="s">
        <v>650</v>
      </c>
      <c r="G170" s="6" t="s">
        <v>14</v>
      </c>
      <c r="H170" s="7">
        <v>1.68</v>
      </c>
      <c r="I170" s="8">
        <v>-2759.8</v>
      </c>
      <c r="J170" s="8">
        <v>2780.1</v>
      </c>
      <c r="K170" s="8">
        <v>26</v>
      </c>
      <c r="L170" s="10">
        <v>0.32500000000000001</v>
      </c>
      <c r="M170" s="11" t="s">
        <v>651</v>
      </c>
    </row>
    <row r="171" spans="1:13" ht="80" x14ac:dyDescent="0.2">
      <c r="A171" s="2" t="s">
        <v>652</v>
      </c>
      <c r="B171" s="2" t="s">
        <v>653</v>
      </c>
      <c r="C171" s="2" t="str">
        <f>RIGHT(B171,SUM(LEN(B171)-LEN(SUBSTITUTE(B171,{"0","1","2","3","4","5","6","7","8","9"},""))))</f>
        <v>232</v>
      </c>
      <c r="D171" s="2" t="str">
        <f t="shared" si="8"/>
        <v>0232</v>
      </c>
      <c r="E171" s="2" t="str">
        <f t="shared" si="9"/>
        <v>'0232.HK'</v>
      </c>
      <c r="F171" s="4" t="s">
        <v>654</v>
      </c>
      <c r="G171" s="6" t="s">
        <v>14</v>
      </c>
      <c r="H171" s="7">
        <v>1.98</v>
      </c>
      <c r="I171" s="8">
        <v>-293.60000000000002</v>
      </c>
      <c r="J171" s="8">
        <v>902.4</v>
      </c>
      <c r="K171" s="8">
        <v>26</v>
      </c>
      <c r="L171" s="10">
        <v>0.32200000000000001</v>
      </c>
      <c r="M171" s="11" t="s">
        <v>655</v>
      </c>
    </row>
    <row r="172" spans="1:13" ht="130" x14ac:dyDescent="0.2">
      <c r="A172" s="2" t="s">
        <v>656</v>
      </c>
      <c r="B172" s="2" t="s">
        <v>657</v>
      </c>
      <c r="C172" s="2" t="str">
        <f>RIGHT(B172,SUM(LEN(B172)-LEN(SUBSTITUTE(B172,{"0","1","2","3","4","5","6","7","8","9"},""))))</f>
        <v>622</v>
      </c>
      <c r="D172" s="2" t="str">
        <f t="shared" si="8"/>
        <v>0622</v>
      </c>
      <c r="E172" s="2" t="str">
        <f t="shared" si="9"/>
        <v>'0622.HK'</v>
      </c>
      <c r="F172" s="4" t="s">
        <v>658</v>
      </c>
      <c r="G172" s="6" t="s">
        <v>14</v>
      </c>
      <c r="H172" s="7">
        <v>5.62</v>
      </c>
      <c r="I172" s="8">
        <v>-1118.5</v>
      </c>
      <c r="J172" s="8">
        <v>1741.1</v>
      </c>
      <c r="K172" s="7">
        <v>9.01</v>
      </c>
      <c r="L172" s="10">
        <v>0.32200000000000001</v>
      </c>
      <c r="M172" s="11" t="s">
        <v>659</v>
      </c>
    </row>
    <row r="173" spans="1:13" ht="220" x14ac:dyDescent="0.2">
      <c r="A173" s="2" t="s">
        <v>660</v>
      </c>
      <c r="B173" s="2" t="s">
        <v>661</v>
      </c>
      <c r="C173" s="2" t="str">
        <f>RIGHT(B173,SUM(LEN(B173)-LEN(SUBSTITUTE(B173,{"0","1","2","3","4","5","6","7","8","9"},""))))</f>
        <v>156</v>
      </c>
      <c r="D173" s="2" t="str">
        <f t="shared" si="8"/>
        <v>0156</v>
      </c>
      <c r="E173" s="2" t="str">
        <f t="shared" si="9"/>
        <v>'0156.HK'</v>
      </c>
      <c r="F173" s="4" t="s">
        <v>662</v>
      </c>
      <c r="G173" s="6" t="s">
        <v>14</v>
      </c>
      <c r="H173" s="7">
        <v>1.96</v>
      </c>
      <c r="I173" s="8">
        <v>-178.8</v>
      </c>
      <c r="J173" s="8">
        <v>964.6</v>
      </c>
      <c r="K173" s="8">
        <v>30.8</v>
      </c>
      <c r="L173" s="10">
        <v>0.32</v>
      </c>
      <c r="M173" s="11" t="s">
        <v>663</v>
      </c>
    </row>
    <row r="174" spans="1:13" ht="120" x14ac:dyDescent="0.2">
      <c r="A174" s="2" t="s">
        <v>664</v>
      </c>
      <c r="B174" s="2" t="s">
        <v>665</v>
      </c>
      <c r="C174" s="2" t="str">
        <f>RIGHT(B174,SUM(LEN(B174)-LEN(SUBSTITUTE(B174,{"0","1","2","3","4","5","6","7","8","9"},""))))</f>
        <v>662</v>
      </c>
      <c r="D174" s="2" t="str">
        <f t="shared" si="8"/>
        <v>0662</v>
      </c>
      <c r="E174" s="2" t="str">
        <f t="shared" si="9"/>
        <v>'0662.HK'</v>
      </c>
      <c r="F174" s="4" t="s">
        <v>666</v>
      </c>
      <c r="G174" s="6" t="s">
        <v>14</v>
      </c>
      <c r="H174" s="7">
        <v>1.99</v>
      </c>
      <c r="I174" s="8">
        <v>-2634.2</v>
      </c>
      <c r="J174" s="8">
        <v>3122.4</v>
      </c>
      <c r="K174" s="8">
        <v>32.6</v>
      </c>
      <c r="L174" s="10">
        <v>0.32</v>
      </c>
      <c r="M174" s="11" t="s">
        <v>667</v>
      </c>
    </row>
    <row r="175" spans="1:13" ht="190" x14ac:dyDescent="0.2">
      <c r="A175" s="2" t="s">
        <v>668</v>
      </c>
      <c r="B175" s="2" t="s">
        <v>669</v>
      </c>
      <c r="C175" s="2" t="str">
        <f>RIGHT(B175,SUM(LEN(B175)-LEN(SUBSTITUTE(B175,{"0","1","2","3","4","5","6","7","8","9"},""))))</f>
        <v>560</v>
      </c>
      <c r="D175" s="2" t="str">
        <f t="shared" si="8"/>
        <v>0560</v>
      </c>
      <c r="E175" s="2" t="str">
        <f t="shared" si="9"/>
        <v>'0560.HK'</v>
      </c>
      <c r="F175" s="4" t="s">
        <v>670</v>
      </c>
      <c r="G175" s="6" t="s">
        <v>14</v>
      </c>
      <c r="H175" s="7">
        <v>1.75</v>
      </c>
      <c r="I175" s="8">
        <v>-444.8</v>
      </c>
      <c r="J175" s="8">
        <v>975.4</v>
      </c>
      <c r="K175" s="8">
        <v>24.4</v>
      </c>
      <c r="L175" s="10">
        <v>0.317</v>
      </c>
      <c r="M175" s="11" t="s">
        <v>671</v>
      </c>
    </row>
    <row r="176" spans="1:13" ht="50" x14ac:dyDescent="0.2">
      <c r="A176" s="2" t="s">
        <v>672</v>
      </c>
      <c r="B176" s="2" t="s">
        <v>673</v>
      </c>
      <c r="C176" s="2" t="str">
        <f>RIGHT(B176,SUM(LEN(B176)-LEN(SUBSTITUTE(B176,{"0","1","2","3","4","5","6","7","8","9"},""))))</f>
        <v>743</v>
      </c>
      <c r="D176" s="2" t="str">
        <f t="shared" si="8"/>
        <v>0743</v>
      </c>
      <c r="E176" s="2" t="str">
        <f t="shared" si="9"/>
        <v>'0743.HK'</v>
      </c>
      <c r="F176" s="4" t="s">
        <v>674</v>
      </c>
      <c r="G176" s="6" t="s">
        <v>14</v>
      </c>
      <c r="H176" s="7">
        <v>2.94</v>
      </c>
      <c r="I176" s="8">
        <v>-7353.3</v>
      </c>
      <c r="J176" s="8">
        <v>6157.7</v>
      </c>
      <c r="K176" s="8">
        <v>17.5</v>
      </c>
      <c r="L176" s="10">
        <v>0.316</v>
      </c>
      <c r="M176" s="11" t="s">
        <v>675</v>
      </c>
    </row>
    <row r="177" spans="1:13" ht="160" x14ac:dyDescent="0.2">
      <c r="A177" s="2" t="s">
        <v>676</v>
      </c>
      <c r="B177" s="2" t="s">
        <v>677</v>
      </c>
      <c r="C177" s="2" t="str">
        <f>RIGHT(B177,SUM(LEN(B177)-LEN(SUBSTITUTE(B177,{"0","1","2","3","4","5","6","7","8","9"},""))))</f>
        <v>321</v>
      </c>
      <c r="D177" s="2" t="str">
        <f t="shared" si="8"/>
        <v>0321</v>
      </c>
      <c r="E177" s="2" t="str">
        <f t="shared" si="9"/>
        <v>'0321.HK'</v>
      </c>
      <c r="F177" s="4" t="s">
        <v>678</v>
      </c>
      <c r="G177" s="6" t="s">
        <v>14</v>
      </c>
      <c r="H177" s="7">
        <v>1.18</v>
      </c>
      <c r="I177" s="8">
        <v>-559.79999999999995</v>
      </c>
      <c r="J177" s="8">
        <v>1699.5</v>
      </c>
      <c r="K177" s="8">
        <v>39.5</v>
      </c>
      <c r="L177" s="10">
        <v>0.315</v>
      </c>
      <c r="M177" s="11" t="s">
        <v>679</v>
      </c>
    </row>
    <row r="178" spans="1:13" ht="160" x14ac:dyDescent="0.2">
      <c r="A178" s="2" t="s">
        <v>680</v>
      </c>
      <c r="B178" s="2" t="s">
        <v>681</v>
      </c>
      <c r="C178" s="2" t="str">
        <f>RIGHT(B178,SUM(LEN(B178)-LEN(SUBSTITUTE(B178,{"0","1","2","3","4","5","6","7","8","9"},""))))</f>
        <v>450</v>
      </c>
      <c r="D178" s="2" t="str">
        <f t="shared" si="8"/>
        <v>0450</v>
      </c>
      <c r="E178" s="2" t="str">
        <f t="shared" si="9"/>
        <v>'0450.HK'</v>
      </c>
      <c r="F178" s="4" t="s">
        <v>682</v>
      </c>
      <c r="G178" s="6" t="s">
        <v>14</v>
      </c>
      <c r="H178" s="7">
        <v>2.86</v>
      </c>
      <c r="I178" s="8">
        <v>-873.3</v>
      </c>
      <c r="J178" s="8">
        <v>915.6</v>
      </c>
      <c r="K178" s="8">
        <v>22.2</v>
      </c>
      <c r="L178" s="10">
        <v>0.309</v>
      </c>
      <c r="M178" s="11" t="s">
        <v>683</v>
      </c>
    </row>
    <row r="179" spans="1:13" ht="60" x14ac:dyDescent="0.2">
      <c r="A179" s="2" t="s">
        <v>684</v>
      </c>
      <c r="B179" s="2" t="s">
        <v>685</v>
      </c>
      <c r="C179" s="2" t="str">
        <f>RIGHT(B179,SUM(LEN(B179)-LEN(SUBSTITUTE(B179,{"0","1","2","3","4","5","6","7","8","9"},""))))</f>
        <v>1028</v>
      </c>
      <c r="D179" s="2" t="str">
        <f t="shared" si="8"/>
        <v>1028</v>
      </c>
      <c r="E179" s="2" t="str">
        <f t="shared" si="9"/>
        <v>'1028.HK'</v>
      </c>
      <c r="F179" s="4" t="s">
        <v>686</v>
      </c>
      <c r="G179" s="6" t="s">
        <v>14</v>
      </c>
      <c r="H179" s="7">
        <v>2.4500000000000002</v>
      </c>
      <c r="I179" s="8">
        <v>-476.5</v>
      </c>
      <c r="J179" s="8">
        <v>506.8</v>
      </c>
      <c r="K179" s="8">
        <v>22.4</v>
      </c>
      <c r="L179" s="10">
        <v>0.30599999999999999</v>
      </c>
      <c r="M179" s="11" t="s">
        <v>687</v>
      </c>
    </row>
    <row r="180" spans="1:13" ht="80" x14ac:dyDescent="0.2">
      <c r="A180" s="2" t="s">
        <v>688</v>
      </c>
      <c r="B180" s="2" t="s">
        <v>689</v>
      </c>
      <c r="C180" s="2" t="str">
        <f>RIGHT(B180,SUM(LEN(B180)-LEN(SUBSTITUTE(B180,{"0","1","2","3","4","5","6","7","8","9"},""))))</f>
        <v>1761</v>
      </c>
      <c r="D180" s="2" t="str">
        <f t="shared" si="8"/>
        <v>1761</v>
      </c>
      <c r="E180" s="2" t="str">
        <f t="shared" si="9"/>
        <v>'1761.HK'</v>
      </c>
      <c r="F180" s="4" t="s">
        <v>690</v>
      </c>
      <c r="G180" s="6" t="s">
        <v>14</v>
      </c>
      <c r="H180" s="8">
        <v>11.3</v>
      </c>
      <c r="I180" s="8">
        <v>-1677</v>
      </c>
      <c r="J180" s="8">
        <v>614.5</v>
      </c>
      <c r="K180" s="7">
        <v>7.94</v>
      </c>
      <c r="L180" s="10">
        <v>0.30499999999999999</v>
      </c>
      <c r="M180" s="11" t="s">
        <v>691</v>
      </c>
    </row>
    <row r="181" spans="1:13" ht="190" x14ac:dyDescent="0.2">
      <c r="A181" s="2" t="s">
        <v>692</v>
      </c>
      <c r="B181" s="2" t="s">
        <v>693</v>
      </c>
      <c r="C181" s="2" t="str">
        <f>RIGHT(B181,SUM(LEN(B181)-LEN(SUBSTITUTE(B181,{"0","1","2","3","4","5","6","7","8","9"},""))))</f>
        <v>273</v>
      </c>
      <c r="D181" s="2" t="str">
        <f t="shared" si="8"/>
        <v>0273</v>
      </c>
      <c r="E181" s="2" t="str">
        <f t="shared" si="9"/>
        <v>'0273.HK'</v>
      </c>
      <c r="F181" s="4" t="s">
        <v>694</v>
      </c>
      <c r="G181" s="6" t="s">
        <v>14</v>
      </c>
      <c r="H181" s="7">
        <v>7.89</v>
      </c>
      <c r="I181" s="8">
        <v>-1981.1</v>
      </c>
      <c r="J181" s="8">
        <v>1197.8</v>
      </c>
      <c r="K181" s="7">
        <v>8.17</v>
      </c>
      <c r="L181" s="10">
        <v>0.29899999999999999</v>
      </c>
      <c r="M181" s="11" t="s">
        <v>695</v>
      </c>
    </row>
    <row r="182" spans="1:13" ht="80" x14ac:dyDescent="0.2">
      <c r="A182" s="2" t="s">
        <v>696</v>
      </c>
      <c r="B182" s="2" t="s">
        <v>697</v>
      </c>
      <c r="C182" s="2" t="str">
        <f>RIGHT(B182,SUM(LEN(B182)-LEN(SUBSTITUTE(B182,{"0","1","2","3","4","5","6","7","8","9"},""))))</f>
        <v>3389</v>
      </c>
      <c r="D182" s="2" t="str">
        <f t="shared" si="8"/>
        <v>3389</v>
      </c>
      <c r="E182" s="2" t="str">
        <f t="shared" si="9"/>
        <v>'3389.HK'</v>
      </c>
      <c r="F182" s="4" t="s">
        <v>698</v>
      </c>
      <c r="G182" s="6" t="s">
        <v>14</v>
      </c>
      <c r="H182" s="7">
        <v>6.21</v>
      </c>
      <c r="I182" s="8">
        <v>-1041.7</v>
      </c>
      <c r="J182" s="8">
        <v>1123</v>
      </c>
      <c r="K182" s="7">
        <v>7.33</v>
      </c>
      <c r="L182" s="10">
        <v>0.29799999999999999</v>
      </c>
      <c r="M182" s="11" t="s">
        <v>699</v>
      </c>
    </row>
    <row r="183" spans="1:13" ht="80" x14ac:dyDescent="0.2">
      <c r="A183" s="2" t="s">
        <v>700</v>
      </c>
      <c r="B183" s="2" t="s">
        <v>701</v>
      </c>
      <c r="C183" s="2" t="str">
        <f>RIGHT(B183,SUM(LEN(B183)-LEN(SUBSTITUTE(B183,{"0","1","2","3","4","5","6","7","8","9"},""))))</f>
        <v>271</v>
      </c>
      <c r="D183" s="2" t="str">
        <f t="shared" si="8"/>
        <v>0271</v>
      </c>
      <c r="E183" s="2" t="str">
        <f t="shared" si="9"/>
        <v>'0271.HK'</v>
      </c>
      <c r="F183" s="4" t="s">
        <v>702</v>
      </c>
      <c r="G183" s="6" t="s">
        <v>14</v>
      </c>
      <c r="H183" s="7">
        <v>9.1300000000000008</v>
      </c>
      <c r="I183" s="8">
        <v>-162.69999999999999</v>
      </c>
      <c r="J183" s="8">
        <v>502.5</v>
      </c>
      <c r="K183" s="8">
        <v>10.4</v>
      </c>
      <c r="L183" s="10">
        <v>0.29499999999999998</v>
      </c>
      <c r="M183" s="11" t="s">
        <v>703</v>
      </c>
    </row>
    <row r="184" spans="1:13" ht="50" x14ac:dyDescent="0.2">
      <c r="A184" s="2" t="s">
        <v>704</v>
      </c>
      <c r="B184" s="2" t="s">
        <v>705</v>
      </c>
      <c r="C184" s="2" t="str">
        <f>RIGHT(B184,SUM(LEN(B184)-LEN(SUBSTITUTE(B184,{"0","1","2","3","4","5","6","7","8","9"},""))))</f>
        <v>6117</v>
      </c>
      <c r="D184" s="2" t="str">
        <f t="shared" si="8"/>
        <v>6117</v>
      </c>
      <c r="E184" s="2" t="str">
        <f t="shared" si="9"/>
        <v>'6117.HK'</v>
      </c>
      <c r="F184" s="4" t="s">
        <v>706</v>
      </c>
      <c r="G184" s="6" t="s">
        <v>14</v>
      </c>
      <c r="H184" s="7">
        <v>7.46</v>
      </c>
      <c r="I184" s="8">
        <v>-425.3</v>
      </c>
      <c r="J184" s="8">
        <v>863.2</v>
      </c>
      <c r="K184" s="8">
        <v>12.4</v>
      </c>
      <c r="L184" s="10">
        <v>0.29399999999999998</v>
      </c>
      <c r="M184" s="5" t="s">
        <v>707</v>
      </c>
    </row>
    <row r="185" spans="1:13" ht="110" x14ac:dyDescent="0.2">
      <c r="A185" s="2" t="s">
        <v>708</v>
      </c>
      <c r="B185" s="2" t="s">
        <v>709</v>
      </c>
      <c r="C185" s="2" t="str">
        <f>RIGHT(B185,SUM(LEN(B185)-LEN(SUBSTITUTE(B185,{"0","1","2","3","4","5","6","7","8","9"},""))))</f>
        <v>237</v>
      </c>
      <c r="D185" s="2" t="str">
        <f t="shared" si="8"/>
        <v>0237</v>
      </c>
      <c r="E185" s="2" t="str">
        <f t="shared" si="9"/>
        <v>'0237.HK'</v>
      </c>
      <c r="F185" s="4" t="s">
        <v>710</v>
      </c>
      <c r="G185" s="6" t="s">
        <v>14</v>
      </c>
      <c r="H185" s="7">
        <v>9.4</v>
      </c>
      <c r="I185" s="8">
        <v>-471.7</v>
      </c>
      <c r="J185" s="8">
        <v>1158.3</v>
      </c>
      <c r="K185" s="7">
        <v>3.54</v>
      </c>
      <c r="L185" s="10">
        <v>0.29199999999999998</v>
      </c>
      <c r="M185" s="11" t="s">
        <v>711</v>
      </c>
    </row>
    <row r="186" spans="1:13" ht="160" x14ac:dyDescent="0.2">
      <c r="A186" s="2" t="s">
        <v>712</v>
      </c>
      <c r="B186" s="2" t="s">
        <v>713</v>
      </c>
      <c r="C186" s="2" t="str">
        <f>RIGHT(B186,SUM(LEN(B186)-LEN(SUBSTITUTE(B186,{"0","1","2","3","4","5","6","7","8","9"},""))))</f>
        <v>64</v>
      </c>
      <c r="D186" s="2" t="str">
        <f t="shared" si="8"/>
        <v>0064</v>
      </c>
      <c r="E186" s="2" t="str">
        <f t="shared" si="9"/>
        <v>'0064.HK'</v>
      </c>
      <c r="F186" s="4" t="s">
        <v>714</v>
      </c>
      <c r="G186" s="6" t="s">
        <v>14</v>
      </c>
      <c r="H186" s="7">
        <v>6.06</v>
      </c>
      <c r="I186" s="8">
        <v>-2221.1999999999998</v>
      </c>
      <c r="J186" s="8">
        <v>1526.7</v>
      </c>
      <c r="K186" s="8">
        <v>11.8</v>
      </c>
      <c r="L186" s="10">
        <v>0.26700000000000002</v>
      </c>
      <c r="M186" s="11" t="s">
        <v>715</v>
      </c>
    </row>
    <row r="187" spans="1:13" ht="170" x14ac:dyDescent="0.2">
      <c r="A187" s="2" t="s">
        <v>716</v>
      </c>
      <c r="B187" s="2" t="s">
        <v>717</v>
      </c>
      <c r="C187" s="2" t="str">
        <f>RIGHT(B187,SUM(LEN(B187)-LEN(SUBSTITUTE(B187,{"0","1","2","3","4","5","6","7","8","9"},""))))</f>
        <v>533</v>
      </c>
      <c r="D187" s="2" t="str">
        <f t="shared" si="8"/>
        <v>0533</v>
      </c>
      <c r="E187" s="2" t="str">
        <f t="shared" si="9"/>
        <v>'0533.HK'</v>
      </c>
      <c r="F187" s="4" t="s">
        <v>718</v>
      </c>
      <c r="G187" s="6" t="s">
        <v>14</v>
      </c>
      <c r="H187" s="7">
        <v>2.29</v>
      </c>
      <c r="I187" s="8">
        <v>-1305.4000000000001</v>
      </c>
      <c r="J187" s="8">
        <v>1178.5</v>
      </c>
      <c r="K187" s="8">
        <v>20.100000000000001</v>
      </c>
      <c r="L187" s="10">
        <v>0.26100000000000001</v>
      </c>
      <c r="M187" s="11" t="s">
        <v>719</v>
      </c>
    </row>
    <row r="188" spans="1:13" ht="150" x14ac:dyDescent="0.2">
      <c r="A188" s="2" t="s">
        <v>720</v>
      </c>
      <c r="B188" s="2" t="s">
        <v>721</v>
      </c>
      <c r="C188" s="2" t="str">
        <f>RIGHT(B188,SUM(LEN(B188)-LEN(SUBSTITUTE(B188,{"0","1","2","3","4","5","6","7","8","9"},""))))</f>
        <v>235</v>
      </c>
      <c r="D188" s="2" t="str">
        <f t="shared" si="8"/>
        <v>0235</v>
      </c>
      <c r="E188" s="2" t="str">
        <f t="shared" si="9"/>
        <v>'0235.HK'</v>
      </c>
      <c r="F188" s="4" t="s">
        <v>722</v>
      </c>
      <c r="G188" s="6" t="s">
        <v>14</v>
      </c>
      <c r="H188" s="7">
        <v>2.42</v>
      </c>
      <c r="I188" s="8">
        <v>-844</v>
      </c>
      <c r="J188" s="8">
        <v>591.20000000000005</v>
      </c>
      <c r="K188" s="8">
        <v>23.6</v>
      </c>
      <c r="L188" s="10">
        <v>0.25800000000000001</v>
      </c>
      <c r="M188" s="11" t="s">
        <v>723</v>
      </c>
    </row>
    <row r="189" spans="1:13" ht="40" x14ac:dyDescent="0.2">
      <c r="A189" s="2" t="s">
        <v>724</v>
      </c>
      <c r="B189" s="2" t="s">
        <v>725</v>
      </c>
      <c r="C189" s="2" t="str">
        <f>RIGHT(B189,SUM(LEN(B189)-LEN(SUBSTITUTE(B189,{"0","1","2","3","4","5","6","7","8","9"},""))))</f>
        <v>133</v>
      </c>
      <c r="D189" s="2" t="str">
        <f t="shared" si="8"/>
        <v>0133</v>
      </c>
      <c r="E189" s="2" t="str">
        <f t="shared" si="9"/>
        <v>'0133.HK'</v>
      </c>
      <c r="F189" s="4" t="s">
        <v>726</v>
      </c>
      <c r="G189" s="6" t="s">
        <v>14</v>
      </c>
      <c r="H189" s="7">
        <v>3.2</v>
      </c>
      <c r="I189" s="8">
        <v>-785.1</v>
      </c>
      <c r="J189" s="8">
        <v>1357.3</v>
      </c>
      <c r="K189" s="8">
        <v>20.8</v>
      </c>
      <c r="L189" s="10">
        <v>0.25600000000000001</v>
      </c>
      <c r="M189" s="5" t="s">
        <v>727</v>
      </c>
    </row>
    <row r="190" spans="1:13" ht="200" x14ac:dyDescent="0.2">
      <c r="A190" s="2" t="s">
        <v>728</v>
      </c>
      <c r="B190" s="2" t="s">
        <v>729</v>
      </c>
      <c r="C190" s="2" t="str">
        <f>RIGHT(B190,SUM(LEN(B190)-LEN(SUBSTITUTE(B190,{"0","1","2","3","4","5","6","7","8","9"},""))))</f>
        <v>8005</v>
      </c>
      <c r="D190" s="2" t="str">
        <f t="shared" si="8"/>
        <v>8005</v>
      </c>
      <c r="E190" s="2" t="str">
        <f t="shared" si="9"/>
        <v>'8005.HK'</v>
      </c>
      <c r="F190" s="4" t="s">
        <v>730</v>
      </c>
      <c r="G190" s="6" t="s">
        <v>14</v>
      </c>
      <c r="H190" s="7">
        <v>1.8</v>
      </c>
      <c r="I190" s="8">
        <v>-428.3</v>
      </c>
      <c r="J190" s="8">
        <v>500</v>
      </c>
      <c r="K190" s="8">
        <v>16.600000000000001</v>
      </c>
      <c r="L190" s="10">
        <v>0.248</v>
      </c>
      <c r="M190" s="11" t="s">
        <v>731</v>
      </c>
    </row>
    <row r="191" spans="1:13" ht="130" x14ac:dyDescent="0.2">
      <c r="A191" s="2" t="s">
        <v>732</v>
      </c>
      <c r="B191" s="2" t="s">
        <v>733</v>
      </c>
      <c r="C191" s="2" t="str">
        <f>RIGHT(B191,SUM(LEN(B191)-LEN(SUBSTITUTE(B191,{"0","1","2","3","4","5","6","7","8","9"},""))))</f>
        <v>102</v>
      </c>
      <c r="D191" s="2" t="str">
        <f t="shared" si="8"/>
        <v>0102</v>
      </c>
      <c r="E191" s="2" t="str">
        <f t="shared" si="9"/>
        <v>'0102.HK'</v>
      </c>
      <c r="F191" s="4" t="s">
        <v>734</v>
      </c>
      <c r="G191" s="6" t="s">
        <v>14</v>
      </c>
      <c r="H191" s="8">
        <v>11.4</v>
      </c>
      <c r="I191" s="8">
        <v>-436.1</v>
      </c>
      <c r="J191" s="8">
        <v>784.6</v>
      </c>
      <c r="K191" s="7">
        <v>6.97</v>
      </c>
      <c r="L191" s="10">
        <v>0.24399999999999999</v>
      </c>
      <c r="M191" s="11" t="s">
        <v>735</v>
      </c>
    </row>
    <row r="192" spans="1:13" ht="140" x14ac:dyDescent="0.2">
      <c r="A192" s="2" t="s">
        <v>736</v>
      </c>
      <c r="B192" s="2" t="s">
        <v>737</v>
      </c>
      <c r="C192" s="2" t="str">
        <f>RIGHT(B192,SUM(LEN(B192)-LEN(SUBSTITUTE(B192,{"0","1","2","3","4","5","6","7","8","9"},""))))</f>
        <v>1980</v>
      </c>
      <c r="D192" s="2" t="str">
        <f t="shared" si="8"/>
        <v>1980</v>
      </c>
      <c r="E192" s="2" t="str">
        <f t="shared" si="9"/>
        <v>'1980.HK'</v>
      </c>
      <c r="F192" s="4" t="s">
        <v>738</v>
      </c>
      <c r="G192" s="6" t="s">
        <v>14</v>
      </c>
      <c r="H192" s="7">
        <v>3.88</v>
      </c>
      <c r="I192" s="8">
        <v>-1699.4</v>
      </c>
      <c r="J192" s="8">
        <v>811.5</v>
      </c>
      <c r="K192" s="8">
        <v>13.1</v>
      </c>
      <c r="L192" s="10">
        <v>0.24099999999999999</v>
      </c>
      <c r="M192" s="11" t="s">
        <v>739</v>
      </c>
    </row>
    <row r="193" spans="1:13" ht="150" x14ac:dyDescent="0.2">
      <c r="A193" s="2" t="s">
        <v>740</v>
      </c>
      <c r="B193" s="2" t="s">
        <v>741</v>
      </c>
      <c r="C193" s="2" t="str">
        <f>RIGHT(B193,SUM(LEN(B193)-LEN(SUBSTITUTE(B193,{"0","1","2","3","4","5","6","7","8","9"},""))))</f>
        <v>3398</v>
      </c>
      <c r="D193" s="2" t="str">
        <f t="shared" si="8"/>
        <v>3398</v>
      </c>
      <c r="E193" s="2" t="str">
        <f t="shared" si="9"/>
        <v>'3398.HK'</v>
      </c>
      <c r="F193" s="4" t="s">
        <v>742</v>
      </c>
      <c r="G193" s="6" t="s">
        <v>14</v>
      </c>
      <c r="H193" s="7">
        <v>1.1299999999999999</v>
      </c>
      <c r="I193" s="8">
        <v>-604.29999999999995</v>
      </c>
      <c r="J193" s="8">
        <v>598.4</v>
      </c>
      <c r="K193" s="8">
        <v>31.9</v>
      </c>
      <c r="L193" s="10">
        <v>0.23899999999999999</v>
      </c>
      <c r="M193" s="11" t="s">
        <v>743</v>
      </c>
    </row>
    <row r="194" spans="1:13" ht="110" x14ac:dyDescent="0.2">
      <c r="A194" s="2" t="s">
        <v>744</v>
      </c>
      <c r="B194" s="2" t="s">
        <v>745</v>
      </c>
      <c r="C194" s="2" t="str">
        <f>RIGHT(B194,SUM(LEN(B194)-LEN(SUBSTITUTE(B194,{"0","1","2","3","4","5","6","7","8","9"},""))))</f>
        <v>635</v>
      </c>
      <c r="D194" s="2" t="str">
        <f t="shared" si="8"/>
        <v>0635</v>
      </c>
      <c r="E194" s="2" t="str">
        <f t="shared" si="9"/>
        <v>'0635.HK'</v>
      </c>
      <c r="F194" s="4" t="s">
        <v>746</v>
      </c>
      <c r="G194" s="6" t="s">
        <v>14</v>
      </c>
      <c r="H194" s="7">
        <v>2.0299999999999998</v>
      </c>
      <c r="I194" s="8">
        <v>-826.7</v>
      </c>
      <c r="J194" s="8">
        <v>1371.6</v>
      </c>
      <c r="K194" s="8">
        <v>15</v>
      </c>
      <c r="L194" s="10">
        <v>0.23499999999999999</v>
      </c>
      <c r="M194" s="11" t="s">
        <v>747</v>
      </c>
    </row>
    <row r="195" spans="1:13" ht="130" x14ac:dyDescent="0.2">
      <c r="A195" s="2" t="s">
        <v>748</v>
      </c>
      <c r="B195" s="2" t="s">
        <v>749</v>
      </c>
      <c r="C195" s="2" t="str">
        <f>RIGHT(B195,SUM(LEN(B195)-LEN(SUBSTITUTE(B195,{"0","1","2","3","4","5","6","7","8","9"},""))))</f>
        <v>538</v>
      </c>
      <c r="D195" s="2" t="str">
        <f t="shared" si="8"/>
        <v>0538</v>
      </c>
      <c r="E195" s="2" t="str">
        <f t="shared" si="9"/>
        <v>'0538.HK'</v>
      </c>
      <c r="F195" s="4" t="s">
        <v>750</v>
      </c>
      <c r="G195" s="6" t="s">
        <v>14</v>
      </c>
      <c r="H195" s="7">
        <v>2.72</v>
      </c>
      <c r="I195" s="8">
        <v>-1030</v>
      </c>
      <c r="J195" s="8">
        <v>785.9</v>
      </c>
      <c r="K195" s="8">
        <v>27.6</v>
      </c>
      <c r="L195" s="10">
        <v>0.23200000000000001</v>
      </c>
      <c r="M195" s="11" t="s">
        <v>751</v>
      </c>
    </row>
    <row r="196" spans="1:13" ht="150" x14ac:dyDescent="0.2">
      <c r="A196" s="2" t="s">
        <v>752</v>
      </c>
      <c r="B196" s="2" t="s">
        <v>753</v>
      </c>
      <c r="C196" s="2" t="str">
        <f>RIGHT(B196,SUM(LEN(B196)-LEN(SUBSTITUTE(B196,{"0","1","2","3","4","5","6","7","8","9"},""))))</f>
        <v>289</v>
      </c>
      <c r="D196" s="2" t="str">
        <f t="shared" si="8"/>
        <v>0289</v>
      </c>
      <c r="E196" s="2" t="str">
        <f t="shared" si="9"/>
        <v>'0289.HK'</v>
      </c>
      <c r="F196" s="4" t="s">
        <v>754</v>
      </c>
      <c r="G196" s="6" t="s">
        <v>14</v>
      </c>
      <c r="H196" s="7">
        <v>9.39</v>
      </c>
      <c r="I196" s="8">
        <v>-4057.6</v>
      </c>
      <c r="J196" s="8">
        <v>4365.3999999999996</v>
      </c>
      <c r="K196" s="7">
        <v>6.74</v>
      </c>
      <c r="L196" s="10">
        <v>0.23200000000000001</v>
      </c>
      <c r="M196" s="11" t="s">
        <v>755</v>
      </c>
    </row>
    <row r="197" spans="1:13" ht="110" x14ac:dyDescent="0.2">
      <c r="A197" s="2" t="s">
        <v>756</v>
      </c>
      <c r="B197" s="2" t="s">
        <v>757</v>
      </c>
      <c r="C197" s="2" t="str">
        <f>RIGHT(B197,SUM(LEN(B197)-LEN(SUBSTITUTE(B197,{"0","1","2","3","4","5","6","7","8","9"},""))))</f>
        <v>2127</v>
      </c>
      <c r="D197" s="2" t="str">
        <f t="shared" si="8"/>
        <v>2127</v>
      </c>
      <c r="E197" s="2" t="str">
        <f t="shared" si="9"/>
        <v>'2127.HK'</v>
      </c>
      <c r="F197" s="4" t="s">
        <v>758</v>
      </c>
      <c r="G197" s="6" t="s">
        <v>14</v>
      </c>
      <c r="H197" s="7">
        <v>5.27</v>
      </c>
      <c r="I197" s="8">
        <v>-3242.7</v>
      </c>
      <c r="J197" s="8">
        <v>1196.9000000000001</v>
      </c>
      <c r="K197" s="8">
        <v>17.100000000000001</v>
      </c>
      <c r="L197" s="10">
        <v>0.22700000000000001</v>
      </c>
      <c r="M197" s="11" t="s">
        <v>759</v>
      </c>
    </row>
    <row r="198" spans="1:13" ht="180" x14ac:dyDescent="0.2">
      <c r="A198" s="2" t="s">
        <v>760</v>
      </c>
      <c r="B198" s="2" t="s">
        <v>761</v>
      </c>
      <c r="C198" s="2" t="str">
        <f>RIGHT(B198,SUM(LEN(B198)-LEN(SUBSTITUTE(B198,{"0","1","2","3","4","5","6","7","8","9"},""))))</f>
        <v>1203</v>
      </c>
      <c r="D198" s="2" t="str">
        <f t="shared" si="8"/>
        <v>1203</v>
      </c>
      <c r="E198" s="2" t="str">
        <f t="shared" si="9"/>
        <v>'1203.HK'</v>
      </c>
      <c r="F198" s="4" t="s">
        <v>762</v>
      </c>
      <c r="G198" s="6" t="s">
        <v>14</v>
      </c>
      <c r="H198" s="7">
        <v>1.55</v>
      </c>
      <c r="I198" s="8">
        <v>-596.20000000000005</v>
      </c>
      <c r="J198" s="8">
        <v>580.9</v>
      </c>
      <c r="K198" s="8">
        <v>31.6</v>
      </c>
      <c r="L198" s="10">
        <v>0.219</v>
      </c>
      <c r="M198" s="11" t="s">
        <v>763</v>
      </c>
    </row>
    <row r="199" spans="1:13" ht="160" x14ac:dyDescent="0.2">
      <c r="A199" s="2" t="s">
        <v>764</v>
      </c>
      <c r="B199" s="2" t="s">
        <v>765</v>
      </c>
      <c r="C199" s="2" t="str">
        <f>RIGHT(B199,SUM(LEN(B199)-LEN(SUBSTITUTE(B199,{"0","1","2","3","4","5","6","7","8","9"},""))))</f>
        <v>3999</v>
      </c>
      <c r="D199" s="2" t="str">
        <f t="shared" si="8"/>
        <v>3999</v>
      </c>
      <c r="E199" s="2" t="str">
        <f t="shared" si="9"/>
        <v>'3999.HK'</v>
      </c>
      <c r="F199" s="4" t="s">
        <v>766</v>
      </c>
      <c r="G199" s="6" t="s">
        <v>14</v>
      </c>
      <c r="H199" s="7">
        <v>1.4</v>
      </c>
      <c r="I199" s="8">
        <v>-432.8</v>
      </c>
      <c r="J199" s="8">
        <v>518.29999999999995</v>
      </c>
      <c r="K199" s="8">
        <v>34</v>
      </c>
      <c r="L199" s="10">
        <v>0.219</v>
      </c>
      <c r="M199" s="11" t="s">
        <v>767</v>
      </c>
    </row>
    <row r="200" spans="1:13" ht="180" x14ac:dyDescent="0.2">
      <c r="A200" s="2" t="s">
        <v>768</v>
      </c>
      <c r="B200" s="2" t="s">
        <v>769</v>
      </c>
      <c r="C200" s="2" t="str">
        <f>RIGHT(B200,SUM(LEN(B200)-LEN(SUBSTITUTE(B200,{"0","1","2","3","4","5","6","7","8","9"},""))))</f>
        <v>366</v>
      </c>
      <c r="D200" s="2" t="str">
        <f t="shared" si="8"/>
        <v>0366</v>
      </c>
      <c r="E200" s="2" t="str">
        <f t="shared" si="9"/>
        <v>'0366.HK'</v>
      </c>
      <c r="F200" s="4" t="s">
        <v>770</v>
      </c>
      <c r="G200" s="6" t="s">
        <v>14</v>
      </c>
      <c r="H200" s="7">
        <v>1.91</v>
      </c>
      <c r="I200" s="8">
        <v>-311.10000000000002</v>
      </c>
      <c r="J200" s="8">
        <v>547.79999999999995</v>
      </c>
      <c r="K200" s="8">
        <v>16.7</v>
      </c>
      <c r="L200" s="10">
        <v>0.217</v>
      </c>
      <c r="M200" s="11" t="s">
        <v>771</v>
      </c>
    </row>
    <row r="201" spans="1:13" ht="250" x14ac:dyDescent="0.2">
      <c r="A201" s="2" t="s">
        <v>772</v>
      </c>
      <c r="B201" s="2" t="s">
        <v>773</v>
      </c>
      <c r="C201" s="2" t="str">
        <f>RIGHT(B201,SUM(LEN(B201)-LEN(SUBSTITUTE(B201,{"0","1","2","3","4","5","6","7","8","9"},""))))</f>
        <v>610</v>
      </c>
      <c r="D201" s="2" t="str">
        <f t="shared" si="8"/>
        <v>0610</v>
      </c>
      <c r="E201" s="2" t="str">
        <f t="shared" si="9"/>
        <v>'0610.HK'</v>
      </c>
      <c r="F201" s="4" t="s">
        <v>774</v>
      </c>
      <c r="G201" s="6" t="s">
        <v>14</v>
      </c>
      <c r="H201" s="7">
        <v>1.2</v>
      </c>
      <c r="I201" s="8">
        <v>-685.5</v>
      </c>
      <c r="J201" s="8">
        <v>2181.1</v>
      </c>
      <c r="K201" s="8">
        <v>37.700000000000003</v>
      </c>
      <c r="L201" s="10">
        <v>0.20799999999999999</v>
      </c>
      <c r="M201" s="11" t="s">
        <v>775</v>
      </c>
    </row>
    <row r="202" spans="1:13" ht="180" x14ac:dyDescent="0.2">
      <c r="A202" s="2" t="s">
        <v>776</v>
      </c>
      <c r="B202" s="2" t="s">
        <v>777</v>
      </c>
      <c r="C202" s="2" t="str">
        <f>RIGHT(B202,SUM(LEN(B202)-LEN(SUBSTITUTE(B202,{"0","1","2","3","4","5","6","7","8","9"},""))))</f>
        <v>194</v>
      </c>
      <c r="D202" s="2" t="str">
        <f t="shared" si="8"/>
        <v>0194</v>
      </c>
      <c r="E202" s="2" t="str">
        <f t="shared" si="9"/>
        <v>'0194.HK'</v>
      </c>
      <c r="F202" s="4" t="s">
        <v>778</v>
      </c>
      <c r="G202" s="6" t="s">
        <v>14</v>
      </c>
      <c r="H202" s="7">
        <v>1.76</v>
      </c>
      <c r="I202" s="8">
        <v>-160.5</v>
      </c>
      <c r="J202" s="8">
        <v>2631.1</v>
      </c>
      <c r="K202" s="8">
        <v>18.2</v>
      </c>
      <c r="L202" s="10">
        <v>0.20499999999999999</v>
      </c>
      <c r="M202" s="11" t="s">
        <v>779</v>
      </c>
    </row>
    <row r="203" spans="1:13" ht="110" x14ac:dyDescent="0.2">
      <c r="A203" s="2" t="s">
        <v>780</v>
      </c>
      <c r="B203" s="2" t="s">
        <v>781</v>
      </c>
      <c r="C203" s="2" t="str">
        <f>RIGHT(B203,SUM(LEN(B203)-LEN(SUBSTITUTE(B203,{"0","1","2","3","4","5","6","7","8","9"},""))))</f>
        <v>212</v>
      </c>
      <c r="D203" s="2" t="str">
        <f t="shared" si="8"/>
        <v>0212</v>
      </c>
      <c r="E203" s="2" t="str">
        <f t="shared" si="9"/>
        <v>'0212.HK'</v>
      </c>
      <c r="F203" s="4" t="s">
        <v>782</v>
      </c>
      <c r="G203" s="6" t="s">
        <v>14</v>
      </c>
      <c r="H203" s="7">
        <v>7.4</v>
      </c>
      <c r="I203" s="8">
        <v>-416.4</v>
      </c>
      <c r="J203" s="8">
        <v>1120.9000000000001</v>
      </c>
      <c r="K203" s="7">
        <v>1.56</v>
      </c>
      <c r="L203" s="10">
        <v>0.20300000000000001</v>
      </c>
      <c r="M203" s="11" t="s">
        <v>783</v>
      </c>
    </row>
    <row r="204" spans="1:13" ht="60" x14ac:dyDescent="0.2">
      <c r="A204" s="2" t="s">
        <v>784</v>
      </c>
      <c r="B204" s="2" t="s">
        <v>785</v>
      </c>
      <c r="C204" s="2" t="str">
        <f>RIGHT(B204,SUM(LEN(B204)-LEN(SUBSTITUTE(B204,{"0","1","2","3","4","5","6","7","8","9"},""))))</f>
        <v>887</v>
      </c>
      <c r="D204" s="2" t="str">
        <f t="shared" si="8"/>
        <v>0887</v>
      </c>
      <c r="E204" s="2" t="str">
        <f t="shared" si="9"/>
        <v>'0887.HK'</v>
      </c>
      <c r="F204" s="4" t="s">
        <v>786</v>
      </c>
      <c r="G204" s="6" t="s">
        <v>14</v>
      </c>
      <c r="H204" s="7">
        <v>1.33</v>
      </c>
      <c r="I204" s="8">
        <v>-139.4</v>
      </c>
      <c r="J204" s="8">
        <v>894.9</v>
      </c>
      <c r="K204" s="8">
        <v>11.8</v>
      </c>
      <c r="L204" s="10">
        <v>0.188</v>
      </c>
      <c r="M204" s="11" t="s">
        <v>787</v>
      </c>
    </row>
    <row r="205" spans="1:13" ht="190" x14ac:dyDescent="0.2">
      <c r="A205" s="2" t="s">
        <v>788</v>
      </c>
      <c r="B205" s="2" t="s">
        <v>789</v>
      </c>
      <c r="C205" s="2" t="str">
        <f>RIGHT(B205,SUM(LEN(B205)-LEN(SUBSTITUTE(B205,{"0","1","2","3","4","5","6","7","8","9"},""))))</f>
        <v>3818</v>
      </c>
      <c r="D205" s="2" t="str">
        <f t="shared" si="8"/>
        <v>3818</v>
      </c>
      <c r="E205" s="2" t="str">
        <f t="shared" si="9"/>
        <v>'3818.HK'</v>
      </c>
      <c r="F205" s="4" t="s">
        <v>790</v>
      </c>
      <c r="G205" s="6" t="s">
        <v>14</v>
      </c>
      <c r="H205" s="7">
        <v>5.0999999999999996</v>
      </c>
      <c r="I205" s="8">
        <v>-4442.3999999999996</v>
      </c>
      <c r="J205" s="8">
        <v>2023.2</v>
      </c>
      <c r="K205" s="8">
        <v>10.8</v>
      </c>
      <c r="L205" s="10">
        <v>0.17299999999999999</v>
      </c>
      <c r="M205" s="11" t="s">
        <v>791</v>
      </c>
    </row>
    <row r="206" spans="1:13" ht="40" x14ac:dyDescent="0.2">
      <c r="A206" s="2" t="s">
        <v>792</v>
      </c>
      <c r="B206" s="2" t="s">
        <v>793</v>
      </c>
      <c r="C206" s="2" t="str">
        <f>RIGHT(B206,SUM(LEN(B206)-LEN(SUBSTITUTE(B206,{"0","1","2","3","4","5","6","7","8","9"},""))))</f>
        <v>1431</v>
      </c>
      <c r="D206" s="2" t="str">
        <f t="shared" si="8"/>
        <v>1431</v>
      </c>
      <c r="E206" s="2" t="str">
        <f t="shared" si="9"/>
        <v>'1431.HK'</v>
      </c>
      <c r="F206" s="4" t="s">
        <v>794</v>
      </c>
      <c r="G206" s="6" t="s">
        <v>14</v>
      </c>
      <c r="H206" s="7">
        <v>1.04</v>
      </c>
      <c r="I206" s="8">
        <v>-847.9</v>
      </c>
      <c r="J206" s="8">
        <v>1027.2</v>
      </c>
      <c r="K206" s="8">
        <v>24.5</v>
      </c>
      <c r="L206" s="10">
        <v>0.17199999999999999</v>
      </c>
      <c r="M206" s="5" t="s">
        <v>795</v>
      </c>
    </row>
    <row r="207" spans="1:13" ht="100" x14ac:dyDescent="0.2">
      <c r="A207" s="2" t="s">
        <v>796</v>
      </c>
      <c r="B207" s="2" t="s">
        <v>797</v>
      </c>
      <c r="C207" s="2" t="str">
        <f>RIGHT(B207,SUM(LEN(B207)-LEN(SUBSTITUTE(B207,{"0","1","2","3","4","5","6","7","8","9"},""))))</f>
        <v>296</v>
      </c>
      <c r="D207" s="2" t="str">
        <f t="shared" si="8"/>
        <v>0296</v>
      </c>
      <c r="E207" s="2" t="str">
        <f t="shared" si="9"/>
        <v>'0296.HK'</v>
      </c>
      <c r="F207" s="4" t="s">
        <v>798</v>
      </c>
      <c r="G207" s="6" t="s">
        <v>14</v>
      </c>
      <c r="H207" s="7">
        <v>3.45</v>
      </c>
      <c r="I207" s="8">
        <v>-914.6</v>
      </c>
      <c r="J207" s="8">
        <v>631.79999999999995</v>
      </c>
      <c r="K207" s="7">
        <v>7.73</v>
      </c>
      <c r="L207" s="10">
        <v>0.16700000000000001</v>
      </c>
      <c r="M207" s="11" t="s">
        <v>799</v>
      </c>
    </row>
    <row r="208" spans="1:13" ht="190" x14ac:dyDescent="0.2">
      <c r="A208" s="2" t="s">
        <v>800</v>
      </c>
      <c r="B208" s="2" t="s">
        <v>801</v>
      </c>
      <c r="C208" s="2" t="str">
        <f>RIGHT(B208,SUM(LEN(B208)-LEN(SUBSTITUTE(B208,{"0","1","2","3","4","5","6","7","8","9"},""))))</f>
        <v>298</v>
      </c>
      <c r="D208" s="2" t="str">
        <f t="shared" si="8"/>
        <v>0298</v>
      </c>
      <c r="E208" s="2" t="str">
        <f t="shared" si="9"/>
        <v>'0298.HK'</v>
      </c>
      <c r="F208" s="4" t="s">
        <v>802</v>
      </c>
      <c r="G208" s="6" t="s">
        <v>14</v>
      </c>
      <c r="H208" s="7">
        <v>2.72</v>
      </c>
      <c r="I208" s="8">
        <v>-786.5</v>
      </c>
      <c r="J208" s="8">
        <v>727.6</v>
      </c>
      <c r="K208" s="8">
        <v>30</v>
      </c>
      <c r="L208" s="10">
        <v>0.157</v>
      </c>
      <c r="M208" s="11" t="s">
        <v>803</v>
      </c>
    </row>
    <row r="209" spans="1:13" ht="130" x14ac:dyDescent="0.2">
      <c r="A209" s="2" t="s">
        <v>804</v>
      </c>
      <c r="B209" s="2" t="s">
        <v>805</v>
      </c>
      <c r="C209" s="2" t="str">
        <f>RIGHT(B209,SUM(LEN(B209)-LEN(SUBSTITUTE(B209,{"0","1","2","3","4","5","6","7","8","9"},""))))</f>
        <v>1278</v>
      </c>
      <c r="D209" s="2" t="str">
        <f t="shared" si="8"/>
        <v>1278</v>
      </c>
      <c r="E209" s="2" t="str">
        <f t="shared" si="9"/>
        <v>'1278.HK'</v>
      </c>
      <c r="F209" s="4" t="s">
        <v>806</v>
      </c>
      <c r="G209" s="6" t="s">
        <v>14</v>
      </c>
      <c r="H209" s="7">
        <v>1.44</v>
      </c>
      <c r="I209" s="8">
        <v>-782.9</v>
      </c>
      <c r="J209" s="8">
        <v>729.5</v>
      </c>
      <c r="K209" s="8">
        <v>32.4</v>
      </c>
      <c r="L209" s="10">
        <v>0.151</v>
      </c>
      <c r="M209" s="11" t="s">
        <v>807</v>
      </c>
    </row>
    <row r="210" spans="1:13" ht="110" x14ac:dyDescent="0.2">
      <c r="A210" s="2" t="s">
        <v>808</v>
      </c>
      <c r="B210" s="2" t="s">
        <v>809</v>
      </c>
      <c r="C210" s="2" t="str">
        <f>RIGHT(B210,SUM(LEN(B210)-LEN(SUBSTITUTE(B210,{"0","1","2","3","4","5","6","7","8","9"},""))))</f>
        <v>1786</v>
      </c>
      <c r="D210" s="2" t="str">
        <f t="shared" si="8"/>
        <v>1786</v>
      </c>
      <c r="E210" s="2" t="str">
        <f t="shared" si="9"/>
        <v>'1786.HK'</v>
      </c>
      <c r="F210" s="4" t="s">
        <v>810</v>
      </c>
      <c r="G210" s="6" t="s">
        <v>14</v>
      </c>
      <c r="H210" s="7">
        <v>1.51</v>
      </c>
      <c r="I210" s="8">
        <v>-1446.6</v>
      </c>
      <c r="J210" s="8">
        <v>1003.1</v>
      </c>
      <c r="K210" s="8">
        <v>28.9</v>
      </c>
      <c r="L210" s="10">
        <v>0.14599999999999999</v>
      </c>
      <c r="M210" s="11" t="s">
        <v>811</v>
      </c>
    </row>
    <row r="211" spans="1:13" ht="250" x14ac:dyDescent="0.2">
      <c r="A211" s="2" t="s">
        <v>812</v>
      </c>
      <c r="B211" s="2" t="s">
        <v>813</v>
      </c>
      <c r="C211" s="2" t="str">
        <f>RIGHT(B211,SUM(LEN(B211)-LEN(SUBSTITUTE(B211,{"0","1","2","3","4","5","6","7","8","9"},""))))</f>
        <v>882</v>
      </c>
      <c r="D211" s="2" t="str">
        <f t="shared" si="8"/>
        <v>0882</v>
      </c>
      <c r="E211" s="2" t="str">
        <f t="shared" si="9"/>
        <v>'0882.HK'</v>
      </c>
      <c r="F211" s="4" t="s">
        <v>814</v>
      </c>
      <c r="G211" s="6" t="s">
        <v>14</v>
      </c>
      <c r="H211" s="7">
        <v>1.78</v>
      </c>
      <c r="I211" s="8">
        <v>-4928.5</v>
      </c>
      <c r="J211" s="8">
        <v>1695</v>
      </c>
      <c r="K211" s="8">
        <v>23.8</v>
      </c>
      <c r="L211" s="10">
        <v>0.13700000000000001</v>
      </c>
      <c r="M211" s="11" t="s">
        <v>815</v>
      </c>
    </row>
    <row r="212" spans="1:13" ht="80" x14ac:dyDescent="0.2">
      <c r="A212" s="2" t="s">
        <v>816</v>
      </c>
      <c r="B212" s="2" t="s">
        <v>817</v>
      </c>
      <c r="C212" s="2" t="str">
        <f>RIGHT(B212,SUM(LEN(B212)-LEN(SUBSTITUTE(B212,{"0","1","2","3","4","5","6","7","8","9"},""))))</f>
        <v>2698</v>
      </c>
      <c r="D212" s="2" t="str">
        <f t="shared" si="8"/>
        <v>2698</v>
      </c>
      <c r="E212" s="2" t="str">
        <f t="shared" si="9"/>
        <v>'2698.HK'</v>
      </c>
      <c r="F212" s="4" t="s">
        <v>818</v>
      </c>
      <c r="G212" s="6" t="s">
        <v>14</v>
      </c>
      <c r="H212" s="7">
        <v>2.27</v>
      </c>
      <c r="I212" s="8">
        <v>-10747.8</v>
      </c>
      <c r="J212" s="8">
        <v>1612.4</v>
      </c>
      <c r="K212" s="8">
        <v>24.3</v>
      </c>
      <c r="L212" s="10">
        <v>7.8E-2</v>
      </c>
      <c r="M212" s="11" t="s">
        <v>819</v>
      </c>
    </row>
    <row r="213" spans="1:13" ht="90" x14ac:dyDescent="0.2">
      <c r="A213" s="2" t="s">
        <v>820</v>
      </c>
      <c r="B213" s="2" t="s">
        <v>821</v>
      </c>
      <c r="C213" s="2" t="str">
        <f>RIGHT(B213,SUM(LEN(B213)-LEN(SUBSTITUTE(B213,{"0","1","2","3","4","5","6","7","8","9"},""))))</f>
        <v>1051</v>
      </c>
      <c r="D213" s="2" t="str">
        <f t="shared" si="8"/>
        <v>1051</v>
      </c>
      <c r="E213" s="2" t="str">
        <f t="shared" si="9"/>
        <v>'1051.HK'</v>
      </c>
      <c r="F213" s="4" t="s">
        <v>822</v>
      </c>
      <c r="G213" s="6" t="s">
        <v>14</v>
      </c>
      <c r="H213" s="8">
        <v>18</v>
      </c>
      <c r="I213" s="8">
        <v>-7253.9</v>
      </c>
      <c r="J213" s="8">
        <v>816</v>
      </c>
      <c r="K213" s="7">
        <v>3.14</v>
      </c>
      <c r="L213" s="10">
        <v>6.7000000000000004E-2</v>
      </c>
      <c r="M213" s="11" t="s">
        <v>823</v>
      </c>
    </row>
    <row r="215" spans="1:13" x14ac:dyDescent="0.2">
      <c r="E215" t="str">
        <f>ConcatDelim(E9:E213,",")</f>
        <v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v>
      </c>
    </row>
    <row r="217" spans="1:13" x14ac:dyDescent="0.2">
      <c r="E217" t="s">
        <v>843</v>
      </c>
    </row>
  </sheetData>
  <autoFilter ref="A8:M213" xr:uid="{00000000-0009-0000-0000-000000000000}">
    <filterColumn colId="5">
      <filters>
        <filter val="The Stock Exchange of Hong Kong Ltd. (SEHK)"/>
      </filters>
    </filterColumn>
  </autoFilter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autoPageBreaks="0"/>
  </sheetPr>
  <dimension ref="A6:IU15"/>
  <sheetViews>
    <sheetView zoomScaleNormal="100" workbookViewId="0"/>
  </sheetViews>
  <sheetFormatPr defaultRowHeight="10" x14ac:dyDescent="0.2"/>
  <cols>
    <col min="1" max="1" width="26.81640625" customWidth="1"/>
    <col min="2" max="6" width="20.81640625" customWidth="1"/>
  </cols>
  <sheetData>
    <row r="6" spans="1:255" ht="16.5" customHeight="1" x14ac:dyDescent="0.35">
      <c r="A6" s="1" t="s">
        <v>824</v>
      </c>
    </row>
    <row r="8" spans="1:255" x14ac:dyDescent="0.2">
      <c r="A8" s="13" t="s">
        <v>825</v>
      </c>
      <c r="B8" s="14"/>
      <c r="C8" s="14"/>
      <c r="D8" s="14"/>
      <c r="E8" s="14"/>
      <c r="F8" s="14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</row>
    <row r="9" spans="1:255" ht="40.5" x14ac:dyDescent="0.55000000000000004">
      <c r="A9" s="15" t="s">
        <v>826</v>
      </c>
      <c r="B9" s="15" t="s">
        <v>5</v>
      </c>
      <c r="C9" s="15" t="s">
        <v>6</v>
      </c>
      <c r="D9" s="15" t="s">
        <v>7</v>
      </c>
      <c r="E9" s="15" t="s">
        <v>8</v>
      </c>
      <c r="F9" s="15" t="s">
        <v>9</v>
      </c>
    </row>
    <row r="10" spans="1:255" ht="10.5" x14ac:dyDescent="0.25">
      <c r="A10" s="16" t="s">
        <v>827</v>
      </c>
      <c r="B10" s="17">
        <v>977</v>
      </c>
      <c r="C10" s="17">
        <v>-354507</v>
      </c>
      <c r="D10" s="17">
        <v>604033.19999999995</v>
      </c>
      <c r="E10" s="17">
        <v>4624.2</v>
      </c>
      <c r="F10" s="17">
        <v>152.4</v>
      </c>
    </row>
    <row r="11" spans="1:255" ht="10.5" x14ac:dyDescent="0.25">
      <c r="A11" s="16" t="s">
        <v>828</v>
      </c>
      <c r="B11" s="17">
        <v>4.7699999999999996</v>
      </c>
      <c r="C11" s="17">
        <v>-1729.3</v>
      </c>
      <c r="D11" s="17">
        <v>2946.5</v>
      </c>
      <c r="E11" s="17">
        <v>22.6</v>
      </c>
      <c r="F11" s="17">
        <v>0.74399999999999999</v>
      </c>
    </row>
    <row r="12" spans="1:255" ht="10.5" x14ac:dyDescent="0.25">
      <c r="A12" s="16" t="s">
        <v>829</v>
      </c>
      <c r="B12" s="17">
        <v>1.01</v>
      </c>
      <c r="C12" s="17">
        <v>-12788.9</v>
      </c>
      <c r="D12" s="17">
        <v>500</v>
      </c>
      <c r="E12" s="17">
        <v>0.35</v>
      </c>
      <c r="F12" s="17">
        <v>6.7000000000000004E-2</v>
      </c>
    </row>
    <row r="13" spans="1:255" ht="10.5" x14ac:dyDescent="0.25">
      <c r="A13" s="16" t="s">
        <v>830</v>
      </c>
      <c r="B13" s="17">
        <v>103.6</v>
      </c>
      <c r="C13" s="17">
        <v>-5.21</v>
      </c>
      <c r="D13" s="17">
        <v>19178.8</v>
      </c>
      <c r="E13" s="17">
        <v>39.799999999999997</v>
      </c>
      <c r="F13" s="17">
        <v>1.99</v>
      </c>
    </row>
    <row r="14" spans="1:255" ht="10.5" x14ac:dyDescent="0.25">
      <c r="A14" s="16" t="s">
        <v>831</v>
      </c>
      <c r="B14" s="17">
        <v>8.89</v>
      </c>
      <c r="C14" s="17">
        <v>2078.1</v>
      </c>
      <c r="D14" s="17">
        <v>3347.2</v>
      </c>
      <c r="E14" s="17">
        <v>10.7</v>
      </c>
      <c r="F14" s="17">
        <v>0.45100000000000001</v>
      </c>
    </row>
    <row r="15" spans="1:255" ht="10.5" x14ac:dyDescent="0.25">
      <c r="A15" s="16" t="s">
        <v>832</v>
      </c>
      <c r="B15" s="17">
        <v>4.4800000000000004</v>
      </c>
      <c r="C15" s="17">
        <v>-3171.3</v>
      </c>
      <c r="D15" s="18" t="s">
        <v>833</v>
      </c>
      <c r="E15" s="17">
        <v>23.3</v>
      </c>
      <c r="F15" s="17">
        <v>0.91600000000000004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autoPageBreaks="0"/>
  </sheetPr>
  <dimension ref="A6:A16"/>
  <sheetViews>
    <sheetView zoomScaleNormal="100" workbookViewId="0"/>
  </sheetViews>
  <sheetFormatPr defaultRowHeight="10" x14ac:dyDescent="0.2"/>
  <cols>
    <col min="1" max="1" width="35.81640625" customWidth="1"/>
    <col min="2" max="2" width="9.26953125" customWidth="1"/>
  </cols>
  <sheetData>
    <row r="6" spans="1:1" ht="16.5" customHeight="1" x14ac:dyDescent="0.35">
      <c r="A6" s="1" t="s">
        <v>0</v>
      </c>
    </row>
    <row r="8" spans="1:1" ht="13.5" x14ac:dyDescent="0.55000000000000004">
      <c r="A8" s="19" t="s">
        <v>834</v>
      </c>
    </row>
    <row r="9" spans="1:1" ht="10.5" x14ac:dyDescent="0.2">
      <c r="A9" s="20" t="s">
        <v>835</v>
      </c>
    </row>
    <row r="10" spans="1:1" ht="10.5" x14ac:dyDescent="0.2">
      <c r="A10" s="20" t="s">
        <v>836</v>
      </c>
    </row>
    <row r="11" spans="1:1" ht="10.5" x14ac:dyDescent="0.2">
      <c r="A11" s="20" t="s">
        <v>837</v>
      </c>
    </row>
    <row r="12" spans="1:1" ht="10.5" x14ac:dyDescent="0.2">
      <c r="A12" s="20" t="s">
        <v>838</v>
      </c>
    </row>
    <row r="13" spans="1:1" ht="10.5" x14ac:dyDescent="0.2">
      <c r="A13" s="20" t="s">
        <v>839</v>
      </c>
    </row>
    <row r="14" spans="1:1" ht="10.5" x14ac:dyDescent="0.2">
      <c r="A14" s="20" t="s">
        <v>840</v>
      </c>
    </row>
    <row r="15" spans="1:1" ht="10.5" x14ac:dyDescent="0.2">
      <c r="A15" s="20" t="s">
        <v>841</v>
      </c>
    </row>
    <row r="16" spans="1:1" ht="10.5" x14ac:dyDescent="0.2">
      <c r="A16" s="20" t="s">
        <v>842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筛选器_香港_20230103</vt:lpstr>
      <vt:lpstr>Screening</vt:lpstr>
      <vt:lpstr>Aggregates</vt:lpstr>
      <vt:lpstr>Screen Criteria</vt:lpstr>
      <vt:lpstr>Aggregates!Print_Titles</vt:lpstr>
      <vt:lpstr>'Screen Criteria'!Print_Titles</vt:lpstr>
      <vt:lpstr>Screening!Print_Titles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2004-07-20T21:40:42Z</dcterms:created>
  <dcterms:modified xsi:type="dcterms:W3CDTF">2023-01-09T05:53:27Z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 By">
    <vt:lpwstr>SoftArtisans OfficeWriter for Excel 8.6.2.281 (http://officewriter.softartisans.com)</vt:lpwstr>
  </property>
</Properties>
</file>