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filterPrivacy="1" codeName="ThisWorkbook"/>
  <xr:revisionPtr revIDLastSave="0" documentId="13_ncr:1_{EE35620C-4D85-4275-97DA-5D7B8C4FE9C7}" xr6:coauthVersionLast="47" xr6:coauthVersionMax="47" xr10:uidLastSave="{00000000-0000-0000-0000-000000000000}"/>
  <bookViews>
    <workbookView xWindow="28680" yWindow="-120" windowWidth="29040" windowHeight="15840" activeTab="4" xr2:uid="{00000000-000D-0000-FFFF-FFFF00000000}"/>
  </bookViews>
  <sheets>
    <sheet name="Screening" sheetId="1" r:id="rId1"/>
    <sheet name="HK" sheetId="4" r:id="rId2"/>
    <sheet name="CN" sheetId="5" r:id="rId3"/>
    <sheet name="US" sheetId="6" r:id="rId4"/>
    <sheet name="JP" sheetId="8" r:id="rId5"/>
    <sheet name="Aggregates" sheetId="2" r:id="rId6"/>
    <sheet name="Screen Criteria" sheetId="3" r:id="rId7"/>
  </sheets>
  <functionGroups builtInGroupCount="19"/>
  <definedNames>
    <definedName name="_xlnm._FilterDatabase" localSheetId="0" hidden="1">Screening!$A$8:$M$213</definedName>
    <definedName name="_xlnm.Print_Titles" localSheetId="5">Aggregates!$1:$3</definedName>
    <definedName name="_xlnm.Print_Titles" localSheetId="6">'Screen Criteria'!$1:$3</definedName>
    <definedName name="_xlnm.Print_Titles" localSheetId="0">Screening!$1:$3</definedName>
  </definedNames>
  <calcPr calcId="18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" i="8" l="1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" i="8"/>
  <c r="A807" i="5"/>
  <c r="A808" i="5"/>
  <c r="A809" i="5"/>
  <c r="A810" i="5"/>
  <c r="C810" i="5" s="1"/>
  <c r="A811" i="5"/>
  <c r="A812" i="5"/>
  <c r="A813" i="5"/>
  <c r="A814" i="5"/>
  <c r="A815" i="5"/>
  <c r="A816" i="5"/>
  <c r="A817" i="5"/>
  <c r="A818" i="5"/>
  <c r="C818" i="5" s="1"/>
  <c r="A819" i="5"/>
  <c r="A820" i="5"/>
  <c r="A821" i="5"/>
  <c r="A822" i="5"/>
  <c r="C822" i="5" s="1"/>
  <c r="A823" i="5"/>
  <c r="A824" i="5"/>
  <c r="A825" i="5"/>
  <c r="A826" i="5"/>
  <c r="C826" i="5" s="1"/>
  <c r="A827" i="5"/>
  <c r="A828" i="5"/>
  <c r="A829" i="5"/>
  <c r="A830" i="5"/>
  <c r="C830" i="5" s="1"/>
  <c r="A831" i="5"/>
  <c r="A832" i="5"/>
  <c r="A833" i="5"/>
  <c r="A834" i="5"/>
  <c r="A835" i="5"/>
  <c r="A836" i="5"/>
  <c r="A837" i="5"/>
  <c r="A838" i="5"/>
  <c r="C838" i="5" s="1"/>
  <c r="A839" i="5"/>
  <c r="A840" i="5"/>
  <c r="A841" i="5"/>
  <c r="A842" i="5"/>
  <c r="C842" i="5" s="1"/>
  <c r="A843" i="5"/>
  <c r="A844" i="5"/>
  <c r="A845" i="5"/>
  <c r="A846" i="5"/>
  <c r="A847" i="5"/>
  <c r="A848" i="5"/>
  <c r="A849" i="5"/>
  <c r="A850" i="5"/>
  <c r="C850" i="5" s="1"/>
  <c r="A851" i="5"/>
  <c r="A852" i="5"/>
  <c r="A853" i="5"/>
  <c r="A854" i="5"/>
  <c r="C854" i="5" s="1"/>
  <c r="A855" i="5"/>
  <c r="A856" i="5"/>
  <c r="A806" i="5"/>
  <c r="C806" i="5" s="1"/>
  <c r="C813" i="5"/>
  <c r="C821" i="5"/>
  <c r="C829" i="5"/>
  <c r="C837" i="5"/>
  <c r="C845" i="5"/>
  <c r="C853" i="5"/>
  <c r="C809" i="5"/>
  <c r="C814" i="5"/>
  <c r="C817" i="5"/>
  <c r="C825" i="5"/>
  <c r="C833" i="5"/>
  <c r="C834" i="5"/>
  <c r="C841" i="5"/>
  <c r="C846" i="5"/>
  <c r="C849" i="5"/>
  <c r="C794" i="5"/>
  <c r="C795" i="5"/>
  <c r="C796" i="5"/>
  <c r="C797" i="5"/>
  <c r="C798" i="5"/>
  <c r="C799" i="5"/>
  <c r="C800" i="5"/>
  <c r="C801" i="5"/>
  <c r="C802" i="5"/>
  <c r="C803" i="5"/>
  <c r="C804" i="5"/>
  <c r="C805" i="5"/>
  <c r="C807" i="5"/>
  <c r="C808" i="5"/>
  <c r="C811" i="5"/>
  <c r="C812" i="5"/>
  <c r="C815" i="5"/>
  <c r="C816" i="5"/>
  <c r="C819" i="5"/>
  <c r="C820" i="5"/>
  <c r="C823" i="5"/>
  <c r="C824" i="5"/>
  <c r="C827" i="5"/>
  <c r="C828" i="5"/>
  <c r="C831" i="5"/>
  <c r="C832" i="5"/>
  <c r="C835" i="5"/>
  <c r="C836" i="5"/>
  <c r="C839" i="5"/>
  <c r="C840" i="5"/>
  <c r="C843" i="5"/>
  <c r="C844" i="5"/>
  <c r="C847" i="5"/>
  <c r="C848" i="5"/>
  <c r="C851" i="5"/>
  <c r="C852" i="5"/>
  <c r="C855" i="5"/>
  <c r="C856" i="5"/>
  <c r="C675" i="6"/>
  <c r="C674" i="6"/>
  <c r="C673" i="6"/>
  <c r="C672" i="6"/>
  <c r="C671" i="6"/>
  <c r="C670" i="6"/>
  <c r="C669" i="6"/>
  <c r="C668" i="6"/>
  <c r="C667" i="6"/>
  <c r="C666" i="6"/>
  <c r="C665" i="6"/>
  <c r="C664" i="6"/>
  <c r="C663" i="6"/>
  <c r="C662" i="6"/>
  <c r="C661" i="6"/>
  <c r="C660" i="6"/>
  <c r="C659" i="6"/>
  <c r="C658" i="6"/>
  <c r="C657" i="6"/>
  <c r="C656" i="6"/>
  <c r="C655" i="6"/>
  <c r="C654" i="6"/>
  <c r="C653" i="6"/>
  <c r="C652" i="6"/>
  <c r="C651" i="6"/>
  <c r="C650" i="6"/>
  <c r="C649" i="6"/>
  <c r="C648" i="6"/>
  <c r="C647" i="6"/>
  <c r="C646" i="6"/>
  <c r="C645" i="6"/>
  <c r="C636" i="6"/>
  <c r="C637" i="6"/>
  <c r="C638" i="6"/>
  <c r="C639" i="6"/>
  <c r="C640" i="6"/>
  <c r="C641" i="6"/>
  <c r="C642" i="6"/>
  <c r="C643" i="6"/>
  <c r="C644" i="6"/>
  <c r="C635" i="6"/>
  <c r="C634" i="6"/>
  <c r="B633" i="6"/>
  <c r="C633" i="6" s="1"/>
  <c r="B632" i="6"/>
  <c r="C632" i="6" s="1"/>
  <c r="B631" i="6"/>
  <c r="C631" i="6" s="1"/>
  <c r="B630" i="6"/>
  <c r="C630" i="6" s="1"/>
  <c r="B629" i="6"/>
  <c r="C629" i="6" s="1"/>
  <c r="B628" i="6"/>
  <c r="C628" i="6" s="1"/>
  <c r="B627" i="6"/>
  <c r="C627" i="6" s="1"/>
  <c r="B626" i="6"/>
  <c r="C626" i="6" s="1"/>
  <c r="B625" i="6"/>
  <c r="C625" i="6" s="1"/>
  <c r="B624" i="6"/>
  <c r="C624" i="6" s="1"/>
  <c r="B623" i="6"/>
  <c r="C623" i="6" s="1"/>
  <c r="B622" i="6"/>
  <c r="C622" i="6" s="1"/>
  <c r="B621" i="6"/>
  <c r="C621" i="6" s="1"/>
  <c r="B620" i="6"/>
  <c r="C620" i="6" s="1"/>
  <c r="B619" i="6"/>
  <c r="C619" i="6" s="1"/>
  <c r="B618" i="6"/>
  <c r="C618" i="6" s="1"/>
  <c r="B617" i="6"/>
  <c r="C617" i="6" s="1"/>
  <c r="B616" i="6"/>
  <c r="C616" i="6" s="1"/>
  <c r="B615" i="6"/>
  <c r="C615" i="6" s="1"/>
  <c r="B614" i="6"/>
  <c r="C614" i="6" s="1"/>
  <c r="B613" i="6"/>
  <c r="C613" i="6" s="1"/>
  <c r="B612" i="6"/>
  <c r="C612" i="6" s="1"/>
  <c r="B611" i="6"/>
  <c r="C611" i="6" s="1"/>
  <c r="B610" i="6"/>
  <c r="C610" i="6" s="1"/>
  <c r="B609" i="6"/>
  <c r="C609" i="6" s="1"/>
  <c r="B608" i="6"/>
  <c r="C608" i="6" s="1"/>
  <c r="B607" i="6"/>
  <c r="C607" i="6" s="1"/>
  <c r="B606" i="6"/>
  <c r="C606" i="6" s="1"/>
  <c r="B605" i="6"/>
  <c r="C605" i="6" s="1"/>
  <c r="B604" i="6"/>
  <c r="C604" i="6" s="1"/>
  <c r="B603" i="6"/>
  <c r="C603" i="6" s="1"/>
  <c r="B602" i="6"/>
  <c r="C602" i="6" s="1"/>
  <c r="B601" i="6"/>
  <c r="C601" i="6" s="1"/>
  <c r="B600" i="6"/>
  <c r="C600" i="6" s="1"/>
  <c r="B599" i="6"/>
  <c r="C599" i="6" s="1"/>
  <c r="B598" i="6"/>
  <c r="C598" i="6" s="1"/>
  <c r="B597" i="6"/>
  <c r="C597" i="6" s="1"/>
  <c r="B596" i="6"/>
  <c r="C596" i="6" s="1"/>
  <c r="B595" i="6"/>
  <c r="C595" i="6" s="1"/>
  <c r="B594" i="6"/>
  <c r="C594" i="6" s="1"/>
  <c r="B593" i="6"/>
  <c r="C593" i="6" s="1"/>
  <c r="B592" i="6"/>
  <c r="C592" i="6" s="1"/>
  <c r="B591" i="6"/>
  <c r="C591" i="6" s="1"/>
  <c r="B590" i="6"/>
  <c r="C590" i="6" s="1"/>
  <c r="B589" i="6"/>
  <c r="C589" i="6" s="1"/>
  <c r="B588" i="6"/>
  <c r="C588" i="6" s="1"/>
  <c r="B587" i="6"/>
  <c r="C587" i="6" s="1"/>
  <c r="B586" i="6"/>
  <c r="C586" i="6" s="1"/>
  <c r="B585" i="6"/>
  <c r="C585" i="6" s="1"/>
  <c r="B584" i="6"/>
  <c r="C584" i="6" s="1"/>
  <c r="B583" i="6"/>
  <c r="C583" i="6" s="1"/>
  <c r="B582" i="6"/>
  <c r="C582" i="6" s="1"/>
  <c r="B581" i="6"/>
  <c r="C581" i="6" s="1"/>
  <c r="B580" i="6"/>
  <c r="C580" i="6" s="1"/>
  <c r="B579" i="6"/>
  <c r="C579" i="6" s="1"/>
  <c r="B578" i="6"/>
  <c r="C578" i="6" s="1"/>
  <c r="B577" i="6"/>
  <c r="C577" i="6" s="1"/>
  <c r="B576" i="6"/>
  <c r="C576" i="6" s="1"/>
  <c r="B575" i="6"/>
  <c r="C575" i="6" s="1"/>
  <c r="B574" i="6"/>
  <c r="C574" i="6" s="1"/>
  <c r="B573" i="6"/>
  <c r="C573" i="6" s="1"/>
  <c r="B572" i="6"/>
  <c r="C572" i="6" s="1"/>
  <c r="B571" i="6"/>
  <c r="C571" i="6" s="1"/>
  <c r="B570" i="6"/>
  <c r="C570" i="6" s="1"/>
  <c r="B569" i="6"/>
  <c r="C569" i="6" s="1"/>
  <c r="B568" i="6"/>
  <c r="C568" i="6" s="1"/>
  <c r="B567" i="6"/>
  <c r="C567" i="6" s="1"/>
  <c r="B566" i="6"/>
  <c r="C566" i="6" s="1"/>
  <c r="B565" i="6"/>
  <c r="C565" i="6" s="1"/>
  <c r="B564" i="6"/>
  <c r="C564" i="6" s="1"/>
  <c r="B563" i="6"/>
  <c r="C563" i="6" s="1"/>
  <c r="B562" i="6"/>
  <c r="C562" i="6" s="1"/>
  <c r="B561" i="6"/>
  <c r="C561" i="6" s="1"/>
  <c r="B560" i="6"/>
  <c r="C560" i="6" s="1"/>
  <c r="B559" i="6"/>
  <c r="C559" i="6" s="1"/>
  <c r="B558" i="6"/>
  <c r="C558" i="6" s="1"/>
  <c r="B557" i="6"/>
  <c r="C557" i="6" s="1"/>
  <c r="B556" i="6"/>
  <c r="C556" i="6" s="1"/>
  <c r="B555" i="6"/>
  <c r="C555" i="6" s="1"/>
  <c r="B554" i="6"/>
  <c r="C554" i="6" s="1"/>
  <c r="B553" i="6"/>
  <c r="C553" i="6" s="1"/>
  <c r="B552" i="6"/>
  <c r="C552" i="6" s="1"/>
  <c r="B551" i="6"/>
  <c r="C551" i="6" s="1"/>
  <c r="B550" i="6"/>
  <c r="C550" i="6" s="1"/>
  <c r="B549" i="6"/>
  <c r="C549" i="6" s="1"/>
  <c r="B548" i="6"/>
  <c r="C548" i="6" s="1"/>
  <c r="B547" i="6"/>
  <c r="C547" i="6" s="1"/>
  <c r="B546" i="6"/>
  <c r="C546" i="6" s="1"/>
  <c r="B545" i="6"/>
  <c r="C545" i="6" s="1"/>
  <c r="B544" i="6"/>
  <c r="C544" i="6" s="1"/>
  <c r="B543" i="6"/>
  <c r="C543" i="6" s="1"/>
  <c r="B542" i="6"/>
  <c r="C542" i="6" s="1"/>
  <c r="B541" i="6"/>
  <c r="C541" i="6" s="1"/>
  <c r="B540" i="6"/>
  <c r="C540" i="6" s="1"/>
  <c r="B539" i="6"/>
  <c r="C539" i="6" s="1"/>
  <c r="B538" i="6"/>
  <c r="C538" i="6" s="1"/>
  <c r="B537" i="6"/>
  <c r="C537" i="6" s="1"/>
  <c r="B536" i="6"/>
  <c r="C536" i="6" s="1"/>
  <c r="B535" i="6"/>
  <c r="C535" i="6" s="1"/>
  <c r="B534" i="6"/>
  <c r="C534" i="6" s="1"/>
  <c r="B533" i="6"/>
  <c r="C533" i="6" s="1"/>
  <c r="B532" i="6"/>
  <c r="C532" i="6" s="1"/>
  <c r="B531" i="6"/>
  <c r="C531" i="6" s="1"/>
  <c r="B530" i="6"/>
  <c r="C530" i="6" s="1"/>
  <c r="B529" i="6"/>
  <c r="C529" i="6" s="1"/>
  <c r="B528" i="6"/>
  <c r="C528" i="6" s="1"/>
  <c r="B527" i="6"/>
  <c r="C527" i="6" s="1"/>
  <c r="B526" i="6"/>
  <c r="C526" i="6" s="1"/>
  <c r="B525" i="6"/>
  <c r="C525" i="6" s="1"/>
  <c r="B524" i="6"/>
  <c r="C524" i="6" s="1"/>
  <c r="B523" i="6"/>
  <c r="C523" i="6" s="1"/>
  <c r="B522" i="6"/>
  <c r="C522" i="6" s="1"/>
  <c r="B521" i="6"/>
  <c r="C521" i="6" s="1"/>
  <c r="B520" i="6"/>
  <c r="C520" i="6" s="1"/>
  <c r="B519" i="6"/>
  <c r="C519" i="6" s="1"/>
  <c r="B518" i="6"/>
  <c r="C518" i="6" s="1"/>
  <c r="B517" i="6"/>
  <c r="C517" i="6" s="1"/>
  <c r="B516" i="6"/>
  <c r="C516" i="6" s="1"/>
  <c r="B515" i="6"/>
  <c r="C515" i="6" s="1"/>
  <c r="B514" i="6"/>
  <c r="C514" i="6" s="1"/>
  <c r="B513" i="6"/>
  <c r="C513" i="6" s="1"/>
  <c r="B512" i="6"/>
  <c r="C512" i="6" s="1"/>
  <c r="B511" i="6"/>
  <c r="C511" i="6" s="1"/>
  <c r="B510" i="6"/>
  <c r="C510" i="6" s="1"/>
  <c r="B509" i="6"/>
  <c r="C509" i="6" s="1"/>
  <c r="B508" i="6"/>
  <c r="C508" i="6" s="1"/>
  <c r="B507" i="6"/>
  <c r="C507" i="6" s="1"/>
  <c r="B506" i="6"/>
  <c r="C506" i="6" s="1"/>
  <c r="B505" i="6"/>
  <c r="C505" i="6" s="1"/>
  <c r="B504" i="6"/>
  <c r="C504" i="6" s="1"/>
  <c r="B503" i="6"/>
  <c r="C503" i="6" s="1"/>
  <c r="B502" i="6"/>
  <c r="C502" i="6" s="1"/>
  <c r="B501" i="6"/>
  <c r="C501" i="6" s="1"/>
  <c r="B500" i="6"/>
  <c r="C500" i="6" s="1"/>
  <c r="B499" i="6"/>
  <c r="C499" i="6" s="1"/>
  <c r="B498" i="6"/>
  <c r="C498" i="6" s="1"/>
  <c r="B497" i="6"/>
  <c r="C497" i="6" s="1"/>
  <c r="B496" i="6"/>
  <c r="C496" i="6" s="1"/>
  <c r="B495" i="6"/>
  <c r="C495" i="6" s="1"/>
  <c r="B494" i="6"/>
  <c r="C494" i="6" s="1"/>
  <c r="B493" i="6"/>
  <c r="C493" i="6" s="1"/>
  <c r="B492" i="6"/>
  <c r="C492" i="6" s="1"/>
  <c r="B491" i="6"/>
  <c r="C491" i="6" s="1"/>
  <c r="B490" i="6"/>
  <c r="C490" i="6" s="1"/>
  <c r="B489" i="6"/>
  <c r="C489" i="6" s="1"/>
  <c r="B488" i="6"/>
  <c r="C488" i="6" s="1"/>
  <c r="B487" i="6"/>
  <c r="C487" i="6" s="1"/>
  <c r="B486" i="6"/>
  <c r="C486" i="6" s="1"/>
  <c r="B485" i="6"/>
  <c r="C485" i="6" s="1"/>
  <c r="B484" i="6"/>
  <c r="C484" i="6" s="1"/>
  <c r="B483" i="6"/>
  <c r="C483" i="6" s="1"/>
  <c r="B482" i="6"/>
  <c r="C482" i="6" s="1"/>
  <c r="B481" i="6"/>
  <c r="C481" i="6" s="1"/>
  <c r="B480" i="6"/>
  <c r="C480" i="6" s="1"/>
  <c r="B479" i="6"/>
  <c r="C479" i="6" s="1"/>
  <c r="B478" i="6"/>
  <c r="C478" i="6" s="1"/>
  <c r="B477" i="6"/>
  <c r="C477" i="6" s="1"/>
  <c r="B476" i="6"/>
  <c r="C476" i="6" s="1"/>
  <c r="B475" i="6"/>
  <c r="C475" i="6" s="1"/>
  <c r="B474" i="6"/>
  <c r="C474" i="6" s="1"/>
  <c r="B473" i="6"/>
  <c r="C473" i="6" s="1"/>
  <c r="B472" i="6"/>
  <c r="C472" i="6" s="1"/>
  <c r="B471" i="6"/>
  <c r="C471" i="6" s="1"/>
  <c r="B470" i="6"/>
  <c r="C470" i="6" s="1"/>
  <c r="B469" i="6"/>
  <c r="C469" i="6" s="1"/>
  <c r="B468" i="6"/>
  <c r="C468" i="6" s="1"/>
  <c r="B467" i="6"/>
  <c r="C467" i="6" s="1"/>
  <c r="B466" i="6"/>
  <c r="C466" i="6" s="1"/>
  <c r="B465" i="6"/>
  <c r="C465" i="6" s="1"/>
  <c r="B464" i="6"/>
  <c r="C464" i="6" s="1"/>
  <c r="B463" i="6"/>
  <c r="C463" i="6" s="1"/>
  <c r="B462" i="6"/>
  <c r="C462" i="6" s="1"/>
  <c r="B461" i="6"/>
  <c r="C461" i="6" s="1"/>
  <c r="B460" i="6"/>
  <c r="C460" i="6" s="1"/>
  <c r="B459" i="6"/>
  <c r="C459" i="6" s="1"/>
  <c r="B458" i="6"/>
  <c r="C458" i="6" s="1"/>
  <c r="B457" i="6"/>
  <c r="C457" i="6" s="1"/>
  <c r="B456" i="6"/>
  <c r="C456" i="6" s="1"/>
  <c r="B455" i="6"/>
  <c r="C455" i="6" s="1"/>
  <c r="B454" i="6"/>
  <c r="C454" i="6" s="1"/>
  <c r="B453" i="6"/>
  <c r="C453" i="6" s="1"/>
  <c r="B452" i="6"/>
  <c r="C452" i="6" s="1"/>
  <c r="B451" i="6"/>
  <c r="C451" i="6" s="1"/>
  <c r="B450" i="6"/>
  <c r="C450" i="6" s="1"/>
  <c r="B449" i="6"/>
  <c r="C449" i="6" s="1"/>
  <c r="B448" i="6"/>
  <c r="C448" i="6" s="1"/>
  <c r="B447" i="6"/>
  <c r="C447" i="6" s="1"/>
  <c r="B446" i="6"/>
  <c r="C446" i="6" s="1"/>
  <c r="B445" i="6"/>
  <c r="C445" i="6" s="1"/>
  <c r="B444" i="6"/>
  <c r="C444" i="6" s="1"/>
  <c r="B443" i="6"/>
  <c r="C443" i="6" s="1"/>
  <c r="B442" i="6"/>
  <c r="C442" i="6" s="1"/>
  <c r="B441" i="6"/>
  <c r="C441" i="6" s="1"/>
  <c r="B440" i="6"/>
  <c r="C440" i="6" s="1"/>
  <c r="B439" i="6"/>
  <c r="C439" i="6" s="1"/>
  <c r="B438" i="6"/>
  <c r="C438" i="6" s="1"/>
  <c r="B437" i="6"/>
  <c r="C437" i="6" s="1"/>
  <c r="B436" i="6"/>
  <c r="C436" i="6" s="1"/>
  <c r="B435" i="6"/>
  <c r="C435" i="6" s="1"/>
  <c r="B434" i="6"/>
  <c r="C434" i="6" s="1"/>
  <c r="B433" i="6"/>
  <c r="C433" i="6" s="1"/>
  <c r="B432" i="6"/>
  <c r="C432" i="6" s="1"/>
  <c r="B431" i="6"/>
  <c r="C431" i="6" s="1"/>
  <c r="B430" i="6"/>
  <c r="C430" i="6" s="1"/>
  <c r="B429" i="6"/>
  <c r="C429" i="6" s="1"/>
  <c r="B428" i="6"/>
  <c r="C428" i="6" s="1"/>
  <c r="B427" i="6"/>
  <c r="C427" i="6" s="1"/>
  <c r="B426" i="6"/>
  <c r="C426" i="6" s="1"/>
  <c r="B425" i="6"/>
  <c r="C425" i="6" s="1"/>
  <c r="B424" i="6"/>
  <c r="C424" i="6" s="1"/>
  <c r="B423" i="6"/>
  <c r="C423" i="6" s="1"/>
  <c r="B422" i="6"/>
  <c r="C422" i="6" s="1"/>
  <c r="B421" i="6"/>
  <c r="C421" i="6" s="1"/>
  <c r="B420" i="6"/>
  <c r="C420" i="6" s="1"/>
  <c r="B419" i="6"/>
  <c r="C419" i="6" s="1"/>
  <c r="B418" i="6"/>
  <c r="C418" i="6" s="1"/>
  <c r="B417" i="6"/>
  <c r="C417" i="6" s="1"/>
  <c r="B416" i="6"/>
  <c r="C416" i="6" s="1"/>
  <c r="B415" i="6"/>
  <c r="C415" i="6" s="1"/>
  <c r="B414" i="6"/>
  <c r="C414" i="6" s="1"/>
  <c r="B413" i="6"/>
  <c r="C413" i="6" s="1"/>
  <c r="B412" i="6"/>
  <c r="C412" i="6" s="1"/>
  <c r="B411" i="6"/>
  <c r="C411" i="6" s="1"/>
  <c r="B410" i="6"/>
  <c r="C410" i="6" s="1"/>
  <c r="B409" i="6"/>
  <c r="C409" i="6" s="1"/>
  <c r="B408" i="6"/>
  <c r="C408" i="6" s="1"/>
  <c r="B407" i="6"/>
  <c r="C407" i="6" s="1"/>
  <c r="B406" i="6"/>
  <c r="C406" i="6" s="1"/>
  <c r="B405" i="6"/>
  <c r="C405" i="6" s="1"/>
  <c r="B404" i="6"/>
  <c r="C404" i="6" s="1"/>
  <c r="B403" i="6"/>
  <c r="C403" i="6" s="1"/>
  <c r="B402" i="6"/>
  <c r="C402" i="6" s="1"/>
  <c r="B401" i="6"/>
  <c r="C401" i="6" s="1"/>
  <c r="B400" i="6"/>
  <c r="C400" i="6" s="1"/>
  <c r="B399" i="6"/>
  <c r="C399" i="6" s="1"/>
  <c r="B398" i="6"/>
  <c r="C398" i="6" s="1"/>
  <c r="B397" i="6"/>
  <c r="C397" i="6" s="1"/>
  <c r="B396" i="6"/>
  <c r="C396" i="6" s="1"/>
  <c r="B395" i="6"/>
  <c r="C395" i="6" s="1"/>
  <c r="B394" i="6"/>
  <c r="C394" i="6" s="1"/>
  <c r="B393" i="6"/>
  <c r="C393" i="6" s="1"/>
  <c r="B392" i="6"/>
  <c r="C392" i="6" s="1"/>
  <c r="B391" i="6"/>
  <c r="C391" i="6" s="1"/>
  <c r="B390" i="6"/>
  <c r="C390" i="6" s="1"/>
  <c r="B389" i="6"/>
  <c r="C389" i="6" s="1"/>
  <c r="B388" i="6"/>
  <c r="C388" i="6" s="1"/>
  <c r="B387" i="6"/>
  <c r="C387" i="6" s="1"/>
  <c r="B386" i="6"/>
  <c r="C386" i="6" s="1"/>
  <c r="B385" i="6"/>
  <c r="C385" i="6" s="1"/>
  <c r="B384" i="6"/>
  <c r="C384" i="6" s="1"/>
  <c r="B383" i="6"/>
  <c r="C383" i="6" s="1"/>
  <c r="B382" i="6"/>
  <c r="C382" i="6" s="1"/>
  <c r="B381" i="6"/>
  <c r="C381" i="6" s="1"/>
  <c r="B380" i="6"/>
  <c r="C380" i="6" s="1"/>
  <c r="B379" i="6"/>
  <c r="C379" i="6" s="1"/>
  <c r="B378" i="6"/>
  <c r="C378" i="6" s="1"/>
  <c r="B377" i="6"/>
  <c r="C377" i="6" s="1"/>
  <c r="B376" i="6"/>
  <c r="C376" i="6" s="1"/>
  <c r="B375" i="6"/>
  <c r="C375" i="6" s="1"/>
  <c r="B374" i="6"/>
  <c r="C374" i="6" s="1"/>
  <c r="B373" i="6"/>
  <c r="C373" i="6" s="1"/>
  <c r="B372" i="6"/>
  <c r="C372" i="6" s="1"/>
  <c r="B371" i="6"/>
  <c r="C371" i="6" s="1"/>
  <c r="B370" i="6"/>
  <c r="C370" i="6" s="1"/>
  <c r="B369" i="6"/>
  <c r="C369" i="6" s="1"/>
  <c r="B368" i="6"/>
  <c r="C368" i="6" s="1"/>
  <c r="B367" i="6"/>
  <c r="C367" i="6" s="1"/>
  <c r="B366" i="6"/>
  <c r="C366" i="6" s="1"/>
  <c r="B365" i="6"/>
  <c r="C365" i="6" s="1"/>
  <c r="B364" i="6"/>
  <c r="C364" i="6" s="1"/>
  <c r="B363" i="6"/>
  <c r="C363" i="6" s="1"/>
  <c r="B362" i="6"/>
  <c r="C362" i="6" s="1"/>
  <c r="B361" i="6"/>
  <c r="C361" i="6" s="1"/>
  <c r="B360" i="6"/>
  <c r="C360" i="6" s="1"/>
  <c r="B359" i="6"/>
  <c r="C359" i="6" s="1"/>
  <c r="B358" i="6"/>
  <c r="C358" i="6" s="1"/>
  <c r="B357" i="6"/>
  <c r="C357" i="6" s="1"/>
  <c r="B356" i="6"/>
  <c r="C356" i="6" s="1"/>
  <c r="B355" i="6"/>
  <c r="C355" i="6" s="1"/>
  <c r="B354" i="6"/>
  <c r="C354" i="6" s="1"/>
  <c r="B353" i="6"/>
  <c r="C353" i="6" s="1"/>
  <c r="B352" i="6"/>
  <c r="C352" i="6" s="1"/>
  <c r="B351" i="6"/>
  <c r="C351" i="6" s="1"/>
  <c r="B350" i="6"/>
  <c r="C350" i="6" s="1"/>
  <c r="B349" i="6"/>
  <c r="C349" i="6" s="1"/>
  <c r="B348" i="6"/>
  <c r="C348" i="6" s="1"/>
  <c r="B347" i="6"/>
  <c r="C347" i="6" s="1"/>
  <c r="B346" i="6"/>
  <c r="C346" i="6" s="1"/>
  <c r="B345" i="6"/>
  <c r="C345" i="6" s="1"/>
  <c r="B344" i="6"/>
  <c r="C344" i="6" s="1"/>
  <c r="B343" i="6"/>
  <c r="C343" i="6" s="1"/>
  <c r="B342" i="6"/>
  <c r="C342" i="6" s="1"/>
  <c r="B341" i="6"/>
  <c r="C341" i="6" s="1"/>
  <c r="B340" i="6"/>
  <c r="C340" i="6" s="1"/>
  <c r="B339" i="6"/>
  <c r="C339" i="6" s="1"/>
  <c r="B338" i="6"/>
  <c r="C338" i="6" s="1"/>
  <c r="B337" i="6"/>
  <c r="C337" i="6" s="1"/>
  <c r="B336" i="6"/>
  <c r="C336" i="6" s="1"/>
  <c r="B335" i="6"/>
  <c r="C335" i="6" s="1"/>
  <c r="B334" i="6"/>
  <c r="C334" i="6" s="1"/>
  <c r="B333" i="6"/>
  <c r="C333" i="6" s="1"/>
  <c r="B332" i="6"/>
  <c r="C332" i="6" s="1"/>
  <c r="B331" i="6"/>
  <c r="C331" i="6" s="1"/>
  <c r="B330" i="6"/>
  <c r="C330" i="6" s="1"/>
  <c r="B329" i="6"/>
  <c r="C329" i="6" s="1"/>
  <c r="B328" i="6"/>
  <c r="C328" i="6" s="1"/>
  <c r="B327" i="6"/>
  <c r="C327" i="6" s="1"/>
  <c r="B326" i="6"/>
  <c r="C326" i="6" s="1"/>
  <c r="B325" i="6"/>
  <c r="C325" i="6" s="1"/>
  <c r="B324" i="6"/>
  <c r="C324" i="6" s="1"/>
  <c r="B323" i="6"/>
  <c r="C323" i="6" s="1"/>
  <c r="B322" i="6"/>
  <c r="C322" i="6" s="1"/>
  <c r="B321" i="6"/>
  <c r="C321" i="6" s="1"/>
  <c r="B320" i="6"/>
  <c r="C320" i="6" s="1"/>
  <c r="B319" i="6"/>
  <c r="C319" i="6" s="1"/>
  <c r="B318" i="6"/>
  <c r="C318" i="6" s="1"/>
  <c r="B317" i="6"/>
  <c r="C317" i="6" s="1"/>
  <c r="B316" i="6"/>
  <c r="C316" i="6" s="1"/>
  <c r="B315" i="6"/>
  <c r="C315" i="6" s="1"/>
  <c r="B314" i="6"/>
  <c r="C314" i="6" s="1"/>
  <c r="B313" i="6"/>
  <c r="C313" i="6" s="1"/>
  <c r="B312" i="6"/>
  <c r="C312" i="6" s="1"/>
  <c r="B311" i="6"/>
  <c r="C311" i="6" s="1"/>
  <c r="B310" i="6"/>
  <c r="C310" i="6" s="1"/>
  <c r="B309" i="6"/>
  <c r="C309" i="6" s="1"/>
  <c r="B308" i="6"/>
  <c r="C308" i="6" s="1"/>
  <c r="B307" i="6"/>
  <c r="C307" i="6" s="1"/>
  <c r="B306" i="6"/>
  <c r="C306" i="6" s="1"/>
  <c r="B305" i="6"/>
  <c r="C305" i="6" s="1"/>
  <c r="B304" i="6"/>
  <c r="C304" i="6" s="1"/>
  <c r="B303" i="6"/>
  <c r="C303" i="6" s="1"/>
  <c r="B302" i="6"/>
  <c r="C302" i="6" s="1"/>
  <c r="B301" i="6"/>
  <c r="C301" i="6" s="1"/>
  <c r="B300" i="6"/>
  <c r="C300" i="6" s="1"/>
  <c r="B299" i="6"/>
  <c r="C299" i="6" s="1"/>
  <c r="B298" i="6"/>
  <c r="C298" i="6" s="1"/>
  <c r="B297" i="6"/>
  <c r="C297" i="6" s="1"/>
  <c r="B296" i="6"/>
  <c r="C296" i="6" s="1"/>
  <c r="B295" i="6"/>
  <c r="C295" i="6" s="1"/>
  <c r="B294" i="6"/>
  <c r="C294" i="6" s="1"/>
  <c r="B293" i="6"/>
  <c r="C293" i="6" s="1"/>
  <c r="B292" i="6"/>
  <c r="C292" i="6" s="1"/>
  <c r="B291" i="6"/>
  <c r="C291" i="6" s="1"/>
  <c r="B290" i="6"/>
  <c r="C290" i="6" s="1"/>
  <c r="B289" i="6"/>
  <c r="C289" i="6" s="1"/>
  <c r="B288" i="6"/>
  <c r="C288" i="6" s="1"/>
  <c r="B287" i="6"/>
  <c r="C287" i="6" s="1"/>
  <c r="B286" i="6"/>
  <c r="C286" i="6" s="1"/>
  <c r="B285" i="6"/>
  <c r="C285" i="6" s="1"/>
  <c r="B284" i="6"/>
  <c r="C284" i="6" s="1"/>
  <c r="B283" i="6"/>
  <c r="C283" i="6" s="1"/>
  <c r="B282" i="6"/>
  <c r="C282" i="6" s="1"/>
  <c r="B281" i="6"/>
  <c r="C281" i="6" s="1"/>
  <c r="B280" i="6"/>
  <c r="C280" i="6" s="1"/>
  <c r="B279" i="6"/>
  <c r="C279" i="6" s="1"/>
  <c r="B278" i="6"/>
  <c r="C278" i="6" s="1"/>
  <c r="B277" i="6"/>
  <c r="C277" i="6" s="1"/>
  <c r="B276" i="6"/>
  <c r="C276" i="6" s="1"/>
  <c r="B275" i="6"/>
  <c r="C275" i="6" s="1"/>
  <c r="B274" i="6"/>
  <c r="C274" i="6" s="1"/>
  <c r="B273" i="6"/>
  <c r="C273" i="6" s="1"/>
  <c r="B272" i="6"/>
  <c r="C272" i="6" s="1"/>
  <c r="B271" i="6"/>
  <c r="C271" i="6" s="1"/>
  <c r="B270" i="6"/>
  <c r="C270" i="6" s="1"/>
  <c r="B269" i="6"/>
  <c r="C269" i="6" s="1"/>
  <c r="B268" i="6"/>
  <c r="C268" i="6" s="1"/>
  <c r="B267" i="6"/>
  <c r="C267" i="6" s="1"/>
  <c r="B266" i="6"/>
  <c r="C266" i="6" s="1"/>
  <c r="B265" i="6"/>
  <c r="C265" i="6" s="1"/>
  <c r="B264" i="6"/>
  <c r="C264" i="6" s="1"/>
  <c r="B263" i="6"/>
  <c r="C263" i="6" s="1"/>
  <c r="B262" i="6"/>
  <c r="C262" i="6" s="1"/>
  <c r="B261" i="6"/>
  <c r="C261" i="6" s="1"/>
  <c r="B260" i="6"/>
  <c r="C260" i="6" s="1"/>
  <c r="B259" i="6"/>
  <c r="C259" i="6" s="1"/>
  <c r="B258" i="6"/>
  <c r="C258" i="6" s="1"/>
  <c r="B257" i="6"/>
  <c r="C257" i="6" s="1"/>
  <c r="B256" i="6"/>
  <c r="C256" i="6" s="1"/>
  <c r="B255" i="6"/>
  <c r="C255" i="6" s="1"/>
  <c r="B254" i="6"/>
  <c r="C254" i="6" s="1"/>
  <c r="B253" i="6"/>
  <c r="C253" i="6" s="1"/>
  <c r="B252" i="6"/>
  <c r="C252" i="6" s="1"/>
  <c r="B251" i="6"/>
  <c r="C251" i="6" s="1"/>
  <c r="B250" i="6"/>
  <c r="C250" i="6" s="1"/>
  <c r="B249" i="6"/>
  <c r="C249" i="6" s="1"/>
  <c r="B248" i="6"/>
  <c r="C248" i="6" s="1"/>
  <c r="B247" i="6"/>
  <c r="C247" i="6" s="1"/>
  <c r="B246" i="6"/>
  <c r="C246" i="6" s="1"/>
  <c r="B245" i="6"/>
  <c r="C245" i="6" s="1"/>
  <c r="B244" i="6"/>
  <c r="C244" i="6" s="1"/>
  <c r="B243" i="6"/>
  <c r="C243" i="6" s="1"/>
  <c r="B242" i="6"/>
  <c r="C242" i="6" s="1"/>
  <c r="B241" i="6"/>
  <c r="C241" i="6" s="1"/>
  <c r="B240" i="6"/>
  <c r="C240" i="6" s="1"/>
  <c r="B239" i="6"/>
  <c r="C239" i="6" s="1"/>
  <c r="B238" i="6"/>
  <c r="C238" i="6" s="1"/>
  <c r="B237" i="6"/>
  <c r="C237" i="6" s="1"/>
  <c r="B236" i="6"/>
  <c r="C236" i="6" s="1"/>
  <c r="B235" i="6"/>
  <c r="C235" i="6" s="1"/>
  <c r="B234" i="6"/>
  <c r="C234" i="6" s="1"/>
  <c r="B233" i="6"/>
  <c r="C233" i="6" s="1"/>
  <c r="B232" i="6"/>
  <c r="C232" i="6" s="1"/>
  <c r="B231" i="6"/>
  <c r="C231" i="6" s="1"/>
  <c r="B230" i="6"/>
  <c r="C230" i="6" s="1"/>
  <c r="B229" i="6"/>
  <c r="C229" i="6" s="1"/>
  <c r="B228" i="6"/>
  <c r="C228" i="6" s="1"/>
  <c r="B227" i="6"/>
  <c r="C227" i="6" s="1"/>
  <c r="B226" i="6"/>
  <c r="C226" i="6" s="1"/>
  <c r="B225" i="6"/>
  <c r="C225" i="6" s="1"/>
  <c r="B224" i="6"/>
  <c r="C224" i="6" s="1"/>
  <c r="B223" i="6"/>
  <c r="C223" i="6" s="1"/>
  <c r="B222" i="6"/>
  <c r="C222" i="6" s="1"/>
  <c r="B221" i="6"/>
  <c r="C221" i="6" s="1"/>
  <c r="B220" i="6"/>
  <c r="C220" i="6" s="1"/>
  <c r="B219" i="6"/>
  <c r="C219" i="6" s="1"/>
  <c r="B218" i="6"/>
  <c r="C218" i="6" s="1"/>
  <c r="B217" i="6"/>
  <c r="C217" i="6" s="1"/>
  <c r="B216" i="6"/>
  <c r="C216" i="6" s="1"/>
  <c r="B215" i="6"/>
  <c r="C215" i="6" s="1"/>
  <c r="B214" i="6"/>
  <c r="C214" i="6" s="1"/>
  <c r="B213" i="6"/>
  <c r="C213" i="6" s="1"/>
  <c r="B212" i="6"/>
  <c r="C212" i="6" s="1"/>
  <c r="B211" i="6"/>
  <c r="C211" i="6" s="1"/>
  <c r="B210" i="6"/>
  <c r="C210" i="6" s="1"/>
  <c r="B209" i="6"/>
  <c r="C209" i="6" s="1"/>
  <c r="B208" i="6"/>
  <c r="C208" i="6" s="1"/>
  <c r="B207" i="6"/>
  <c r="C207" i="6" s="1"/>
  <c r="B206" i="6"/>
  <c r="C206" i="6" s="1"/>
  <c r="B205" i="6"/>
  <c r="C205" i="6" s="1"/>
  <c r="B204" i="6"/>
  <c r="C204" i="6" s="1"/>
  <c r="B203" i="6"/>
  <c r="C203" i="6" s="1"/>
  <c r="B202" i="6"/>
  <c r="C202" i="6" s="1"/>
  <c r="B201" i="6"/>
  <c r="C201" i="6" s="1"/>
  <c r="B200" i="6"/>
  <c r="C200" i="6" s="1"/>
  <c r="B199" i="6"/>
  <c r="C199" i="6" s="1"/>
  <c r="B198" i="6"/>
  <c r="C198" i="6" s="1"/>
  <c r="B197" i="6"/>
  <c r="C197" i="6" s="1"/>
  <c r="B196" i="6"/>
  <c r="C196" i="6" s="1"/>
  <c r="B195" i="6"/>
  <c r="C195" i="6" s="1"/>
  <c r="B194" i="6"/>
  <c r="C194" i="6" s="1"/>
  <c r="B193" i="6"/>
  <c r="C193" i="6" s="1"/>
  <c r="B192" i="6"/>
  <c r="C192" i="6" s="1"/>
  <c r="B191" i="6"/>
  <c r="C191" i="6" s="1"/>
  <c r="B190" i="6"/>
  <c r="C190" i="6" s="1"/>
  <c r="B189" i="6"/>
  <c r="C189" i="6" s="1"/>
  <c r="B188" i="6"/>
  <c r="C188" i="6" s="1"/>
  <c r="B187" i="6"/>
  <c r="C187" i="6" s="1"/>
  <c r="B186" i="6"/>
  <c r="C186" i="6" s="1"/>
  <c r="B185" i="6"/>
  <c r="C185" i="6" s="1"/>
  <c r="B184" i="6"/>
  <c r="C184" i="6" s="1"/>
  <c r="B183" i="6"/>
  <c r="C183" i="6" s="1"/>
  <c r="B182" i="6"/>
  <c r="C182" i="6" s="1"/>
  <c r="B181" i="6"/>
  <c r="C181" i="6" s="1"/>
  <c r="B180" i="6"/>
  <c r="C180" i="6" s="1"/>
  <c r="B179" i="6"/>
  <c r="C179" i="6" s="1"/>
  <c r="B178" i="6"/>
  <c r="C178" i="6" s="1"/>
  <c r="B177" i="6"/>
  <c r="C177" i="6" s="1"/>
  <c r="B176" i="6"/>
  <c r="C176" i="6" s="1"/>
  <c r="B175" i="6"/>
  <c r="C175" i="6" s="1"/>
  <c r="B174" i="6"/>
  <c r="C174" i="6" s="1"/>
  <c r="B173" i="6"/>
  <c r="C173" i="6" s="1"/>
  <c r="B172" i="6"/>
  <c r="C172" i="6" s="1"/>
  <c r="B171" i="6"/>
  <c r="C171" i="6" s="1"/>
  <c r="B170" i="6"/>
  <c r="C170" i="6" s="1"/>
  <c r="B169" i="6"/>
  <c r="C169" i="6" s="1"/>
  <c r="B168" i="6"/>
  <c r="C168" i="6" s="1"/>
  <c r="B167" i="6"/>
  <c r="C167" i="6" s="1"/>
  <c r="B166" i="6"/>
  <c r="C166" i="6" s="1"/>
  <c r="B165" i="6"/>
  <c r="C165" i="6" s="1"/>
  <c r="B164" i="6"/>
  <c r="C164" i="6" s="1"/>
  <c r="B163" i="6"/>
  <c r="C163" i="6" s="1"/>
  <c r="B162" i="6"/>
  <c r="C162" i="6" s="1"/>
  <c r="B161" i="6"/>
  <c r="C161" i="6" s="1"/>
  <c r="B160" i="6"/>
  <c r="C160" i="6" s="1"/>
  <c r="B159" i="6"/>
  <c r="C159" i="6" s="1"/>
  <c r="B158" i="6"/>
  <c r="C158" i="6" s="1"/>
  <c r="B157" i="6"/>
  <c r="C157" i="6" s="1"/>
  <c r="B156" i="6"/>
  <c r="C156" i="6" s="1"/>
  <c r="B155" i="6"/>
  <c r="C155" i="6" s="1"/>
  <c r="B154" i="6"/>
  <c r="C154" i="6" s="1"/>
  <c r="B153" i="6"/>
  <c r="C153" i="6" s="1"/>
  <c r="B152" i="6"/>
  <c r="C152" i="6" s="1"/>
  <c r="B151" i="6"/>
  <c r="C151" i="6" s="1"/>
  <c r="B150" i="6"/>
  <c r="C150" i="6" s="1"/>
  <c r="B149" i="6"/>
  <c r="C149" i="6" s="1"/>
  <c r="B148" i="6"/>
  <c r="C148" i="6" s="1"/>
  <c r="B147" i="6"/>
  <c r="C147" i="6" s="1"/>
  <c r="B146" i="6"/>
  <c r="C146" i="6" s="1"/>
  <c r="B145" i="6"/>
  <c r="C145" i="6" s="1"/>
  <c r="B144" i="6"/>
  <c r="C144" i="6" s="1"/>
  <c r="B143" i="6"/>
  <c r="C143" i="6" s="1"/>
  <c r="B142" i="6"/>
  <c r="C142" i="6" s="1"/>
  <c r="B141" i="6"/>
  <c r="C141" i="6" s="1"/>
  <c r="B140" i="6"/>
  <c r="C140" i="6" s="1"/>
  <c r="B139" i="6"/>
  <c r="C139" i="6" s="1"/>
  <c r="B138" i="6"/>
  <c r="C138" i="6" s="1"/>
  <c r="B137" i="6"/>
  <c r="C137" i="6" s="1"/>
  <c r="B136" i="6"/>
  <c r="C136" i="6" s="1"/>
  <c r="B135" i="6"/>
  <c r="C135" i="6" s="1"/>
  <c r="B134" i="6"/>
  <c r="C134" i="6" s="1"/>
  <c r="B133" i="6"/>
  <c r="C133" i="6" s="1"/>
  <c r="B132" i="6"/>
  <c r="C132" i="6" s="1"/>
  <c r="B131" i="6"/>
  <c r="C131" i="6" s="1"/>
  <c r="B130" i="6"/>
  <c r="C130" i="6" s="1"/>
  <c r="B129" i="6"/>
  <c r="C129" i="6" s="1"/>
  <c r="B128" i="6"/>
  <c r="C128" i="6" s="1"/>
  <c r="B127" i="6"/>
  <c r="C127" i="6" s="1"/>
  <c r="B126" i="6"/>
  <c r="C126" i="6" s="1"/>
  <c r="B125" i="6"/>
  <c r="C125" i="6" s="1"/>
  <c r="B124" i="6"/>
  <c r="C124" i="6" s="1"/>
  <c r="B123" i="6"/>
  <c r="C123" i="6" s="1"/>
  <c r="B122" i="6"/>
  <c r="C122" i="6" s="1"/>
  <c r="B121" i="6"/>
  <c r="C121" i="6" s="1"/>
  <c r="B120" i="6"/>
  <c r="C120" i="6" s="1"/>
  <c r="B119" i="6"/>
  <c r="C119" i="6" s="1"/>
  <c r="B118" i="6"/>
  <c r="C118" i="6" s="1"/>
  <c r="B117" i="6"/>
  <c r="C117" i="6" s="1"/>
  <c r="B116" i="6"/>
  <c r="C116" i="6" s="1"/>
  <c r="B115" i="6"/>
  <c r="C115" i="6" s="1"/>
  <c r="B114" i="6"/>
  <c r="C114" i="6" s="1"/>
  <c r="B113" i="6"/>
  <c r="C113" i="6" s="1"/>
  <c r="B112" i="6"/>
  <c r="C112" i="6" s="1"/>
  <c r="B111" i="6"/>
  <c r="C111" i="6" s="1"/>
  <c r="B110" i="6"/>
  <c r="C110" i="6" s="1"/>
  <c r="B109" i="6"/>
  <c r="C109" i="6" s="1"/>
  <c r="B108" i="6"/>
  <c r="C108" i="6" s="1"/>
  <c r="B107" i="6"/>
  <c r="C107" i="6" s="1"/>
  <c r="B106" i="6"/>
  <c r="C106" i="6" s="1"/>
  <c r="B105" i="6"/>
  <c r="C105" i="6" s="1"/>
  <c r="B104" i="6"/>
  <c r="C104" i="6" s="1"/>
  <c r="B103" i="6"/>
  <c r="C103" i="6" s="1"/>
  <c r="B102" i="6"/>
  <c r="C102" i="6" s="1"/>
  <c r="B101" i="6"/>
  <c r="C101" i="6" s="1"/>
  <c r="B100" i="6"/>
  <c r="C100" i="6" s="1"/>
  <c r="B99" i="6"/>
  <c r="C99" i="6" s="1"/>
  <c r="B98" i="6"/>
  <c r="C98" i="6" s="1"/>
  <c r="B97" i="6"/>
  <c r="C97" i="6" s="1"/>
  <c r="B96" i="6"/>
  <c r="C96" i="6" s="1"/>
  <c r="B95" i="6"/>
  <c r="C95" i="6" s="1"/>
  <c r="B94" i="6"/>
  <c r="C94" i="6" s="1"/>
  <c r="B93" i="6"/>
  <c r="C93" i="6" s="1"/>
  <c r="B92" i="6"/>
  <c r="C92" i="6" s="1"/>
  <c r="B91" i="6"/>
  <c r="C91" i="6" s="1"/>
  <c r="B90" i="6"/>
  <c r="C90" i="6" s="1"/>
  <c r="B89" i="6"/>
  <c r="C89" i="6" s="1"/>
  <c r="B88" i="6"/>
  <c r="C88" i="6" s="1"/>
  <c r="B87" i="6"/>
  <c r="C87" i="6" s="1"/>
  <c r="B86" i="6"/>
  <c r="C86" i="6" s="1"/>
  <c r="B85" i="6"/>
  <c r="C85" i="6" s="1"/>
  <c r="B84" i="6"/>
  <c r="C84" i="6" s="1"/>
  <c r="B83" i="6"/>
  <c r="C83" i="6" s="1"/>
  <c r="B82" i="6"/>
  <c r="C82" i="6" s="1"/>
  <c r="B81" i="6"/>
  <c r="C81" i="6" s="1"/>
  <c r="B80" i="6"/>
  <c r="C80" i="6" s="1"/>
  <c r="B79" i="6"/>
  <c r="C79" i="6" s="1"/>
  <c r="B78" i="6"/>
  <c r="C78" i="6" s="1"/>
  <c r="B77" i="6"/>
  <c r="C77" i="6" s="1"/>
  <c r="B76" i="6"/>
  <c r="C76" i="6" s="1"/>
  <c r="B75" i="6"/>
  <c r="C75" i="6" s="1"/>
  <c r="B74" i="6"/>
  <c r="C74" i="6" s="1"/>
  <c r="B73" i="6"/>
  <c r="C73" i="6" s="1"/>
  <c r="B72" i="6"/>
  <c r="C72" i="6" s="1"/>
  <c r="B71" i="6"/>
  <c r="C71" i="6" s="1"/>
  <c r="B70" i="6"/>
  <c r="C70" i="6" s="1"/>
  <c r="B69" i="6"/>
  <c r="C69" i="6" s="1"/>
  <c r="B68" i="6"/>
  <c r="C68" i="6" s="1"/>
  <c r="B67" i="6"/>
  <c r="C67" i="6" s="1"/>
  <c r="B66" i="6"/>
  <c r="C66" i="6" s="1"/>
  <c r="B65" i="6"/>
  <c r="C65" i="6" s="1"/>
  <c r="B64" i="6"/>
  <c r="C64" i="6" s="1"/>
  <c r="B63" i="6"/>
  <c r="C63" i="6" s="1"/>
  <c r="B62" i="6"/>
  <c r="C62" i="6" s="1"/>
  <c r="B61" i="6"/>
  <c r="C61" i="6" s="1"/>
  <c r="B60" i="6"/>
  <c r="C60" i="6" s="1"/>
  <c r="B59" i="6"/>
  <c r="C59" i="6" s="1"/>
  <c r="B58" i="6"/>
  <c r="C58" i="6" s="1"/>
  <c r="B57" i="6"/>
  <c r="C57" i="6" s="1"/>
  <c r="B56" i="6"/>
  <c r="C56" i="6" s="1"/>
  <c r="B55" i="6"/>
  <c r="C55" i="6" s="1"/>
  <c r="B54" i="6"/>
  <c r="C54" i="6" s="1"/>
  <c r="B53" i="6"/>
  <c r="C53" i="6" s="1"/>
  <c r="B52" i="6"/>
  <c r="C52" i="6" s="1"/>
  <c r="B51" i="6"/>
  <c r="C51" i="6" s="1"/>
  <c r="B50" i="6"/>
  <c r="C50" i="6" s="1"/>
  <c r="B49" i="6"/>
  <c r="C49" i="6" s="1"/>
  <c r="B48" i="6"/>
  <c r="C48" i="6" s="1"/>
  <c r="B47" i="6"/>
  <c r="C47" i="6" s="1"/>
  <c r="B46" i="6"/>
  <c r="C46" i="6" s="1"/>
  <c r="B45" i="6"/>
  <c r="C45" i="6" s="1"/>
  <c r="B44" i="6"/>
  <c r="C44" i="6" s="1"/>
  <c r="B43" i="6"/>
  <c r="C43" i="6" s="1"/>
  <c r="B42" i="6"/>
  <c r="C42" i="6" s="1"/>
  <c r="B41" i="6"/>
  <c r="C41" i="6" s="1"/>
  <c r="B40" i="6"/>
  <c r="C40" i="6" s="1"/>
  <c r="B39" i="6"/>
  <c r="C39" i="6" s="1"/>
  <c r="B38" i="6"/>
  <c r="C38" i="6" s="1"/>
  <c r="B37" i="6"/>
  <c r="C37" i="6" s="1"/>
  <c r="B36" i="6"/>
  <c r="C36" i="6" s="1"/>
  <c r="B35" i="6"/>
  <c r="C35" i="6" s="1"/>
  <c r="B34" i="6"/>
  <c r="C34" i="6" s="1"/>
  <c r="B33" i="6"/>
  <c r="C33" i="6" s="1"/>
  <c r="B32" i="6"/>
  <c r="C32" i="6" s="1"/>
  <c r="B31" i="6"/>
  <c r="C31" i="6" s="1"/>
  <c r="B30" i="6"/>
  <c r="C30" i="6" s="1"/>
  <c r="B29" i="6"/>
  <c r="C29" i="6" s="1"/>
  <c r="B28" i="6"/>
  <c r="C28" i="6" s="1"/>
  <c r="B27" i="6"/>
  <c r="C27" i="6" s="1"/>
  <c r="B26" i="6"/>
  <c r="C26" i="6" s="1"/>
  <c r="B25" i="6"/>
  <c r="C25" i="6" s="1"/>
  <c r="B24" i="6"/>
  <c r="C24" i="6" s="1"/>
  <c r="B23" i="6"/>
  <c r="C23" i="6" s="1"/>
  <c r="B22" i="6"/>
  <c r="C22" i="6" s="1"/>
  <c r="B21" i="6"/>
  <c r="C21" i="6" s="1"/>
  <c r="B20" i="6"/>
  <c r="C20" i="6" s="1"/>
  <c r="B19" i="6"/>
  <c r="C19" i="6" s="1"/>
  <c r="B18" i="6"/>
  <c r="C18" i="6" s="1"/>
  <c r="B17" i="6"/>
  <c r="C17" i="6" s="1"/>
  <c r="B16" i="6"/>
  <c r="C16" i="6" s="1"/>
  <c r="B15" i="6"/>
  <c r="C15" i="6" s="1"/>
  <c r="B14" i="6"/>
  <c r="C14" i="6" s="1"/>
  <c r="B13" i="6"/>
  <c r="C13" i="6" s="1"/>
  <c r="B12" i="6"/>
  <c r="C12" i="6" s="1"/>
  <c r="B11" i="6"/>
  <c r="C11" i="6" s="1"/>
  <c r="B10" i="6"/>
  <c r="C10" i="6" s="1"/>
  <c r="B9" i="6"/>
  <c r="C9" i="6" s="1"/>
  <c r="B8" i="6"/>
  <c r="C8" i="6" s="1"/>
  <c r="B7" i="6"/>
  <c r="C7" i="6" s="1"/>
  <c r="B6" i="6"/>
  <c r="C6" i="6" s="1"/>
  <c r="B5" i="6"/>
  <c r="C5" i="6" s="1"/>
  <c r="B4" i="6"/>
  <c r="C4" i="6" s="1"/>
  <c r="B3" i="6"/>
  <c r="C3" i="6" s="1"/>
  <c r="B2" i="6"/>
  <c r="C2" i="6" s="1"/>
  <c r="B793" i="5"/>
  <c r="C793" i="5" s="1"/>
  <c r="B792" i="5"/>
  <c r="C792" i="5" s="1"/>
  <c r="B791" i="5"/>
  <c r="C791" i="5" s="1"/>
  <c r="B790" i="5"/>
  <c r="C790" i="5" s="1"/>
  <c r="B789" i="5"/>
  <c r="C789" i="5" s="1"/>
  <c r="B788" i="5"/>
  <c r="C788" i="5" s="1"/>
  <c r="B787" i="5"/>
  <c r="C787" i="5" s="1"/>
  <c r="B786" i="5"/>
  <c r="C786" i="5" s="1"/>
  <c r="B785" i="5"/>
  <c r="C785" i="5" s="1"/>
  <c r="B784" i="5"/>
  <c r="C784" i="5" s="1"/>
  <c r="B783" i="5"/>
  <c r="C783" i="5" s="1"/>
  <c r="B782" i="5"/>
  <c r="C782" i="5" s="1"/>
  <c r="B781" i="5"/>
  <c r="C781" i="5" s="1"/>
  <c r="B780" i="5"/>
  <c r="C780" i="5" s="1"/>
  <c r="B779" i="5"/>
  <c r="C779" i="5" s="1"/>
  <c r="B778" i="5"/>
  <c r="C778" i="5" s="1"/>
  <c r="B777" i="5"/>
  <c r="C777" i="5" s="1"/>
  <c r="B776" i="5"/>
  <c r="C776" i="5" s="1"/>
  <c r="B775" i="5"/>
  <c r="C775" i="5" s="1"/>
  <c r="B774" i="5"/>
  <c r="C774" i="5" s="1"/>
  <c r="B773" i="5"/>
  <c r="C773" i="5" s="1"/>
  <c r="B772" i="5"/>
  <c r="C772" i="5" s="1"/>
  <c r="B771" i="5"/>
  <c r="C771" i="5" s="1"/>
  <c r="B770" i="5"/>
  <c r="C770" i="5" s="1"/>
  <c r="B769" i="5"/>
  <c r="C769" i="5" s="1"/>
  <c r="B768" i="5"/>
  <c r="C768" i="5" s="1"/>
  <c r="B767" i="5"/>
  <c r="C767" i="5" s="1"/>
  <c r="B766" i="5"/>
  <c r="C766" i="5" s="1"/>
  <c r="B765" i="5"/>
  <c r="C765" i="5" s="1"/>
  <c r="B764" i="5"/>
  <c r="C764" i="5" s="1"/>
  <c r="B763" i="5"/>
  <c r="C763" i="5" s="1"/>
  <c r="B762" i="5"/>
  <c r="C762" i="5" s="1"/>
  <c r="B761" i="5"/>
  <c r="C761" i="5" s="1"/>
  <c r="B760" i="5"/>
  <c r="C760" i="5" s="1"/>
  <c r="B759" i="5"/>
  <c r="C759" i="5" s="1"/>
  <c r="B758" i="5"/>
  <c r="C758" i="5" s="1"/>
  <c r="B757" i="5"/>
  <c r="C757" i="5" s="1"/>
  <c r="B756" i="5"/>
  <c r="C756" i="5" s="1"/>
  <c r="B755" i="5"/>
  <c r="C755" i="5" s="1"/>
  <c r="B754" i="5"/>
  <c r="C754" i="5" s="1"/>
  <c r="B753" i="5"/>
  <c r="C753" i="5" s="1"/>
  <c r="B752" i="5"/>
  <c r="C752" i="5" s="1"/>
  <c r="B751" i="5"/>
  <c r="C751" i="5" s="1"/>
  <c r="B750" i="5"/>
  <c r="C750" i="5" s="1"/>
  <c r="B749" i="5"/>
  <c r="C749" i="5" s="1"/>
  <c r="B748" i="5"/>
  <c r="C748" i="5" s="1"/>
  <c r="B747" i="5"/>
  <c r="C747" i="5" s="1"/>
  <c r="B746" i="5"/>
  <c r="C746" i="5" s="1"/>
  <c r="B745" i="5"/>
  <c r="C745" i="5" s="1"/>
  <c r="B744" i="5"/>
  <c r="C744" i="5" s="1"/>
  <c r="B743" i="5"/>
  <c r="C743" i="5" s="1"/>
  <c r="B742" i="5"/>
  <c r="C742" i="5" s="1"/>
  <c r="B741" i="5"/>
  <c r="C741" i="5" s="1"/>
  <c r="B740" i="5"/>
  <c r="C740" i="5" s="1"/>
  <c r="B739" i="5"/>
  <c r="C739" i="5" s="1"/>
  <c r="B738" i="5"/>
  <c r="C738" i="5" s="1"/>
  <c r="B737" i="5"/>
  <c r="C737" i="5" s="1"/>
  <c r="B736" i="5"/>
  <c r="C736" i="5" s="1"/>
  <c r="B735" i="5"/>
  <c r="C735" i="5" s="1"/>
  <c r="B734" i="5"/>
  <c r="C734" i="5" s="1"/>
  <c r="B733" i="5"/>
  <c r="C733" i="5" s="1"/>
  <c r="B732" i="5"/>
  <c r="C732" i="5" s="1"/>
  <c r="B731" i="5"/>
  <c r="C731" i="5" s="1"/>
  <c r="B730" i="5"/>
  <c r="C730" i="5" s="1"/>
  <c r="B729" i="5"/>
  <c r="C729" i="5" s="1"/>
  <c r="B728" i="5"/>
  <c r="C728" i="5" s="1"/>
  <c r="B727" i="5"/>
  <c r="C727" i="5" s="1"/>
  <c r="B726" i="5"/>
  <c r="C726" i="5" s="1"/>
  <c r="B725" i="5"/>
  <c r="C725" i="5" s="1"/>
  <c r="B724" i="5"/>
  <c r="C724" i="5" s="1"/>
  <c r="B723" i="5"/>
  <c r="C723" i="5" s="1"/>
  <c r="B722" i="5"/>
  <c r="C722" i="5" s="1"/>
  <c r="B721" i="5"/>
  <c r="C721" i="5" s="1"/>
  <c r="B720" i="5"/>
  <c r="C720" i="5" s="1"/>
  <c r="B719" i="5"/>
  <c r="C719" i="5" s="1"/>
  <c r="B718" i="5"/>
  <c r="C718" i="5" s="1"/>
  <c r="B717" i="5"/>
  <c r="C717" i="5" s="1"/>
  <c r="B716" i="5"/>
  <c r="C716" i="5" s="1"/>
  <c r="B715" i="5"/>
  <c r="C715" i="5" s="1"/>
  <c r="B714" i="5"/>
  <c r="C714" i="5" s="1"/>
  <c r="B713" i="5"/>
  <c r="C713" i="5" s="1"/>
  <c r="B712" i="5"/>
  <c r="C712" i="5" s="1"/>
  <c r="B711" i="5"/>
  <c r="C711" i="5" s="1"/>
  <c r="B710" i="5"/>
  <c r="C710" i="5" s="1"/>
  <c r="B709" i="5"/>
  <c r="C709" i="5" s="1"/>
  <c r="B708" i="5"/>
  <c r="C708" i="5" s="1"/>
  <c r="B707" i="5"/>
  <c r="C707" i="5" s="1"/>
  <c r="B706" i="5"/>
  <c r="C706" i="5" s="1"/>
  <c r="B705" i="5"/>
  <c r="C705" i="5" s="1"/>
  <c r="B704" i="5"/>
  <c r="C704" i="5" s="1"/>
  <c r="B703" i="5"/>
  <c r="C703" i="5" s="1"/>
  <c r="B702" i="5"/>
  <c r="C702" i="5" s="1"/>
  <c r="B701" i="5"/>
  <c r="C701" i="5" s="1"/>
  <c r="B700" i="5"/>
  <c r="C700" i="5" s="1"/>
  <c r="B699" i="5"/>
  <c r="C699" i="5" s="1"/>
  <c r="B698" i="5"/>
  <c r="C698" i="5" s="1"/>
  <c r="B697" i="5"/>
  <c r="C697" i="5" s="1"/>
  <c r="B696" i="5"/>
  <c r="C696" i="5" s="1"/>
  <c r="B695" i="5"/>
  <c r="C695" i="5" s="1"/>
  <c r="B694" i="5"/>
  <c r="C694" i="5" s="1"/>
  <c r="B693" i="5"/>
  <c r="C693" i="5" s="1"/>
  <c r="B692" i="5"/>
  <c r="C692" i="5" s="1"/>
  <c r="B691" i="5"/>
  <c r="C691" i="5" s="1"/>
  <c r="B690" i="5"/>
  <c r="C690" i="5" s="1"/>
  <c r="B689" i="5"/>
  <c r="C689" i="5" s="1"/>
  <c r="B688" i="5"/>
  <c r="C688" i="5" s="1"/>
  <c r="B687" i="5"/>
  <c r="C687" i="5" s="1"/>
  <c r="B686" i="5"/>
  <c r="C686" i="5" s="1"/>
  <c r="B685" i="5"/>
  <c r="C685" i="5" s="1"/>
  <c r="B684" i="5"/>
  <c r="C684" i="5" s="1"/>
  <c r="B683" i="5"/>
  <c r="C683" i="5" s="1"/>
  <c r="B682" i="5"/>
  <c r="C682" i="5" s="1"/>
  <c r="B681" i="5"/>
  <c r="C681" i="5" s="1"/>
  <c r="B680" i="5"/>
  <c r="C680" i="5" s="1"/>
  <c r="B679" i="5"/>
  <c r="C679" i="5" s="1"/>
  <c r="B678" i="5"/>
  <c r="C678" i="5" s="1"/>
  <c r="B677" i="5"/>
  <c r="C677" i="5" s="1"/>
  <c r="B676" i="5"/>
  <c r="C676" i="5" s="1"/>
  <c r="B675" i="5"/>
  <c r="C675" i="5" s="1"/>
  <c r="B674" i="5"/>
  <c r="C674" i="5" s="1"/>
  <c r="B673" i="5"/>
  <c r="C673" i="5" s="1"/>
  <c r="B672" i="5"/>
  <c r="C672" i="5" s="1"/>
  <c r="B671" i="5"/>
  <c r="C671" i="5" s="1"/>
  <c r="B670" i="5"/>
  <c r="C670" i="5" s="1"/>
  <c r="B669" i="5"/>
  <c r="C669" i="5" s="1"/>
  <c r="B668" i="5"/>
  <c r="C668" i="5" s="1"/>
  <c r="B667" i="5"/>
  <c r="C667" i="5" s="1"/>
  <c r="B666" i="5"/>
  <c r="C666" i="5" s="1"/>
  <c r="B665" i="5"/>
  <c r="C665" i="5" s="1"/>
  <c r="B664" i="5"/>
  <c r="C664" i="5" s="1"/>
  <c r="B663" i="5"/>
  <c r="C663" i="5" s="1"/>
  <c r="B662" i="5"/>
  <c r="C662" i="5" s="1"/>
  <c r="B661" i="5"/>
  <c r="C661" i="5" s="1"/>
  <c r="B660" i="5"/>
  <c r="C660" i="5" s="1"/>
  <c r="B659" i="5"/>
  <c r="C659" i="5" s="1"/>
  <c r="B658" i="5"/>
  <c r="C658" i="5" s="1"/>
  <c r="B657" i="5"/>
  <c r="C657" i="5" s="1"/>
  <c r="B656" i="5"/>
  <c r="C656" i="5" s="1"/>
  <c r="B655" i="5"/>
  <c r="C655" i="5" s="1"/>
  <c r="B654" i="5"/>
  <c r="C654" i="5" s="1"/>
  <c r="B653" i="5"/>
  <c r="C653" i="5" s="1"/>
  <c r="B652" i="5"/>
  <c r="C652" i="5" s="1"/>
  <c r="B651" i="5"/>
  <c r="C651" i="5" s="1"/>
  <c r="B650" i="5"/>
  <c r="C650" i="5" s="1"/>
  <c r="B649" i="5"/>
  <c r="C649" i="5" s="1"/>
  <c r="B648" i="5"/>
  <c r="C648" i="5" s="1"/>
  <c r="B647" i="5"/>
  <c r="C647" i="5" s="1"/>
  <c r="B646" i="5"/>
  <c r="C646" i="5" s="1"/>
  <c r="B645" i="5"/>
  <c r="C645" i="5" s="1"/>
  <c r="B644" i="5"/>
  <c r="C644" i="5" s="1"/>
  <c r="B643" i="5"/>
  <c r="C643" i="5" s="1"/>
  <c r="B642" i="5"/>
  <c r="C642" i="5" s="1"/>
  <c r="B641" i="5"/>
  <c r="C641" i="5" s="1"/>
  <c r="B640" i="5"/>
  <c r="C640" i="5" s="1"/>
  <c r="B639" i="5"/>
  <c r="C639" i="5" s="1"/>
  <c r="B638" i="5"/>
  <c r="C638" i="5" s="1"/>
  <c r="B637" i="5"/>
  <c r="C637" i="5" s="1"/>
  <c r="B636" i="5"/>
  <c r="C636" i="5" s="1"/>
  <c r="B635" i="5"/>
  <c r="C635" i="5" s="1"/>
  <c r="B634" i="5"/>
  <c r="C634" i="5" s="1"/>
  <c r="B633" i="5"/>
  <c r="C633" i="5" s="1"/>
  <c r="B632" i="5"/>
  <c r="C632" i="5" s="1"/>
  <c r="B631" i="5"/>
  <c r="C631" i="5" s="1"/>
  <c r="B630" i="5"/>
  <c r="C630" i="5" s="1"/>
  <c r="B629" i="5"/>
  <c r="C629" i="5" s="1"/>
  <c r="B628" i="5"/>
  <c r="C628" i="5" s="1"/>
  <c r="B627" i="5"/>
  <c r="C627" i="5" s="1"/>
  <c r="B626" i="5"/>
  <c r="C626" i="5" s="1"/>
  <c r="B625" i="5"/>
  <c r="C625" i="5" s="1"/>
  <c r="B624" i="5"/>
  <c r="C624" i="5" s="1"/>
  <c r="B623" i="5"/>
  <c r="C623" i="5" s="1"/>
  <c r="B622" i="5"/>
  <c r="C622" i="5" s="1"/>
  <c r="B621" i="5"/>
  <c r="C621" i="5" s="1"/>
  <c r="B620" i="5"/>
  <c r="C620" i="5" s="1"/>
  <c r="B619" i="5"/>
  <c r="C619" i="5" s="1"/>
  <c r="B618" i="5"/>
  <c r="C618" i="5" s="1"/>
  <c r="B617" i="5"/>
  <c r="C617" i="5" s="1"/>
  <c r="B616" i="5"/>
  <c r="C616" i="5" s="1"/>
  <c r="B615" i="5"/>
  <c r="C615" i="5" s="1"/>
  <c r="B614" i="5"/>
  <c r="C614" i="5" s="1"/>
  <c r="B613" i="5"/>
  <c r="C613" i="5" s="1"/>
  <c r="B612" i="5"/>
  <c r="C612" i="5" s="1"/>
  <c r="B611" i="5"/>
  <c r="C611" i="5" s="1"/>
  <c r="B610" i="5"/>
  <c r="C610" i="5" s="1"/>
  <c r="B609" i="5"/>
  <c r="C609" i="5" s="1"/>
  <c r="B608" i="5"/>
  <c r="C608" i="5" s="1"/>
  <c r="B607" i="5"/>
  <c r="C607" i="5" s="1"/>
  <c r="B606" i="5"/>
  <c r="C606" i="5" s="1"/>
  <c r="B605" i="5"/>
  <c r="C605" i="5" s="1"/>
  <c r="B604" i="5"/>
  <c r="C604" i="5" s="1"/>
  <c r="B603" i="5"/>
  <c r="C603" i="5" s="1"/>
  <c r="B602" i="5"/>
  <c r="C602" i="5" s="1"/>
  <c r="B601" i="5"/>
  <c r="C601" i="5" s="1"/>
  <c r="B600" i="5"/>
  <c r="C600" i="5" s="1"/>
  <c r="B599" i="5"/>
  <c r="C599" i="5" s="1"/>
  <c r="B598" i="5"/>
  <c r="C598" i="5" s="1"/>
  <c r="B597" i="5"/>
  <c r="C597" i="5" s="1"/>
  <c r="B596" i="5"/>
  <c r="C596" i="5" s="1"/>
  <c r="B595" i="5"/>
  <c r="C595" i="5" s="1"/>
  <c r="B594" i="5"/>
  <c r="C594" i="5" s="1"/>
  <c r="B593" i="5"/>
  <c r="C593" i="5" s="1"/>
  <c r="B592" i="5"/>
  <c r="C592" i="5" s="1"/>
  <c r="B591" i="5"/>
  <c r="C591" i="5" s="1"/>
  <c r="B590" i="5"/>
  <c r="C590" i="5" s="1"/>
  <c r="B589" i="5"/>
  <c r="C589" i="5" s="1"/>
  <c r="B588" i="5"/>
  <c r="C588" i="5" s="1"/>
  <c r="B587" i="5"/>
  <c r="C587" i="5" s="1"/>
  <c r="B586" i="5"/>
  <c r="C586" i="5" s="1"/>
  <c r="B585" i="5"/>
  <c r="C585" i="5" s="1"/>
  <c r="B584" i="5"/>
  <c r="C584" i="5" s="1"/>
  <c r="B583" i="5"/>
  <c r="C583" i="5" s="1"/>
  <c r="B582" i="5"/>
  <c r="C582" i="5" s="1"/>
  <c r="B581" i="5"/>
  <c r="C581" i="5" s="1"/>
  <c r="B580" i="5"/>
  <c r="C580" i="5" s="1"/>
  <c r="B579" i="5"/>
  <c r="C579" i="5" s="1"/>
  <c r="B578" i="5"/>
  <c r="C578" i="5" s="1"/>
  <c r="B577" i="5"/>
  <c r="C577" i="5" s="1"/>
  <c r="B576" i="5"/>
  <c r="C576" i="5" s="1"/>
  <c r="B575" i="5"/>
  <c r="C575" i="5" s="1"/>
  <c r="B574" i="5"/>
  <c r="C574" i="5" s="1"/>
  <c r="B573" i="5"/>
  <c r="C573" i="5" s="1"/>
  <c r="B572" i="5"/>
  <c r="C572" i="5" s="1"/>
  <c r="B571" i="5"/>
  <c r="C571" i="5" s="1"/>
  <c r="B570" i="5"/>
  <c r="C570" i="5" s="1"/>
  <c r="B569" i="5"/>
  <c r="C569" i="5" s="1"/>
  <c r="B568" i="5"/>
  <c r="C568" i="5" s="1"/>
  <c r="B567" i="5"/>
  <c r="C567" i="5" s="1"/>
  <c r="B566" i="5"/>
  <c r="C566" i="5" s="1"/>
  <c r="B565" i="5"/>
  <c r="C565" i="5" s="1"/>
  <c r="B564" i="5"/>
  <c r="C564" i="5" s="1"/>
  <c r="B563" i="5"/>
  <c r="C563" i="5" s="1"/>
  <c r="B562" i="5"/>
  <c r="C562" i="5" s="1"/>
  <c r="B561" i="5"/>
  <c r="C561" i="5" s="1"/>
  <c r="B560" i="5"/>
  <c r="C560" i="5" s="1"/>
  <c r="B559" i="5"/>
  <c r="C559" i="5" s="1"/>
  <c r="B558" i="5"/>
  <c r="C558" i="5" s="1"/>
  <c r="B557" i="5"/>
  <c r="C557" i="5" s="1"/>
  <c r="B556" i="5"/>
  <c r="C556" i="5" s="1"/>
  <c r="B555" i="5"/>
  <c r="C555" i="5" s="1"/>
  <c r="B554" i="5"/>
  <c r="C554" i="5" s="1"/>
  <c r="B553" i="5"/>
  <c r="C553" i="5" s="1"/>
  <c r="B552" i="5"/>
  <c r="C552" i="5" s="1"/>
  <c r="B551" i="5"/>
  <c r="C551" i="5" s="1"/>
  <c r="B550" i="5"/>
  <c r="C550" i="5" s="1"/>
  <c r="B549" i="5"/>
  <c r="C549" i="5" s="1"/>
  <c r="B548" i="5"/>
  <c r="C548" i="5" s="1"/>
  <c r="B547" i="5"/>
  <c r="C547" i="5" s="1"/>
  <c r="B546" i="5"/>
  <c r="C546" i="5" s="1"/>
  <c r="B545" i="5"/>
  <c r="C545" i="5" s="1"/>
  <c r="B544" i="5"/>
  <c r="C544" i="5" s="1"/>
  <c r="B543" i="5"/>
  <c r="C543" i="5" s="1"/>
  <c r="B542" i="5"/>
  <c r="C542" i="5" s="1"/>
  <c r="B541" i="5"/>
  <c r="C541" i="5" s="1"/>
  <c r="B540" i="5"/>
  <c r="C540" i="5" s="1"/>
  <c r="B539" i="5"/>
  <c r="C539" i="5" s="1"/>
  <c r="B538" i="5"/>
  <c r="C538" i="5" s="1"/>
  <c r="B537" i="5"/>
  <c r="C537" i="5" s="1"/>
  <c r="B536" i="5"/>
  <c r="C536" i="5" s="1"/>
  <c r="B535" i="5"/>
  <c r="C535" i="5" s="1"/>
  <c r="B534" i="5"/>
  <c r="C534" i="5" s="1"/>
  <c r="B533" i="5"/>
  <c r="C533" i="5" s="1"/>
  <c r="B532" i="5"/>
  <c r="C532" i="5" s="1"/>
  <c r="B531" i="5"/>
  <c r="C531" i="5" s="1"/>
  <c r="B530" i="5"/>
  <c r="C530" i="5" s="1"/>
  <c r="B529" i="5"/>
  <c r="C529" i="5" s="1"/>
  <c r="B528" i="5"/>
  <c r="C528" i="5" s="1"/>
  <c r="B527" i="5"/>
  <c r="C527" i="5" s="1"/>
  <c r="B526" i="5"/>
  <c r="C526" i="5" s="1"/>
  <c r="B525" i="5"/>
  <c r="C525" i="5" s="1"/>
  <c r="B524" i="5"/>
  <c r="C524" i="5" s="1"/>
  <c r="B523" i="5"/>
  <c r="C523" i="5" s="1"/>
  <c r="B522" i="5"/>
  <c r="C522" i="5" s="1"/>
  <c r="B521" i="5"/>
  <c r="C521" i="5" s="1"/>
  <c r="B520" i="5"/>
  <c r="C520" i="5" s="1"/>
  <c r="B519" i="5"/>
  <c r="C519" i="5" s="1"/>
  <c r="B518" i="5"/>
  <c r="C518" i="5" s="1"/>
  <c r="B517" i="5"/>
  <c r="C517" i="5" s="1"/>
  <c r="B516" i="5"/>
  <c r="C516" i="5" s="1"/>
  <c r="B515" i="5"/>
  <c r="C515" i="5" s="1"/>
  <c r="B514" i="5"/>
  <c r="C514" i="5" s="1"/>
  <c r="B513" i="5"/>
  <c r="C513" i="5" s="1"/>
  <c r="B512" i="5"/>
  <c r="C512" i="5" s="1"/>
  <c r="B511" i="5"/>
  <c r="C511" i="5" s="1"/>
  <c r="B510" i="5"/>
  <c r="C510" i="5" s="1"/>
  <c r="B509" i="5"/>
  <c r="C509" i="5" s="1"/>
  <c r="B508" i="5"/>
  <c r="C508" i="5" s="1"/>
  <c r="B507" i="5"/>
  <c r="C507" i="5" s="1"/>
  <c r="B506" i="5"/>
  <c r="C506" i="5" s="1"/>
  <c r="B505" i="5"/>
  <c r="C505" i="5" s="1"/>
  <c r="B504" i="5"/>
  <c r="C504" i="5" s="1"/>
  <c r="B503" i="5"/>
  <c r="C503" i="5" s="1"/>
  <c r="B502" i="5"/>
  <c r="C502" i="5" s="1"/>
  <c r="B501" i="5"/>
  <c r="C501" i="5" s="1"/>
  <c r="B500" i="5"/>
  <c r="C500" i="5" s="1"/>
  <c r="B499" i="5"/>
  <c r="C499" i="5" s="1"/>
  <c r="B498" i="5"/>
  <c r="C498" i="5" s="1"/>
  <c r="B497" i="5"/>
  <c r="C497" i="5" s="1"/>
  <c r="B496" i="5"/>
  <c r="C496" i="5" s="1"/>
  <c r="B495" i="5"/>
  <c r="C495" i="5" s="1"/>
  <c r="B494" i="5"/>
  <c r="C494" i="5" s="1"/>
  <c r="B493" i="5"/>
  <c r="C493" i="5" s="1"/>
  <c r="B492" i="5"/>
  <c r="C492" i="5" s="1"/>
  <c r="B491" i="5"/>
  <c r="C491" i="5" s="1"/>
  <c r="B490" i="5"/>
  <c r="C490" i="5" s="1"/>
  <c r="B489" i="5"/>
  <c r="C489" i="5" s="1"/>
  <c r="B488" i="5"/>
  <c r="C488" i="5" s="1"/>
  <c r="B487" i="5"/>
  <c r="C487" i="5" s="1"/>
  <c r="B486" i="5"/>
  <c r="C486" i="5" s="1"/>
  <c r="B485" i="5"/>
  <c r="C485" i="5" s="1"/>
  <c r="B484" i="5"/>
  <c r="C484" i="5" s="1"/>
  <c r="B483" i="5"/>
  <c r="C483" i="5" s="1"/>
  <c r="B482" i="5"/>
  <c r="C482" i="5" s="1"/>
  <c r="B481" i="5"/>
  <c r="C481" i="5" s="1"/>
  <c r="B480" i="5"/>
  <c r="C480" i="5" s="1"/>
  <c r="B479" i="5"/>
  <c r="C479" i="5" s="1"/>
  <c r="B478" i="5"/>
  <c r="C478" i="5" s="1"/>
  <c r="B477" i="5"/>
  <c r="C477" i="5" s="1"/>
  <c r="B476" i="5"/>
  <c r="C476" i="5" s="1"/>
  <c r="B475" i="5"/>
  <c r="C475" i="5" s="1"/>
  <c r="B474" i="5"/>
  <c r="C474" i="5" s="1"/>
  <c r="B473" i="5"/>
  <c r="C473" i="5" s="1"/>
  <c r="B472" i="5"/>
  <c r="C472" i="5" s="1"/>
  <c r="B471" i="5"/>
  <c r="C471" i="5" s="1"/>
  <c r="B470" i="5"/>
  <c r="C470" i="5" s="1"/>
  <c r="B469" i="5"/>
  <c r="C469" i="5" s="1"/>
  <c r="B468" i="5"/>
  <c r="C468" i="5" s="1"/>
  <c r="B467" i="5"/>
  <c r="C467" i="5" s="1"/>
  <c r="B466" i="5"/>
  <c r="C466" i="5" s="1"/>
  <c r="B465" i="5"/>
  <c r="C465" i="5" s="1"/>
  <c r="B464" i="5"/>
  <c r="C464" i="5" s="1"/>
  <c r="B463" i="5"/>
  <c r="C463" i="5" s="1"/>
  <c r="B462" i="5"/>
  <c r="C462" i="5" s="1"/>
  <c r="B461" i="5"/>
  <c r="C461" i="5" s="1"/>
  <c r="B460" i="5"/>
  <c r="C460" i="5" s="1"/>
  <c r="B459" i="5"/>
  <c r="C459" i="5" s="1"/>
  <c r="B458" i="5"/>
  <c r="C458" i="5" s="1"/>
  <c r="B457" i="5"/>
  <c r="C457" i="5" s="1"/>
  <c r="B456" i="5"/>
  <c r="C456" i="5" s="1"/>
  <c r="B455" i="5"/>
  <c r="C455" i="5" s="1"/>
  <c r="B454" i="5"/>
  <c r="C454" i="5" s="1"/>
  <c r="B453" i="5"/>
  <c r="C453" i="5" s="1"/>
  <c r="B452" i="5"/>
  <c r="C452" i="5" s="1"/>
  <c r="B451" i="5"/>
  <c r="C451" i="5" s="1"/>
  <c r="B450" i="5"/>
  <c r="C450" i="5" s="1"/>
  <c r="B449" i="5"/>
  <c r="C449" i="5" s="1"/>
  <c r="B448" i="5"/>
  <c r="C448" i="5" s="1"/>
  <c r="B447" i="5"/>
  <c r="C447" i="5" s="1"/>
  <c r="B446" i="5"/>
  <c r="C446" i="5" s="1"/>
  <c r="B445" i="5"/>
  <c r="C445" i="5" s="1"/>
  <c r="B444" i="5"/>
  <c r="C444" i="5" s="1"/>
  <c r="B443" i="5"/>
  <c r="C443" i="5" s="1"/>
  <c r="B442" i="5"/>
  <c r="C442" i="5" s="1"/>
  <c r="B441" i="5"/>
  <c r="C441" i="5" s="1"/>
  <c r="B440" i="5"/>
  <c r="C440" i="5" s="1"/>
  <c r="B439" i="5"/>
  <c r="C439" i="5" s="1"/>
  <c r="B438" i="5"/>
  <c r="C438" i="5" s="1"/>
  <c r="B437" i="5"/>
  <c r="C437" i="5" s="1"/>
  <c r="B436" i="5"/>
  <c r="C436" i="5" s="1"/>
  <c r="B435" i="5"/>
  <c r="C435" i="5" s="1"/>
  <c r="B434" i="5"/>
  <c r="C434" i="5" s="1"/>
  <c r="B433" i="5"/>
  <c r="C433" i="5" s="1"/>
  <c r="B432" i="5"/>
  <c r="C432" i="5" s="1"/>
  <c r="B431" i="5"/>
  <c r="C431" i="5" s="1"/>
  <c r="B430" i="5"/>
  <c r="C430" i="5" s="1"/>
  <c r="B429" i="5"/>
  <c r="C429" i="5" s="1"/>
  <c r="B428" i="5"/>
  <c r="C428" i="5" s="1"/>
  <c r="B427" i="5"/>
  <c r="C427" i="5" s="1"/>
  <c r="B426" i="5"/>
  <c r="C426" i="5" s="1"/>
  <c r="B425" i="5"/>
  <c r="C425" i="5" s="1"/>
  <c r="B424" i="5"/>
  <c r="C424" i="5" s="1"/>
  <c r="B423" i="5"/>
  <c r="C423" i="5" s="1"/>
  <c r="B422" i="5"/>
  <c r="C422" i="5" s="1"/>
  <c r="B421" i="5"/>
  <c r="C421" i="5" s="1"/>
  <c r="B420" i="5"/>
  <c r="C420" i="5" s="1"/>
  <c r="B419" i="5"/>
  <c r="C419" i="5" s="1"/>
  <c r="B418" i="5"/>
  <c r="C418" i="5" s="1"/>
  <c r="B417" i="5"/>
  <c r="C417" i="5" s="1"/>
  <c r="B416" i="5"/>
  <c r="C416" i="5" s="1"/>
  <c r="B415" i="5"/>
  <c r="C415" i="5" s="1"/>
  <c r="B414" i="5"/>
  <c r="C414" i="5" s="1"/>
  <c r="B413" i="5"/>
  <c r="C413" i="5" s="1"/>
  <c r="B412" i="5"/>
  <c r="C412" i="5" s="1"/>
  <c r="B411" i="5"/>
  <c r="C411" i="5" s="1"/>
  <c r="B410" i="5"/>
  <c r="C410" i="5" s="1"/>
  <c r="B409" i="5"/>
  <c r="C409" i="5" s="1"/>
  <c r="B408" i="5"/>
  <c r="C408" i="5" s="1"/>
  <c r="B407" i="5"/>
  <c r="C407" i="5" s="1"/>
  <c r="B406" i="5"/>
  <c r="C406" i="5" s="1"/>
  <c r="B405" i="5"/>
  <c r="C405" i="5" s="1"/>
  <c r="B404" i="5"/>
  <c r="C404" i="5" s="1"/>
  <c r="B403" i="5"/>
  <c r="C403" i="5" s="1"/>
  <c r="B402" i="5"/>
  <c r="C402" i="5" s="1"/>
  <c r="B401" i="5"/>
  <c r="C401" i="5" s="1"/>
  <c r="B400" i="5"/>
  <c r="C400" i="5" s="1"/>
  <c r="B399" i="5"/>
  <c r="C399" i="5" s="1"/>
  <c r="B398" i="5"/>
  <c r="C398" i="5" s="1"/>
  <c r="B397" i="5"/>
  <c r="C397" i="5" s="1"/>
  <c r="B396" i="5"/>
  <c r="C396" i="5" s="1"/>
  <c r="B395" i="5"/>
  <c r="C395" i="5" s="1"/>
  <c r="B394" i="5"/>
  <c r="C394" i="5" s="1"/>
  <c r="B393" i="5"/>
  <c r="C393" i="5" s="1"/>
  <c r="B392" i="5"/>
  <c r="C392" i="5" s="1"/>
  <c r="B391" i="5"/>
  <c r="C391" i="5" s="1"/>
  <c r="B390" i="5"/>
  <c r="C390" i="5" s="1"/>
  <c r="B389" i="5"/>
  <c r="C389" i="5" s="1"/>
  <c r="B388" i="5"/>
  <c r="C388" i="5" s="1"/>
  <c r="B387" i="5"/>
  <c r="C387" i="5" s="1"/>
  <c r="B386" i="5"/>
  <c r="C386" i="5" s="1"/>
  <c r="B385" i="5"/>
  <c r="C385" i="5" s="1"/>
  <c r="B384" i="5"/>
  <c r="C384" i="5" s="1"/>
  <c r="B383" i="5"/>
  <c r="C383" i="5" s="1"/>
  <c r="B382" i="5"/>
  <c r="C382" i="5" s="1"/>
  <c r="B381" i="5"/>
  <c r="C381" i="5" s="1"/>
  <c r="B380" i="5"/>
  <c r="C380" i="5" s="1"/>
  <c r="B379" i="5"/>
  <c r="C379" i="5" s="1"/>
  <c r="B378" i="5"/>
  <c r="C378" i="5" s="1"/>
  <c r="B377" i="5"/>
  <c r="C377" i="5" s="1"/>
  <c r="B376" i="5"/>
  <c r="C376" i="5" s="1"/>
  <c r="B375" i="5"/>
  <c r="C375" i="5" s="1"/>
  <c r="B374" i="5"/>
  <c r="C374" i="5" s="1"/>
  <c r="B373" i="5"/>
  <c r="C373" i="5" s="1"/>
  <c r="B372" i="5"/>
  <c r="C372" i="5" s="1"/>
  <c r="B371" i="5"/>
  <c r="C371" i="5" s="1"/>
  <c r="B370" i="5"/>
  <c r="C370" i="5" s="1"/>
  <c r="B369" i="5"/>
  <c r="C369" i="5" s="1"/>
  <c r="B368" i="5"/>
  <c r="C368" i="5" s="1"/>
  <c r="B367" i="5"/>
  <c r="C367" i="5" s="1"/>
  <c r="B366" i="5"/>
  <c r="C366" i="5" s="1"/>
  <c r="B365" i="5"/>
  <c r="C365" i="5" s="1"/>
  <c r="B364" i="5"/>
  <c r="C364" i="5" s="1"/>
  <c r="B363" i="5"/>
  <c r="C363" i="5" s="1"/>
  <c r="B362" i="5"/>
  <c r="C362" i="5" s="1"/>
  <c r="B361" i="5"/>
  <c r="C361" i="5" s="1"/>
  <c r="B360" i="5"/>
  <c r="C360" i="5" s="1"/>
  <c r="B359" i="5"/>
  <c r="C359" i="5" s="1"/>
  <c r="B358" i="5"/>
  <c r="C358" i="5" s="1"/>
  <c r="B357" i="5"/>
  <c r="C357" i="5" s="1"/>
  <c r="B356" i="5"/>
  <c r="C356" i="5" s="1"/>
  <c r="B355" i="5"/>
  <c r="C355" i="5" s="1"/>
  <c r="B354" i="5"/>
  <c r="C354" i="5" s="1"/>
  <c r="B353" i="5"/>
  <c r="C353" i="5" s="1"/>
  <c r="B352" i="5"/>
  <c r="C352" i="5" s="1"/>
  <c r="B351" i="5"/>
  <c r="C351" i="5" s="1"/>
  <c r="B350" i="5"/>
  <c r="C350" i="5" s="1"/>
  <c r="B349" i="5"/>
  <c r="C349" i="5" s="1"/>
  <c r="B348" i="5"/>
  <c r="C348" i="5" s="1"/>
  <c r="B347" i="5"/>
  <c r="C347" i="5" s="1"/>
  <c r="B346" i="5"/>
  <c r="C346" i="5" s="1"/>
  <c r="B345" i="5"/>
  <c r="C345" i="5" s="1"/>
  <c r="B344" i="5"/>
  <c r="C344" i="5" s="1"/>
  <c r="B343" i="5"/>
  <c r="C343" i="5" s="1"/>
  <c r="B342" i="5"/>
  <c r="C342" i="5" s="1"/>
  <c r="B341" i="5"/>
  <c r="C341" i="5" s="1"/>
  <c r="B340" i="5"/>
  <c r="C340" i="5" s="1"/>
  <c r="B339" i="5"/>
  <c r="C339" i="5" s="1"/>
  <c r="B338" i="5"/>
  <c r="C338" i="5" s="1"/>
  <c r="B337" i="5"/>
  <c r="C337" i="5" s="1"/>
  <c r="B336" i="5"/>
  <c r="C336" i="5" s="1"/>
  <c r="B335" i="5"/>
  <c r="C335" i="5" s="1"/>
  <c r="B334" i="5"/>
  <c r="C334" i="5" s="1"/>
  <c r="B333" i="5"/>
  <c r="C333" i="5" s="1"/>
  <c r="B332" i="5"/>
  <c r="C332" i="5" s="1"/>
  <c r="B331" i="5"/>
  <c r="C331" i="5" s="1"/>
  <c r="B330" i="5"/>
  <c r="C330" i="5" s="1"/>
  <c r="B329" i="5"/>
  <c r="C329" i="5" s="1"/>
  <c r="B328" i="5"/>
  <c r="C328" i="5" s="1"/>
  <c r="B327" i="5"/>
  <c r="C327" i="5" s="1"/>
  <c r="B326" i="5"/>
  <c r="C326" i="5" s="1"/>
  <c r="B325" i="5"/>
  <c r="C325" i="5" s="1"/>
  <c r="B324" i="5"/>
  <c r="C324" i="5" s="1"/>
  <c r="B323" i="5"/>
  <c r="C323" i="5" s="1"/>
  <c r="B322" i="5"/>
  <c r="C322" i="5" s="1"/>
  <c r="B321" i="5"/>
  <c r="C321" i="5" s="1"/>
  <c r="B320" i="5"/>
  <c r="C320" i="5" s="1"/>
  <c r="B319" i="5"/>
  <c r="C319" i="5" s="1"/>
  <c r="B318" i="5"/>
  <c r="C318" i="5" s="1"/>
  <c r="B317" i="5"/>
  <c r="C317" i="5" s="1"/>
  <c r="B316" i="5"/>
  <c r="C316" i="5" s="1"/>
  <c r="B315" i="5"/>
  <c r="C315" i="5" s="1"/>
  <c r="B314" i="5"/>
  <c r="C314" i="5" s="1"/>
  <c r="B313" i="5"/>
  <c r="C313" i="5" s="1"/>
  <c r="B312" i="5"/>
  <c r="C312" i="5" s="1"/>
  <c r="B311" i="5"/>
  <c r="C311" i="5" s="1"/>
  <c r="B310" i="5"/>
  <c r="C310" i="5" s="1"/>
  <c r="B309" i="5"/>
  <c r="C309" i="5" s="1"/>
  <c r="B308" i="5"/>
  <c r="C308" i="5" s="1"/>
  <c r="B307" i="5"/>
  <c r="C307" i="5" s="1"/>
  <c r="B306" i="5"/>
  <c r="C306" i="5" s="1"/>
  <c r="B305" i="5"/>
  <c r="C305" i="5" s="1"/>
  <c r="B304" i="5"/>
  <c r="C304" i="5" s="1"/>
  <c r="B303" i="5"/>
  <c r="C303" i="5" s="1"/>
  <c r="B302" i="5"/>
  <c r="C302" i="5" s="1"/>
  <c r="B301" i="5"/>
  <c r="C301" i="5" s="1"/>
  <c r="B300" i="5"/>
  <c r="C300" i="5" s="1"/>
  <c r="B299" i="5"/>
  <c r="C299" i="5" s="1"/>
  <c r="B298" i="5"/>
  <c r="C298" i="5" s="1"/>
  <c r="B297" i="5"/>
  <c r="C297" i="5" s="1"/>
  <c r="B296" i="5"/>
  <c r="C296" i="5" s="1"/>
  <c r="B295" i="5"/>
  <c r="C295" i="5" s="1"/>
  <c r="B294" i="5"/>
  <c r="C294" i="5" s="1"/>
  <c r="B293" i="5"/>
  <c r="C293" i="5" s="1"/>
  <c r="B292" i="5"/>
  <c r="C292" i="5" s="1"/>
  <c r="B291" i="5"/>
  <c r="C291" i="5" s="1"/>
  <c r="B290" i="5"/>
  <c r="C290" i="5" s="1"/>
  <c r="B289" i="5"/>
  <c r="C289" i="5" s="1"/>
  <c r="B288" i="5"/>
  <c r="C288" i="5" s="1"/>
  <c r="B287" i="5"/>
  <c r="C287" i="5" s="1"/>
  <c r="B286" i="5"/>
  <c r="C286" i="5" s="1"/>
  <c r="B285" i="5"/>
  <c r="C285" i="5" s="1"/>
  <c r="B284" i="5"/>
  <c r="C284" i="5" s="1"/>
  <c r="B283" i="5"/>
  <c r="C283" i="5" s="1"/>
  <c r="B282" i="5"/>
  <c r="C282" i="5" s="1"/>
  <c r="B281" i="5"/>
  <c r="C281" i="5" s="1"/>
  <c r="B280" i="5"/>
  <c r="C280" i="5" s="1"/>
  <c r="B279" i="5"/>
  <c r="C279" i="5" s="1"/>
  <c r="B278" i="5"/>
  <c r="C278" i="5" s="1"/>
  <c r="B277" i="5"/>
  <c r="C277" i="5" s="1"/>
  <c r="B276" i="5"/>
  <c r="C276" i="5" s="1"/>
  <c r="B275" i="5"/>
  <c r="C275" i="5" s="1"/>
  <c r="B274" i="5"/>
  <c r="C274" i="5" s="1"/>
  <c r="B273" i="5"/>
  <c r="C273" i="5" s="1"/>
  <c r="B272" i="5"/>
  <c r="C272" i="5" s="1"/>
  <c r="B271" i="5"/>
  <c r="C271" i="5" s="1"/>
  <c r="B270" i="5"/>
  <c r="C270" i="5" s="1"/>
  <c r="B269" i="5"/>
  <c r="C269" i="5" s="1"/>
  <c r="B268" i="5"/>
  <c r="C268" i="5" s="1"/>
  <c r="B267" i="5"/>
  <c r="C267" i="5" s="1"/>
  <c r="B266" i="5"/>
  <c r="C266" i="5" s="1"/>
  <c r="B265" i="5"/>
  <c r="C265" i="5" s="1"/>
  <c r="B264" i="5"/>
  <c r="C264" i="5" s="1"/>
  <c r="B263" i="5"/>
  <c r="C263" i="5" s="1"/>
  <c r="B262" i="5"/>
  <c r="C262" i="5" s="1"/>
  <c r="B261" i="5"/>
  <c r="C261" i="5" s="1"/>
  <c r="B260" i="5"/>
  <c r="C260" i="5" s="1"/>
  <c r="B259" i="5"/>
  <c r="C259" i="5" s="1"/>
  <c r="B258" i="5"/>
  <c r="C258" i="5" s="1"/>
  <c r="B257" i="5"/>
  <c r="C257" i="5" s="1"/>
  <c r="B256" i="5"/>
  <c r="C256" i="5" s="1"/>
  <c r="B255" i="5"/>
  <c r="C255" i="5" s="1"/>
  <c r="B254" i="5"/>
  <c r="C254" i="5" s="1"/>
  <c r="B253" i="5"/>
  <c r="C253" i="5" s="1"/>
  <c r="B252" i="5"/>
  <c r="C252" i="5" s="1"/>
  <c r="B251" i="5"/>
  <c r="C251" i="5" s="1"/>
  <c r="B250" i="5"/>
  <c r="C250" i="5" s="1"/>
  <c r="B249" i="5"/>
  <c r="C249" i="5" s="1"/>
  <c r="B248" i="5"/>
  <c r="C248" i="5" s="1"/>
  <c r="B247" i="5"/>
  <c r="C247" i="5" s="1"/>
  <c r="B246" i="5"/>
  <c r="C246" i="5" s="1"/>
  <c r="B245" i="5"/>
  <c r="C245" i="5" s="1"/>
  <c r="B244" i="5"/>
  <c r="C244" i="5" s="1"/>
  <c r="B243" i="5"/>
  <c r="C243" i="5" s="1"/>
  <c r="B242" i="5"/>
  <c r="C242" i="5" s="1"/>
  <c r="B241" i="5"/>
  <c r="C241" i="5" s="1"/>
  <c r="B240" i="5"/>
  <c r="C240" i="5" s="1"/>
  <c r="B239" i="5"/>
  <c r="C239" i="5" s="1"/>
  <c r="B238" i="5"/>
  <c r="C238" i="5" s="1"/>
  <c r="B237" i="5"/>
  <c r="C237" i="5" s="1"/>
  <c r="B236" i="5"/>
  <c r="C236" i="5" s="1"/>
  <c r="B235" i="5"/>
  <c r="C235" i="5" s="1"/>
  <c r="B234" i="5"/>
  <c r="C234" i="5" s="1"/>
  <c r="B233" i="5"/>
  <c r="C233" i="5" s="1"/>
  <c r="B232" i="5"/>
  <c r="C232" i="5" s="1"/>
  <c r="B231" i="5"/>
  <c r="C231" i="5" s="1"/>
  <c r="B230" i="5"/>
  <c r="C230" i="5" s="1"/>
  <c r="B229" i="5"/>
  <c r="C229" i="5" s="1"/>
  <c r="B228" i="5"/>
  <c r="C228" i="5" s="1"/>
  <c r="B227" i="5"/>
  <c r="C227" i="5" s="1"/>
  <c r="B226" i="5"/>
  <c r="C226" i="5" s="1"/>
  <c r="B225" i="5"/>
  <c r="C225" i="5" s="1"/>
  <c r="B224" i="5"/>
  <c r="C224" i="5" s="1"/>
  <c r="B223" i="5"/>
  <c r="C223" i="5" s="1"/>
  <c r="B222" i="5"/>
  <c r="C222" i="5" s="1"/>
  <c r="B221" i="5"/>
  <c r="C221" i="5" s="1"/>
  <c r="B220" i="5"/>
  <c r="C220" i="5" s="1"/>
  <c r="B219" i="5"/>
  <c r="C219" i="5" s="1"/>
  <c r="B218" i="5"/>
  <c r="C218" i="5" s="1"/>
  <c r="B217" i="5"/>
  <c r="C217" i="5" s="1"/>
  <c r="B216" i="5"/>
  <c r="C216" i="5" s="1"/>
  <c r="B215" i="5"/>
  <c r="C215" i="5" s="1"/>
  <c r="B214" i="5"/>
  <c r="C214" i="5" s="1"/>
  <c r="B213" i="5"/>
  <c r="C213" i="5" s="1"/>
  <c r="B212" i="5"/>
  <c r="C212" i="5" s="1"/>
  <c r="B211" i="5"/>
  <c r="C211" i="5" s="1"/>
  <c r="B210" i="5"/>
  <c r="C210" i="5" s="1"/>
  <c r="B209" i="5"/>
  <c r="C209" i="5" s="1"/>
  <c r="B208" i="5"/>
  <c r="C208" i="5" s="1"/>
  <c r="B207" i="5"/>
  <c r="C207" i="5" s="1"/>
  <c r="B206" i="5"/>
  <c r="C206" i="5" s="1"/>
  <c r="B205" i="5"/>
  <c r="C205" i="5" s="1"/>
  <c r="B204" i="5"/>
  <c r="C204" i="5" s="1"/>
  <c r="B203" i="5"/>
  <c r="C203" i="5" s="1"/>
  <c r="B202" i="5"/>
  <c r="C202" i="5" s="1"/>
  <c r="B201" i="5"/>
  <c r="C201" i="5" s="1"/>
  <c r="B200" i="5"/>
  <c r="C200" i="5" s="1"/>
  <c r="B199" i="5"/>
  <c r="C199" i="5" s="1"/>
  <c r="B198" i="5"/>
  <c r="C198" i="5" s="1"/>
  <c r="B197" i="5"/>
  <c r="C197" i="5" s="1"/>
  <c r="B196" i="5"/>
  <c r="C196" i="5" s="1"/>
  <c r="B195" i="5"/>
  <c r="C195" i="5" s="1"/>
  <c r="B194" i="5"/>
  <c r="C194" i="5" s="1"/>
  <c r="B193" i="5"/>
  <c r="C193" i="5" s="1"/>
  <c r="B192" i="5"/>
  <c r="C192" i="5" s="1"/>
  <c r="B191" i="5"/>
  <c r="C191" i="5" s="1"/>
  <c r="B190" i="5"/>
  <c r="C190" i="5" s="1"/>
  <c r="B189" i="5"/>
  <c r="C189" i="5" s="1"/>
  <c r="B188" i="5"/>
  <c r="C188" i="5" s="1"/>
  <c r="B187" i="5"/>
  <c r="C187" i="5" s="1"/>
  <c r="B186" i="5"/>
  <c r="C186" i="5" s="1"/>
  <c r="B185" i="5"/>
  <c r="C185" i="5" s="1"/>
  <c r="B184" i="5"/>
  <c r="C184" i="5" s="1"/>
  <c r="B183" i="5"/>
  <c r="C183" i="5" s="1"/>
  <c r="B182" i="5"/>
  <c r="C182" i="5" s="1"/>
  <c r="B181" i="5"/>
  <c r="C181" i="5" s="1"/>
  <c r="B180" i="5"/>
  <c r="C180" i="5" s="1"/>
  <c r="B179" i="5"/>
  <c r="C179" i="5" s="1"/>
  <c r="B178" i="5"/>
  <c r="C178" i="5" s="1"/>
  <c r="B177" i="5"/>
  <c r="C177" i="5" s="1"/>
  <c r="B176" i="5"/>
  <c r="C176" i="5" s="1"/>
  <c r="B175" i="5"/>
  <c r="C175" i="5" s="1"/>
  <c r="B174" i="5"/>
  <c r="C174" i="5" s="1"/>
  <c r="B173" i="5"/>
  <c r="C173" i="5" s="1"/>
  <c r="B172" i="5"/>
  <c r="C172" i="5" s="1"/>
  <c r="B171" i="5"/>
  <c r="C171" i="5" s="1"/>
  <c r="B170" i="5"/>
  <c r="C170" i="5" s="1"/>
  <c r="B169" i="5"/>
  <c r="C169" i="5" s="1"/>
  <c r="B168" i="5"/>
  <c r="C168" i="5" s="1"/>
  <c r="B167" i="5"/>
  <c r="C167" i="5" s="1"/>
  <c r="B166" i="5"/>
  <c r="C166" i="5" s="1"/>
  <c r="B165" i="5"/>
  <c r="C165" i="5" s="1"/>
  <c r="B164" i="5"/>
  <c r="C164" i="5" s="1"/>
  <c r="B163" i="5"/>
  <c r="C163" i="5" s="1"/>
  <c r="B162" i="5"/>
  <c r="C162" i="5" s="1"/>
  <c r="B161" i="5"/>
  <c r="C161" i="5" s="1"/>
  <c r="B160" i="5"/>
  <c r="C160" i="5" s="1"/>
  <c r="B159" i="5"/>
  <c r="C159" i="5" s="1"/>
  <c r="B158" i="5"/>
  <c r="C158" i="5" s="1"/>
  <c r="B157" i="5"/>
  <c r="C157" i="5" s="1"/>
  <c r="B156" i="5"/>
  <c r="C156" i="5" s="1"/>
  <c r="B155" i="5"/>
  <c r="C155" i="5" s="1"/>
  <c r="B154" i="5"/>
  <c r="C154" i="5" s="1"/>
  <c r="B153" i="5"/>
  <c r="C153" i="5" s="1"/>
  <c r="B152" i="5"/>
  <c r="C152" i="5" s="1"/>
  <c r="B151" i="5"/>
  <c r="C151" i="5" s="1"/>
  <c r="B150" i="5"/>
  <c r="C150" i="5" s="1"/>
  <c r="B149" i="5"/>
  <c r="C149" i="5" s="1"/>
  <c r="B148" i="5"/>
  <c r="C148" i="5" s="1"/>
  <c r="B147" i="5"/>
  <c r="C147" i="5" s="1"/>
  <c r="B146" i="5"/>
  <c r="C146" i="5" s="1"/>
  <c r="B145" i="5"/>
  <c r="C145" i="5" s="1"/>
  <c r="B144" i="5"/>
  <c r="C144" i="5" s="1"/>
  <c r="B143" i="5"/>
  <c r="C143" i="5" s="1"/>
  <c r="B142" i="5"/>
  <c r="C142" i="5" s="1"/>
  <c r="B141" i="5"/>
  <c r="C141" i="5" s="1"/>
  <c r="B140" i="5"/>
  <c r="C140" i="5" s="1"/>
  <c r="B139" i="5"/>
  <c r="C139" i="5" s="1"/>
  <c r="B138" i="5"/>
  <c r="C138" i="5" s="1"/>
  <c r="B137" i="5"/>
  <c r="C137" i="5" s="1"/>
  <c r="B136" i="5"/>
  <c r="C136" i="5" s="1"/>
  <c r="B135" i="5"/>
  <c r="C135" i="5" s="1"/>
  <c r="B134" i="5"/>
  <c r="C134" i="5" s="1"/>
  <c r="B133" i="5"/>
  <c r="C133" i="5" s="1"/>
  <c r="B132" i="5"/>
  <c r="C132" i="5" s="1"/>
  <c r="B131" i="5"/>
  <c r="C131" i="5" s="1"/>
  <c r="B130" i="5"/>
  <c r="C130" i="5" s="1"/>
  <c r="B129" i="5"/>
  <c r="C129" i="5" s="1"/>
  <c r="B128" i="5"/>
  <c r="C128" i="5" s="1"/>
  <c r="B127" i="5"/>
  <c r="C127" i="5" s="1"/>
  <c r="B126" i="5"/>
  <c r="C126" i="5" s="1"/>
  <c r="B125" i="5"/>
  <c r="C125" i="5" s="1"/>
  <c r="B124" i="5"/>
  <c r="C124" i="5" s="1"/>
  <c r="B123" i="5"/>
  <c r="C123" i="5" s="1"/>
  <c r="B122" i="5"/>
  <c r="C122" i="5" s="1"/>
  <c r="B121" i="5"/>
  <c r="C121" i="5" s="1"/>
  <c r="B120" i="5"/>
  <c r="C120" i="5" s="1"/>
  <c r="B119" i="5"/>
  <c r="C119" i="5" s="1"/>
  <c r="B118" i="5"/>
  <c r="C118" i="5" s="1"/>
  <c r="B117" i="5"/>
  <c r="C117" i="5" s="1"/>
  <c r="B116" i="5"/>
  <c r="C116" i="5" s="1"/>
  <c r="B115" i="5"/>
  <c r="C115" i="5" s="1"/>
  <c r="B114" i="5"/>
  <c r="C114" i="5" s="1"/>
  <c r="B113" i="5"/>
  <c r="C113" i="5" s="1"/>
  <c r="B112" i="5"/>
  <c r="C112" i="5" s="1"/>
  <c r="B111" i="5"/>
  <c r="C111" i="5" s="1"/>
  <c r="B110" i="5"/>
  <c r="C110" i="5" s="1"/>
  <c r="B109" i="5"/>
  <c r="C109" i="5" s="1"/>
  <c r="B108" i="5"/>
  <c r="C108" i="5" s="1"/>
  <c r="B107" i="5"/>
  <c r="C107" i="5" s="1"/>
  <c r="B106" i="5"/>
  <c r="C106" i="5" s="1"/>
  <c r="B105" i="5"/>
  <c r="C105" i="5" s="1"/>
  <c r="B104" i="5"/>
  <c r="C104" i="5" s="1"/>
  <c r="B103" i="5"/>
  <c r="C103" i="5" s="1"/>
  <c r="B102" i="5"/>
  <c r="C102" i="5" s="1"/>
  <c r="B101" i="5"/>
  <c r="C101" i="5" s="1"/>
  <c r="B100" i="5"/>
  <c r="C100" i="5" s="1"/>
  <c r="B99" i="5"/>
  <c r="C99" i="5" s="1"/>
  <c r="B98" i="5"/>
  <c r="C98" i="5" s="1"/>
  <c r="B97" i="5"/>
  <c r="C97" i="5" s="1"/>
  <c r="B96" i="5"/>
  <c r="C96" i="5" s="1"/>
  <c r="B95" i="5"/>
  <c r="C95" i="5" s="1"/>
  <c r="B94" i="5"/>
  <c r="C94" i="5" s="1"/>
  <c r="B93" i="5"/>
  <c r="C93" i="5" s="1"/>
  <c r="B92" i="5"/>
  <c r="C92" i="5" s="1"/>
  <c r="B91" i="5"/>
  <c r="C91" i="5" s="1"/>
  <c r="B90" i="5"/>
  <c r="C90" i="5" s="1"/>
  <c r="B89" i="5"/>
  <c r="C89" i="5" s="1"/>
  <c r="B88" i="5"/>
  <c r="C88" i="5" s="1"/>
  <c r="B87" i="5"/>
  <c r="C87" i="5" s="1"/>
  <c r="B86" i="5"/>
  <c r="C86" i="5" s="1"/>
  <c r="B85" i="5"/>
  <c r="C85" i="5" s="1"/>
  <c r="B84" i="5"/>
  <c r="C84" i="5" s="1"/>
  <c r="B83" i="5"/>
  <c r="C83" i="5" s="1"/>
  <c r="B82" i="5"/>
  <c r="C82" i="5" s="1"/>
  <c r="B81" i="5"/>
  <c r="C81" i="5" s="1"/>
  <c r="B80" i="5"/>
  <c r="C80" i="5" s="1"/>
  <c r="B79" i="5"/>
  <c r="C79" i="5" s="1"/>
  <c r="B78" i="5"/>
  <c r="C78" i="5" s="1"/>
  <c r="B77" i="5"/>
  <c r="C77" i="5" s="1"/>
  <c r="B76" i="5"/>
  <c r="C76" i="5" s="1"/>
  <c r="B75" i="5"/>
  <c r="C75" i="5" s="1"/>
  <c r="B74" i="5"/>
  <c r="C74" i="5" s="1"/>
  <c r="B73" i="5"/>
  <c r="C73" i="5" s="1"/>
  <c r="B72" i="5"/>
  <c r="C72" i="5" s="1"/>
  <c r="B71" i="5"/>
  <c r="C71" i="5" s="1"/>
  <c r="B70" i="5"/>
  <c r="C70" i="5" s="1"/>
  <c r="B69" i="5"/>
  <c r="C69" i="5" s="1"/>
  <c r="B68" i="5"/>
  <c r="C68" i="5" s="1"/>
  <c r="B67" i="5"/>
  <c r="C67" i="5" s="1"/>
  <c r="B66" i="5"/>
  <c r="C66" i="5" s="1"/>
  <c r="B65" i="5"/>
  <c r="C65" i="5" s="1"/>
  <c r="B64" i="5"/>
  <c r="C64" i="5" s="1"/>
  <c r="B63" i="5"/>
  <c r="C63" i="5" s="1"/>
  <c r="B62" i="5"/>
  <c r="C62" i="5" s="1"/>
  <c r="B61" i="5"/>
  <c r="C61" i="5" s="1"/>
  <c r="B60" i="5"/>
  <c r="C60" i="5" s="1"/>
  <c r="B59" i="5"/>
  <c r="C59" i="5" s="1"/>
  <c r="B58" i="5"/>
  <c r="C58" i="5" s="1"/>
  <c r="B57" i="5"/>
  <c r="C57" i="5" s="1"/>
  <c r="B56" i="5"/>
  <c r="C56" i="5" s="1"/>
  <c r="B55" i="5"/>
  <c r="C55" i="5" s="1"/>
  <c r="B54" i="5"/>
  <c r="C54" i="5" s="1"/>
  <c r="B53" i="5"/>
  <c r="C53" i="5" s="1"/>
  <c r="B52" i="5"/>
  <c r="C52" i="5" s="1"/>
  <c r="B51" i="5"/>
  <c r="C51" i="5" s="1"/>
  <c r="B50" i="5"/>
  <c r="C50" i="5" s="1"/>
  <c r="B49" i="5"/>
  <c r="C49" i="5" s="1"/>
  <c r="B48" i="5"/>
  <c r="C48" i="5" s="1"/>
  <c r="B47" i="5"/>
  <c r="C47" i="5" s="1"/>
  <c r="B46" i="5"/>
  <c r="C46" i="5" s="1"/>
  <c r="B45" i="5"/>
  <c r="C45" i="5" s="1"/>
  <c r="B44" i="5"/>
  <c r="C44" i="5" s="1"/>
  <c r="B43" i="5"/>
  <c r="C43" i="5" s="1"/>
  <c r="B42" i="5"/>
  <c r="C42" i="5" s="1"/>
  <c r="B41" i="5"/>
  <c r="C41" i="5" s="1"/>
  <c r="B40" i="5"/>
  <c r="C40" i="5" s="1"/>
  <c r="B39" i="5"/>
  <c r="C39" i="5" s="1"/>
  <c r="B38" i="5"/>
  <c r="C38" i="5" s="1"/>
  <c r="B37" i="5"/>
  <c r="C37" i="5" s="1"/>
  <c r="B36" i="5"/>
  <c r="C36" i="5" s="1"/>
  <c r="B35" i="5"/>
  <c r="C35" i="5" s="1"/>
  <c r="B34" i="5"/>
  <c r="C34" i="5" s="1"/>
  <c r="B33" i="5"/>
  <c r="C33" i="5" s="1"/>
  <c r="B32" i="5"/>
  <c r="C32" i="5" s="1"/>
  <c r="B31" i="5"/>
  <c r="C31" i="5" s="1"/>
  <c r="B30" i="5"/>
  <c r="C30" i="5" s="1"/>
  <c r="B29" i="5"/>
  <c r="C29" i="5" s="1"/>
  <c r="B28" i="5"/>
  <c r="C28" i="5" s="1"/>
  <c r="B27" i="5"/>
  <c r="C27" i="5" s="1"/>
  <c r="B26" i="5"/>
  <c r="C26" i="5" s="1"/>
  <c r="B25" i="5"/>
  <c r="C25" i="5" s="1"/>
  <c r="B24" i="5"/>
  <c r="C24" i="5" s="1"/>
  <c r="B23" i="5"/>
  <c r="C23" i="5" s="1"/>
  <c r="B22" i="5"/>
  <c r="C22" i="5" s="1"/>
  <c r="B21" i="5"/>
  <c r="C21" i="5" s="1"/>
  <c r="B20" i="5"/>
  <c r="C20" i="5" s="1"/>
  <c r="B19" i="5"/>
  <c r="C19" i="5" s="1"/>
  <c r="B18" i="5"/>
  <c r="C18" i="5" s="1"/>
  <c r="B17" i="5"/>
  <c r="C17" i="5" s="1"/>
  <c r="B16" i="5"/>
  <c r="C16" i="5" s="1"/>
  <c r="B15" i="5"/>
  <c r="C15" i="5" s="1"/>
  <c r="B14" i="5"/>
  <c r="C14" i="5" s="1"/>
  <c r="B13" i="5"/>
  <c r="C13" i="5" s="1"/>
  <c r="B12" i="5"/>
  <c r="C12" i="5" s="1"/>
  <c r="B11" i="5"/>
  <c r="C11" i="5" s="1"/>
  <c r="B10" i="5"/>
  <c r="C10" i="5" s="1"/>
  <c r="B9" i="5"/>
  <c r="C9" i="5" s="1"/>
  <c r="B8" i="5"/>
  <c r="C8" i="5" s="1"/>
  <c r="B7" i="5"/>
  <c r="C7" i="5" s="1"/>
  <c r="B6" i="5"/>
  <c r="C6" i="5" s="1"/>
  <c r="B5" i="5"/>
  <c r="C5" i="5" s="1"/>
  <c r="B4" i="5"/>
  <c r="C4" i="5" s="1"/>
  <c r="B3" i="5"/>
  <c r="C3" i="5" s="1"/>
  <c r="B2" i="5"/>
  <c r="C2" i="5" s="1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C656" i="4"/>
  <c r="C657" i="4"/>
  <c r="C658" i="4"/>
  <c r="C659" i="4"/>
  <c r="C660" i="4"/>
  <c r="C661" i="4"/>
  <c r="C662" i="4"/>
  <c r="C663" i="4"/>
  <c r="C664" i="4"/>
  <c r="C665" i="4"/>
  <c r="C666" i="4"/>
  <c r="C667" i="4"/>
  <c r="C668" i="4"/>
  <c r="C669" i="4"/>
  <c r="C670" i="4"/>
  <c r="C671" i="4"/>
  <c r="C672" i="4"/>
  <c r="C673" i="4"/>
  <c r="C674" i="4"/>
  <c r="C675" i="4"/>
  <c r="C676" i="4"/>
  <c r="C677" i="4"/>
  <c r="C678" i="4"/>
  <c r="C679" i="4"/>
  <c r="C680" i="4"/>
  <c r="C681" i="4"/>
  <c r="C682" i="4"/>
  <c r="C683" i="4"/>
  <c r="C684" i="4"/>
  <c r="C685" i="4"/>
  <c r="C686" i="4"/>
  <c r="C687" i="4"/>
  <c r="C688" i="4"/>
  <c r="C689" i="4"/>
  <c r="C690" i="4"/>
  <c r="C691" i="4"/>
  <c r="C692" i="4"/>
  <c r="C693" i="4"/>
  <c r="C694" i="4"/>
  <c r="C695" i="4"/>
  <c r="C696" i="4"/>
  <c r="C697" i="4"/>
  <c r="C698" i="4"/>
  <c r="C699" i="4"/>
  <c r="C700" i="4"/>
  <c r="C701" i="4"/>
  <c r="C702" i="4"/>
  <c r="C703" i="4"/>
  <c r="C704" i="4"/>
  <c r="C705" i="4"/>
  <c r="C706" i="4"/>
  <c r="C707" i="4"/>
  <c r="C708" i="4"/>
  <c r="C709" i="4"/>
  <c r="C710" i="4"/>
  <c r="C711" i="4"/>
  <c r="C712" i="4"/>
  <c r="C713" i="4"/>
  <c r="C714" i="4"/>
  <c r="C715" i="4"/>
  <c r="C716" i="4"/>
  <c r="C717" i="4"/>
  <c r="C718" i="4"/>
  <c r="C719" i="4"/>
  <c r="C720" i="4"/>
  <c r="C721" i="4"/>
  <c r="C722" i="4"/>
  <c r="C723" i="4"/>
  <c r="C724" i="4"/>
  <c r="C725" i="4"/>
  <c r="C726" i="4"/>
  <c r="C727" i="4"/>
  <c r="C728" i="4"/>
  <c r="C729" i="4"/>
  <c r="C730" i="4"/>
  <c r="C731" i="4"/>
  <c r="C732" i="4"/>
  <c r="C733" i="4"/>
  <c r="C734" i="4"/>
  <c r="C735" i="4"/>
  <c r="C736" i="4"/>
  <c r="C737" i="4"/>
  <c r="C738" i="4"/>
  <c r="C739" i="4"/>
  <c r="C740" i="4"/>
  <c r="C741" i="4"/>
  <c r="C742" i="4"/>
  <c r="C743" i="4"/>
  <c r="C744" i="4"/>
  <c r="C745" i="4"/>
  <c r="C746" i="4"/>
  <c r="C747" i="4"/>
  <c r="C748" i="4"/>
  <c r="C749" i="4"/>
  <c r="C750" i="4"/>
  <c r="C751" i="4"/>
  <c r="C752" i="4"/>
  <c r="C753" i="4"/>
  <c r="C754" i="4"/>
  <c r="C755" i="4"/>
  <c r="C756" i="4"/>
  <c r="C757" i="4"/>
  <c r="C758" i="4"/>
  <c r="C759" i="4"/>
  <c r="C760" i="4"/>
  <c r="C761" i="4"/>
  <c r="C762" i="4"/>
  <c r="C763" i="4"/>
  <c r="C764" i="4"/>
  <c r="C765" i="4"/>
  <c r="C766" i="4"/>
  <c r="C767" i="4"/>
  <c r="C768" i="4"/>
  <c r="C769" i="4"/>
  <c r="C770" i="4"/>
  <c r="C771" i="4"/>
  <c r="C772" i="4"/>
  <c r="C773" i="4"/>
  <c r="C774" i="4"/>
  <c r="C775" i="4"/>
  <c r="C776" i="4"/>
  <c r="C777" i="4"/>
  <c r="C778" i="4"/>
  <c r="C779" i="4"/>
  <c r="C780" i="4"/>
  <c r="C781" i="4"/>
  <c r="C782" i="4"/>
  <c r="C783" i="4"/>
  <c r="C784" i="4"/>
  <c r="C785" i="4"/>
  <c r="C786" i="4"/>
  <c r="C787" i="4"/>
  <c r="C788" i="4"/>
  <c r="C789" i="4"/>
  <c r="C790" i="4"/>
  <c r="C791" i="4"/>
  <c r="C792" i="4"/>
  <c r="C793" i="4"/>
  <c r="C794" i="4"/>
  <c r="C795" i="4"/>
  <c r="C796" i="4"/>
  <c r="C797" i="4"/>
  <c r="C798" i="4"/>
  <c r="C799" i="4"/>
  <c r="C800" i="4"/>
  <c r="C801" i="4"/>
  <c r="C802" i="4"/>
  <c r="C803" i="4"/>
  <c r="C804" i="4"/>
  <c r="C805" i="4"/>
  <c r="C806" i="4"/>
  <c r="C807" i="4"/>
  <c r="C808" i="4"/>
  <c r="C809" i="4"/>
  <c r="C810" i="4"/>
  <c r="C811" i="4"/>
  <c r="C812" i="4"/>
  <c r="C813" i="4"/>
  <c r="C814" i="4"/>
  <c r="C815" i="4"/>
  <c r="C816" i="4"/>
  <c r="C817" i="4"/>
  <c r="C818" i="4"/>
  <c r="C819" i="4"/>
  <c r="C820" i="4"/>
  <c r="C821" i="4"/>
  <c r="C822" i="4"/>
  <c r="C823" i="4"/>
  <c r="C824" i="4"/>
  <c r="C825" i="4"/>
  <c r="C826" i="4"/>
  <c r="C827" i="4"/>
  <c r="C828" i="4"/>
  <c r="C829" i="4"/>
  <c r="C830" i="4"/>
  <c r="C831" i="4"/>
  <c r="C832" i="4"/>
  <c r="C833" i="4"/>
  <c r="C834" i="4"/>
  <c r="C835" i="4"/>
  <c r="C836" i="4"/>
  <c r="C837" i="4"/>
  <c r="C838" i="4"/>
  <c r="C839" i="4"/>
  <c r="C840" i="4"/>
  <c r="C841" i="4"/>
  <c r="C842" i="4"/>
  <c r="C843" i="4"/>
  <c r="C844" i="4"/>
  <c r="C845" i="4"/>
  <c r="C846" i="4"/>
  <c r="C847" i="4"/>
  <c r="C848" i="4"/>
  <c r="C849" i="4"/>
  <c r="C850" i="4"/>
  <c r="C851" i="4"/>
  <c r="C852" i="4"/>
  <c r="C853" i="4"/>
  <c r="C854" i="4"/>
  <c r="C855" i="4"/>
  <c r="C856" i="4"/>
  <c r="C857" i="4"/>
  <c r="C858" i="4"/>
  <c r="C859" i="4"/>
  <c r="C860" i="4"/>
  <c r="C861" i="4"/>
  <c r="C862" i="4"/>
  <c r="C863" i="4"/>
  <c r="C864" i="4"/>
  <c r="C865" i="4"/>
  <c r="C866" i="4"/>
  <c r="C867" i="4"/>
  <c r="C868" i="4"/>
  <c r="C869" i="4"/>
  <c r="C870" i="4"/>
  <c r="C871" i="4"/>
  <c r="C872" i="4"/>
  <c r="C873" i="4"/>
  <c r="C874" i="4"/>
  <c r="C875" i="4"/>
  <c r="C876" i="4"/>
  <c r="C877" i="4"/>
  <c r="C878" i="4"/>
  <c r="C879" i="4"/>
  <c r="C880" i="4"/>
  <c r="C881" i="4"/>
  <c r="C882" i="4"/>
  <c r="C883" i="4"/>
  <c r="C884" i="4"/>
  <c r="C885" i="4"/>
  <c r="C886" i="4"/>
  <c r="C887" i="4"/>
  <c r="C888" i="4"/>
  <c r="C889" i="4"/>
  <c r="C890" i="4"/>
  <c r="C891" i="4"/>
  <c r="C892" i="4"/>
  <c r="C893" i="4"/>
  <c r="C894" i="4"/>
  <c r="C895" i="4"/>
  <c r="C896" i="4"/>
  <c r="C897" i="4"/>
  <c r="C898" i="4"/>
  <c r="C899" i="4"/>
  <c r="C900" i="4"/>
  <c r="C901" i="4"/>
  <c r="C902" i="4"/>
  <c r="C903" i="4"/>
  <c r="C904" i="4"/>
  <c r="C905" i="4"/>
  <c r="C906" i="4"/>
  <c r="C907" i="4"/>
  <c r="C908" i="4"/>
  <c r="C909" i="4"/>
  <c r="C910" i="4"/>
  <c r="C911" i="4"/>
  <c r="C912" i="4"/>
  <c r="C913" i="4"/>
  <c r="C914" i="4"/>
  <c r="C915" i="4"/>
  <c r="C916" i="4"/>
  <c r="C917" i="4"/>
  <c r="C918" i="4"/>
  <c r="C919" i="4"/>
  <c r="C920" i="4"/>
  <c r="C921" i="4"/>
  <c r="C922" i="4"/>
  <c r="C923" i="4"/>
  <c r="C924" i="4"/>
  <c r="C925" i="4"/>
  <c r="C926" i="4"/>
  <c r="C927" i="4"/>
  <c r="C928" i="4"/>
  <c r="C929" i="4"/>
  <c r="C930" i="4"/>
  <c r="C931" i="4"/>
  <c r="C932" i="4"/>
  <c r="C933" i="4"/>
  <c r="C934" i="4"/>
  <c r="C935" i="4"/>
  <c r="C936" i="4"/>
  <c r="C937" i="4"/>
  <c r="C938" i="4"/>
  <c r="C939" i="4"/>
  <c r="C940" i="4"/>
  <c r="C941" i="4"/>
  <c r="C942" i="4"/>
  <c r="C943" i="4"/>
  <c r="C944" i="4"/>
  <c r="C945" i="4"/>
  <c r="C946" i="4"/>
  <c r="C947" i="4"/>
  <c r="C948" i="4"/>
  <c r="C949" i="4"/>
  <c r="C950" i="4"/>
  <c r="C951" i="4"/>
  <c r="C952" i="4"/>
  <c r="C953" i="4"/>
  <c r="C954" i="4"/>
  <c r="C955" i="4"/>
  <c r="C956" i="4"/>
  <c r="C957" i="4"/>
  <c r="C958" i="4"/>
  <c r="C959" i="4"/>
  <c r="C960" i="4"/>
  <c r="C961" i="4"/>
  <c r="C962" i="4"/>
  <c r="C963" i="4"/>
  <c r="C964" i="4"/>
  <c r="C965" i="4"/>
  <c r="C966" i="4"/>
  <c r="C967" i="4"/>
  <c r="C968" i="4"/>
  <c r="C969" i="4"/>
  <c r="C970" i="4"/>
  <c r="C971" i="4"/>
  <c r="C972" i="4"/>
  <c r="C973" i="4"/>
  <c r="C974" i="4"/>
  <c r="C975" i="4"/>
  <c r="C976" i="4"/>
  <c r="C977" i="4"/>
  <c r="C978" i="4"/>
  <c r="C979" i="4"/>
  <c r="C980" i="4"/>
  <c r="C981" i="4"/>
  <c r="C982" i="4"/>
  <c r="C983" i="4"/>
  <c r="C984" i="4"/>
  <c r="C985" i="4"/>
  <c r="C986" i="4"/>
  <c r="C987" i="4"/>
  <c r="C988" i="4"/>
  <c r="C989" i="4"/>
  <c r="C990" i="4"/>
  <c r="C991" i="4"/>
  <c r="C992" i="4"/>
  <c r="C993" i="4"/>
  <c r="C994" i="4"/>
  <c r="C995" i="4"/>
  <c r="C996" i="4"/>
  <c r="C997" i="4"/>
  <c r="C998" i="4"/>
  <c r="C999" i="4"/>
  <c r="C1000" i="4"/>
  <c r="C1001" i="4"/>
  <c r="C1002" i="4"/>
  <c r="C1003" i="4"/>
  <c r="C1004" i="4"/>
  <c r="C1005" i="4"/>
  <c r="C1006" i="4"/>
  <c r="C1007" i="4"/>
  <c r="C1008" i="4"/>
  <c r="C1009" i="4"/>
  <c r="C1010" i="4"/>
  <c r="C1011" i="4"/>
  <c r="C1012" i="4"/>
  <c r="C1013" i="4"/>
  <c r="C1014" i="4"/>
  <c r="C1015" i="4"/>
  <c r="C1016" i="4"/>
  <c r="C1017" i="4"/>
  <c r="C1018" i="4"/>
  <c r="C1019" i="4"/>
  <c r="C1020" i="4"/>
  <c r="C1021" i="4"/>
  <c r="C1022" i="4"/>
  <c r="C1023" i="4"/>
  <c r="C1024" i="4"/>
  <c r="C1025" i="4"/>
  <c r="C1026" i="4"/>
  <c r="C1027" i="4"/>
  <c r="C1028" i="4"/>
  <c r="C1029" i="4"/>
  <c r="C1030" i="4"/>
  <c r="C1031" i="4"/>
  <c r="C1032" i="4"/>
  <c r="C1033" i="4"/>
  <c r="C1034" i="4"/>
  <c r="C1035" i="4"/>
  <c r="C1036" i="4"/>
  <c r="C1037" i="4"/>
  <c r="C1038" i="4"/>
  <c r="C1039" i="4"/>
  <c r="C1040" i="4"/>
  <c r="C1041" i="4"/>
  <c r="C1042" i="4"/>
  <c r="C1043" i="4"/>
  <c r="C1044" i="4"/>
  <c r="C1045" i="4"/>
  <c r="C1046" i="4"/>
  <c r="C1047" i="4"/>
  <c r="C1048" i="4"/>
  <c r="C1049" i="4"/>
  <c r="C1050" i="4"/>
  <c r="C1051" i="4"/>
  <c r="C1052" i="4"/>
  <c r="C1053" i="4"/>
  <c r="C1054" i="4"/>
  <c r="C1055" i="4"/>
  <c r="C1056" i="4"/>
  <c r="C1057" i="4"/>
  <c r="C1058" i="4"/>
  <c r="C1059" i="4"/>
  <c r="C1060" i="4"/>
  <c r="C1061" i="4"/>
  <c r="C1062" i="4"/>
  <c r="C1063" i="4"/>
  <c r="C1064" i="4"/>
  <c r="C1065" i="4"/>
  <c r="C1066" i="4"/>
  <c r="C1067" i="4"/>
  <c r="C1068" i="4"/>
  <c r="C1069" i="4"/>
  <c r="C1070" i="4"/>
  <c r="C1071" i="4"/>
  <c r="C1072" i="4"/>
  <c r="C1073" i="4"/>
  <c r="C1074" i="4"/>
  <c r="C1075" i="4"/>
  <c r="C1076" i="4"/>
  <c r="C1077" i="4"/>
  <c r="C1078" i="4"/>
  <c r="C1079" i="4"/>
  <c r="C1080" i="4"/>
  <c r="C1081" i="4"/>
  <c r="C1082" i="4"/>
  <c r="C1083" i="4"/>
  <c r="C1084" i="4"/>
  <c r="C1085" i="4"/>
  <c r="C1086" i="4"/>
  <c r="C1087" i="4"/>
  <c r="C1088" i="4"/>
  <c r="C1089" i="4"/>
  <c r="C1090" i="4"/>
  <c r="C1091" i="4"/>
  <c r="C1092" i="4"/>
  <c r="C1093" i="4"/>
  <c r="C1094" i="4"/>
  <c r="C1095" i="4"/>
  <c r="C1096" i="4"/>
  <c r="C1097" i="4"/>
  <c r="C1098" i="4"/>
  <c r="C1099" i="4"/>
  <c r="C1100" i="4"/>
  <c r="C1101" i="4"/>
  <c r="C1102" i="4"/>
  <c r="C1103" i="4"/>
  <c r="C1104" i="4"/>
  <c r="C1105" i="4"/>
  <c r="C1106" i="4"/>
  <c r="C1107" i="4"/>
  <c r="C1108" i="4"/>
  <c r="C1109" i="4"/>
  <c r="C1110" i="4"/>
  <c r="C1111" i="4"/>
  <c r="C1112" i="4"/>
  <c r="C1113" i="4"/>
  <c r="C1114" i="4"/>
  <c r="C1115" i="4"/>
  <c r="C1116" i="4"/>
  <c r="C1117" i="4"/>
  <c r="C1118" i="4"/>
  <c r="C1119" i="4"/>
  <c r="C1120" i="4"/>
  <c r="C1121" i="4"/>
  <c r="C1122" i="4"/>
  <c r="C1123" i="4"/>
  <c r="C1124" i="4"/>
  <c r="C1125" i="4"/>
  <c r="C1126" i="4"/>
  <c r="C1127" i="4"/>
  <c r="C1128" i="4"/>
  <c r="C1129" i="4"/>
  <c r="C1130" i="4"/>
  <c r="C1131" i="4"/>
  <c r="C1132" i="4"/>
  <c r="C1133" i="4"/>
  <c r="C1134" i="4"/>
  <c r="C1135" i="4"/>
  <c r="C1136" i="4"/>
  <c r="C1137" i="4"/>
  <c r="C1138" i="4"/>
  <c r="C1139" i="4"/>
  <c r="C1140" i="4"/>
  <c r="C1141" i="4"/>
  <c r="C1142" i="4"/>
  <c r="C1143" i="4"/>
  <c r="C1144" i="4"/>
  <c r="C1145" i="4"/>
  <c r="C1146" i="4"/>
  <c r="C2" i="4"/>
  <c r="B1146" i="4"/>
  <c r="B1145" i="4"/>
  <c r="B1144" i="4"/>
  <c r="B1143" i="4"/>
  <c r="B1142" i="4"/>
  <c r="B1141" i="4"/>
  <c r="B1140" i="4"/>
  <c r="B1139" i="4"/>
  <c r="B1138" i="4"/>
  <c r="B1137" i="4"/>
  <c r="B1136" i="4"/>
  <c r="B1135" i="4"/>
  <c r="B1134" i="4"/>
  <c r="B1133" i="4"/>
  <c r="B1132" i="4"/>
  <c r="B1131" i="4"/>
  <c r="B1130" i="4"/>
  <c r="B1129" i="4"/>
  <c r="B1128" i="4"/>
  <c r="B1127" i="4"/>
  <c r="B1126" i="4"/>
  <c r="B1125" i="4"/>
  <c r="B1124" i="4"/>
  <c r="B1123" i="4"/>
  <c r="B1122" i="4"/>
  <c r="B1121" i="4"/>
  <c r="B1120" i="4"/>
  <c r="B1119" i="4"/>
  <c r="B1118" i="4"/>
  <c r="B1117" i="4"/>
  <c r="B1116" i="4"/>
  <c r="B1115" i="4"/>
  <c r="B1114" i="4"/>
  <c r="B1113" i="4"/>
  <c r="B1112" i="4"/>
  <c r="B1111" i="4"/>
  <c r="B1110" i="4"/>
  <c r="B1109" i="4"/>
  <c r="B1108" i="4"/>
  <c r="B1107" i="4"/>
  <c r="B1106" i="4"/>
  <c r="B1105" i="4"/>
  <c r="B1104" i="4"/>
  <c r="B1103" i="4"/>
  <c r="B1102" i="4"/>
  <c r="B1101" i="4"/>
  <c r="B1100" i="4"/>
  <c r="B1099" i="4"/>
  <c r="B1098" i="4"/>
  <c r="B1097" i="4"/>
  <c r="B1096" i="4"/>
  <c r="B1095" i="4"/>
  <c r="B1094" i="4"/>
  <c r="B1093" i="4"/>
  <c r="B1092" i="4"/>
  <c r="B1091" i="4"/>
  <c r="B1090" i="4"/>
  <c r="B1089" i="4"/>
  <c r="B1088" i="4"/>
  <c r="B1087" i="4"/>
  <c r="B1086" i="4"/>
  <c r="B1085" i="4"/>
  <c r="B1084" i="4"/>
  <c r="B1083" i="4"/>
  <c r="B1082" i="4"/>
  <c r="B1081" i="4"/>
  <c r="B1080" i="4"/>
  <c r="B1079" i="4"/>
  <c r="B1078" i="4"/>
  <c r="B1077" i="4"/>
  <c r="B1076" i="4"/>
  <c r="B1075" i="4"/>
  <c r="B1074" i="4"/>
  <c r="B1073" i="4"/>
  <c r="B1072" i="4"/>
  <c r="B1071" i="4"/>
  <c r="B1070" i="4"/>
  <c r="B1069" i="4"/>
  <c r="B1068" i="4"/>
  <c r="B1067" i="4"/>
  <c r="B1066" i="4"/>
  <c r="B1065" i="4"/>
  <c r="B1064" i="4"/>
  <c r="B1063" i="4"/>
  <c r="B1062" i="4"/>
  <c r="B1061" i="4"/>
  <c r="B1060" i="4"/>
  <c r="B1059" i="4"/>
  <c r="B1058" i="4"/>
  <c r="B1057" i="4"/>
  <c r="B1056" i="4"/>
  <c r="B1055" i="4"/>
  <c r="B1054" i="4"/>
  <c r="B1053" i="4"/>
  <c r="B1052" i="4"/>
  <c r="B1051" i="4"/>
  <c r="B1050" i="4"/>
  <c r="B1049" i="4"/>
  <c r="B1048" i="4"/>
  <c r="B1047" i="4"/>
  <c r="B1046" i="4"/>
  <c r="B1045" i="4"/>
  <c r="B1044" i="4"/>
  <c r="B1043" i="4"/>
  <c r="B1042" i="4"/>
  <c r="B1041" i="4"/>
  <c r="B1040" i="4"/>
  <c r="B1039" i="4"/>
  <c r="B1038" i="4"/>
  <c r="B1037" i="4"/>
  <c r="B1036" i="4"/>
  <c r="B1035" i="4"/>
  <c r="B1034" i="4"/>
  <c r="B1033" i="4"/>
  <c r="B1032" i="4"/>
  <c r="B1031" i="4"/>
  <c r="B1030" i="4"/>
  <c r="B1029" i="4"/>
  <c r="B1028" i="4"/>
  <c r="B1027" i="4"/>
  <c r="B1026" i="4"/>
  <c r="B1025" i="4"/>
  <c r="B1024" i="4"/>
  <c r="B1023" i="4"/>
  <c r="B1022" i="4"/>
  <c r="B1021" i="4"/>
  <c r="B1020" i="4"/>
  <c r="B1019" i="4"/>
  <c r="B1018" i="4"/>
  <c r="B1017" i="4"/>
  <c r="B1016" i="4"/>
  <c r="B1015" i="4"/>
  <c r="B1014" i="4"/>
  <c r="B1013" i="4"/>
  <c r="B1012" i="4"/>
  <c r="B1011" i="4"/>
  <c r="B1010" i="4"/>
  <c r="B1009" i="4"/>
  <c r="B1008" i="4"/>
  <c r="B1007" i="4"/>
  <c r="B1006" i="4"/>
  <c r="B1005" i="4"/>
  <c r="B1004" i="4"/>
  <c r="B1003" i="4"/>
  <c r="B1002" i="4"/>
  <c r="B1001" i="4"/>
  <c r="B1000" i="4"/>
  <c r="B999" i="4"/>
  <c r="B998" i="4"/>
  <c r="B997" i="4"/>
  <c r="B996" i="4"/>
  <c r="B995" i="4"/>
  <c r="B994" i="4"/>
  <c r="B993" i="4"/>
  <c r="B992" i="4"/>
  <c r="B991" i="4"/>
  <c r="B990" i="4"/>
  <c r="B989" i="4"/>
  <c r="B988" i="4"/>
  <c r="B987" i="4"/>
  <c r="B986" i="4"/>
  <c r="B985" i="4"/>
  <c r="B984" i="4"/>
  <c r="B983" i="4"/>
  <c r="B982" i="4"/>
  <c r="B981" i="4"/>
  <c r="B980" i="4"/>
  <c r="B979" i="4"/>
  <c r="B978" i="4"/>
  <c r="B977" i="4"/>
  <c r="B976" i="4"/>
  <c r="B975" i="4"/>
  <c r="B974" i="4"/>
  <c r="B973" i="4"/>
  <c r="B972" i="4"/>
  <c r="B971" i="4"/>
  <c r="B970" i="4"/>
  <c r="B969" i="4"/>
  <c r="B968" i="4"/>
  <c r="B967" i="4"/>
  <c r="B966" i="4"/>
  <c r="B965" i="4"/>
  <c r="B964" i="4"/>
  <c r="B963" i="4"/>
  <c r="B962" i="4"/>
  <c r="B961" i="4"/>
  <c r="B960" i="4"/>
  <c r="B959" i="4"/>
  <c r="B958" i="4"/>
  <c r="B957" i="4"/>
  <c r="B956" i="4"/>
  <c r="B955" i="4"/>
  <c r="B954" i="4"/>
  <c r="B953" i="4"/>
  <c r="B952" i="4"/>
  <c r="B951" i="4"/>
  <c r="B950" i="4"/>
  <c r="B949" i="4"/>
  <c r="B948" i="4"/>
  <c r="B947" i="4"/>
  <c r="B946" i="4"/>
  <c r="B945" i="4"/>
  <c r="B944" i="4"/>
  <c r="B943" i="4"/>
  <c r="B942" i="4"/>
  <c r="B941" i="4"/>
  <c r="B940" i="4"/>
  <c r="B939" i="4"/>
  <c r="B938" i="4"/>
  <c r="B937" i="4"/>
  <c r="B936" i="4"/>
  <c r="B935" i="4"/>
  <c r="B934" i="4"/>
  <c r="B933" i="4"/>
  <c r="B932" i="4"/>
  <c r="B931" i="4"/>
  <c r="B930" i="4"/>
  <c r="B929" i="4"/>
  <c r="B928" i="4"/>
  <c r="B927" i="4"/>
  <c r="B926" i="4"/>
  <c r="B925" i="4"/>
  <c r="B924" i="4"/>
  <c r="B923" i="4"/>
  <c r="B922" i="4"/>
  <c r="B921" i="4"/>
  <c r="B920" i="4"/>
  <c r="B919" i="4"/>
  <c r="B918" i="4"/>
  <c r="B917" i="4"/>
  <c r="B916" i="4"/>
  <c r="B915" i="4"/>
  <c r="B914" i="4"/>
  <c r="B913" i="4"/>
  <c r="B912" i="4"/>
  <c r="B911" i="4"/>
  <c r="B910" i="4"/>
  <c r="B909" i="4"/>
  <c r="B908" i="4"/>
  <c r="B907" i="4"/>
  <c r="B906" i="4"/>
  <c r="B905" i="4"/>
  <c r="B904" i="4"/>
  <c r="B903" i="4"/>
  <c r="B902" i="4"/>
  <c r="B901" i="4"/>
  <c r="B900" i="4"/>
  <c r="B899" i="4"/>
  <c r="B898" i="4"/>
  <c r="B897" i="4"/>
  <c r="B896" i="4"/>
  <c r="B895" i="4"/>
  <c r="B894" i="4"/>
  <c r="B893" i="4"/>
  <c r="B892" i="4"/>
  <c r="B891" i="4"/>
  <c r="B890" i="4"/>
  <c r="B889" i="4"/>
  <c r="B888" i="4"/>
  <c r="B887" i="4"/>
  <c r="B886" i="4"/>
  <c r="B885" i="4"/>
  <c r="B884" i="4"/>
  <c r="B883" i="4"/>
  <c r="B882" i="4"/>
  <c r="B881" i="4"/>
  <c r="B880" i="4"/>
  <c r="B879" i="4"/>
  <c r="B878" i="4"/>
  <c r="B877" i="4"/>
  <c r="B876" i="4"/>
  <c r="B875" i="4"/>
  <c r="B874" i="4"/>
  <c r="B873" i="4"/>
  <c r="B872" i="4"/>
  <c r="B871" i="4"/>
  <c r="B870" i="4"/>
  <c r="B869" i="4"/>
  <c r="B868" i="4"/>
  <c r="B867" i="4"/>
  <c r="B866" i="4"/>
  <c r="B865" i="4"/>
  <c r="B864" i="4"/>
  <c r="B863" i="4"/>
  <c r="B862" i="4"/>
  <c r="B861" i="4"/>
  <c r="B860" i="4"/>
  <c r="B859" i="4"/>
  <c r="B858" i="4"/>
  <c r="B857" i="4"/>
  <c r="B856" i="4"/>
  <c r="B855" i="4"/>
  <c r="B854" i="4"/>
  <c r="B853" i="4"/>
  <c r="B852" i="4"/>
  <c r="B851" i="4"/>
  <c r="B850" i="4"/>
  <c r="B849" i="4"/>
  <c r="B848" i="4"/>
  <c r="B847" i="4"/>
  <c r="B846" i="4"/>
  <c r="B845" i="4"/>
  <c r="B844" i="4"/>
  <c r="B843" i="4"/>
  <c r="B842" i="4"/>
  <c r="B841" i="4"/>
  <c r="B840" i="4"/>
  <c r="B839" i="4"/>
  <c r="B838" i="4"/>
  <c r="B837" i="4"/>
  <c r="B836" i="4"/>
  <c r="B835" i="4"/>
  <c r="B834" i="4"/>
  <c r="B833" i="4"/>
  <c r="B832" i="4"/>
  <c r="B831" i="4"/>
  <c r="B830" i="4"/>
  <c r="B829" i="4"/>
  <c r="B828" i="4"/>
  <c r="B827" i="4"/>
  <c r="B826" i="4"/>
  <c r="B825" i="4"/>
  <c r="B824" i="4"/>
  <c r="B823" i="4"/>
  <c r="B822" i="4"/>
  <c r="B821" i="4"/>
  <c r="B820" i="4"/>
  <c r="B819" i="4"/>
  <c r="B818" i="4"/>
  <c r="B817" i="4"/>
  <c r="B816" i="4"/>
  <c r="B815" i="4"/>
  <c r="B814" i="4"/>
  <c r="B813" i="4"/>
  <c r="B812" i="4"/>
  <c r="B811" i="4"/>
  <c r="B810" i="4"/>
  <c r="B809" i="4"/>
  <c r="B808" i="4"/>
  <c r="B807" i="4"/>
  <c r="B806" i="4"/>
  <c r="B805" i="4"/>
  <c r="B804" i="4"/>
  <c r="B803" i="4"/>
  <c r="B802" i="4"/>
  <c r="B801" i="4"/>
  <c r="B800" i="4"/>
  <c r="B799" i="4"/>
  <c r="B798" i="4"/>
  <c r="B797" i="4"/>
  <c r="B796" i="4"/>
  <c r="B795" i="4"/>
  <c r="B794" i="4"/>
  <c r="B793" i="4"/>
  <c r="B792" i="4"/>
  <c r="B791" i="4"/>
  <c r="B790" i="4"/>
  <c r="B789" i="4"/>
  <c r="B788" i="4"/>
  <c r="B787" i="4"/>
  <c r="B786" i="4"/>
  <c r="B785" i="4"/>
  <c r="B784" i="4"/>
  <c r="B783" i="4"/>
  <c r="B782" i="4"/>
  <c r="B781" i="4"/>
  <c r="B780" i="4"/>
  <c r="B779" i="4"/>
  <c r="B778" i="4"/>
  <c r="B777" i="4"/>
  <c r="B776" i="4"/>
  <c r="B775" i="4"/>
  <c r="B774" i="4"/>
  <c r="B773" i="4"/>
  <c r="B772" i="4"/>
  <c r="B771" i="4"/>
  <c r="B770" i="4"/>
  <c r="B769" i="4"/>
  <c r="B768" i="4"/>
  <c r="B767" i="4"/>
  <c r="B766" i="4"/>
  <c r="B765" i="4"/>
  <c r="B764" i="4"/>
  <c r="B763" i="4"/>
  <c r="B762" i="4"/>
  <c r="B761" i="4"/>
  <c r="B760" i="4"/>
  <c r="B759" i="4"/>
  <c r="B758" i="4"/>
  <c r="B757" i="4"/>
  <c r="B756" i="4"/>
  <c r="B755" i="4"/>
  <c r="B754" i="4"/>
  <c r="B753" i="4"/>
  <c r="B752" i="4"/>
  <c r="B751" i="4"/>
  <c r="B750" i="4"/>
  <c r="B749" i="4"/>
  <c r="B748" i="4"/>
  <c r="B747" i="4"/>
  <c r="B746" i="4"/>
  <c r="B745" i="4"/>
  <c r="B744" i="4"/>
  <c r="B743" i="4"/>
  <c r="B742" i="4"/>
  <c r="B741" i="4"/>
  <c r="B740" i="4"/>
  <c r="B739" i="4"/>
  <c r="B738" i="4"/>
  <c r="B737" i="4"/>
  <c r="B736" i="4"/>
  <c r="B735" i="4"/>
  <c r="B734" i="4"/>
  <c r="B733" i="4"/>
  <c r="B732" i="4"/>
  <c r="B731" i="4"/>
  <c r="B730" i="4"/>
  <c r="B729" i="4"/>
  <c r="B728" i="4"/>
  <c r="B727" i="4"/>
  <c r="B726" i="4"/>
  <c r="B725" i="4"/>
  <c r="B724" i="4"/>
  <c r="B723" i="4"/>
  <c r="B722" i="4"/>
  <c r="B721" i="4"/>
  <c r="B720" i="4"/>
  <c r="B719" i="4"/>
  <c r="B718" i="4"/>
  <c r="B717" i="4"/>
  <c r="B716" i="4"/>
  <c r="B715" i="4"/>
  <c r="B714" i="4"/>
  <c r="B713" i="4"/>
  <c r="B712" i="4"/>
  <c r="B711" i="4"/>
  <c r="B710" i="4"/>
  <c r="B709" i="4"/>
  <c r="B708" i="4"/>
  <c r="B707" i="4"/>
  <c r="B706" i="4"/>
  <c r="B705" i="4"/>
  <c r="B704" i="4"/>
  <c r="B703" i="4"/>
  <c r="B702" i="4"/>
  <c r="B701" i="4"/>
  <c r="B700" i="4"/>
  <c r="B699" i="4"/>
  <c r="B698" i="4"/>
  <c r="B697" i="4"/>
  <c r="B696" i="4"/>
  <c r="B695" i="4"/>
  <c r="B694" i="4"/>
  <c r="B693" i="4"/>
  <c r="B692" i="4"/>
  <c r="B691" i="4"/>
  <c r="B690" i="4"/>
  <c r="B689" i="4"/>
  <c r="B688" i="4"/>
  <c r="B687" i="4"/>
  <c r="B686" i="4"/>
  <c r="B685" i="4"/>
  <c r="B684" i="4"/>
  <c r="B683" i="4"/>
  <c r="B682" i="4"/>
  <c r="B681" i="4"/>
  <c r="B680" i="4"/>
  <c r="B679" i="4"/>
  <c r="B678" i="4"/>
  <c r="B677" i="4"/>
  <c r="B676" i="4"/>
  <c r="B675" i="4"/>
  <c r="B674" i="4"/>
  <c r="B673" i="4"/>
  <c r="B672" i="4"/>
  <c r="B671" i="4"/>
  <c r="B670" i="4"/>
  <c r="B669" i="4"/>
  <c r="B668" i="4"/>
  <c r="B667" i="4"/>
  <c r="B666" i="4"/>
  <c r="B665" i="4"/>
  <c r="B664" i="4"/>
  <c r="B663" i="4"/>
  <c r="B662" i="4"/>
  <c r="B661" i="4"/>
  <c r="B660" i="4"/>
  <c r="B659" i="4"/>
  <c r="B658" i="4"/>
  <c r="B657" i="4"/>
  <c r="B656" i="4"/>
  <c r="B655" i="4"/>
  <c r="B654" i="4"/>
  <c r="B653" i="4"/>
  <c r="B652" i="4"/>
  <c r="B651" i="4"/>
  <c r="B650" i="4"/>
  <c r="B649" i="4"/>
  <c r="B648" i="4"/>
  <c r="B647" i="4"/>
  <c r="B646" i="4"/>
  <c r="B645" i="4"/>
  <c r="B644" i="4"/>
  <c r="B643" i="4"/>
  <c r="B642" i="4"/>
  <c r="B641" i="4"/>
  <c r="B640" i="4"/>
  <c r="B639" i="4"/>
  <c r="B638" i="4"/>
  <c r="B637" i="4"/>
  <c r="B636" i="4"/>
  <c r="B635" i="4"/>
  <c r="B634" i="4"/>
  <c r="B633" i="4"/>
  <c r="B632" i="4"/>
  <c r="B631" i="4"/>
  <c r="B630" i="4"/>
  <c r="B629" i="4"/>
  <c r="B628" i="4"/>
  <c r="B627" i="4"/>
  <c r="B626" i="4"/>
  <c r="B625" i="4"/>
  <c r="B624" i="4"/>
  <c r="B623" i="4"/>
  <c r="B622" i="4"/>
  <c r="B621" i="4"/>
  <c r="B620" i="4"/>
  <c r="B619" i="4"/>
  <c r="B618" i="4"/>
  <c r="B617" i="4"/>
  <c r="B616" i="4"/>
  <c r="B615" i="4"/>
  <c r="B614" i="4"/>
  <c r="B613" i="4"/>
  <c r="B612" i="4"/>
  <c r="B611" i="4"/>
  <c r="B610" i="4"/>
  <c r="B609" i="4"/>
  <c r="B608" i="4"/>
  <c r="B607" i="4"/>
  <c r="B606" i="4"/>
  <c r="B605" i="4"/>
  <c r="B604" i="4"/>
  <c r="B603" i="4"/>
  <c r="B602" i="4"/>
  <c r="B601" i="4"/>
  <c r="B600" i="4"/>
  <c r="B599" i="4"/>
  <c r="B598" i="4"/>
  <c r="B597" i="4"/>
  <c r="B596" i="4"/>
  <c r="B595" i="4"/>
  <c r="B594" i="4"/>
  <c r="B593" i="4"/>
  <c r="B592" i="4"/>
  <c r="B591" i="4"/>
  <c r="B590" i="4"/>
  <c r="B589" i="4"/>
  <c r="B588" i="4"/>
  <c r="B587" i="4"/>
  <c r="B586" i="4"/>
  <c r="B585" i="4"/>
  <c r="B584" i="4"/>
  <c r="B583" i="4"/>
  <c r="B582" i="4"/>
  <c r="B581" i="4"/>
  <c r="B580" i="4"/>
  <c r="B579" i="4"/>
  <c r="B578" i="4"/>
  <c r="B577" i="4"/>
  <c r="B576" i="4"/>
  <c r="B575" i="4"/>
  <c r="B574" i="4"/>
  <c r="B573" i="4"/>
  <c r="B572" i="4"/>
  <c r="B571" i="4"/>
  <c r="B570" i="4"/>
  <c r="B569" i="4"/>
  <c r="B568" i="4"/>
  <c r="B567" i="4"/>
  <c r="B566" i="4"/>
  <c r="B565" i="4"/>
  <c r="B564" i="4"/>
  <c r="B563" i="4"/>
  <c r="B562" i="4"/>
  <c r="B561" i="4"/>
  <c r="B560" i="4"/>
  <c r="B559" i="4"/>
  <c r="B558" i="4"/>
  <c r="B557" i="4"/>
  <c r="B556" i="4"/>
  <c r="B555" i="4"/>
  <c r="B554" i="4"/>
  <c r="B553" i="4"/>
  <c r="B552" i="4"/>
  <c r="B551" i="4"/>
  <c r="B550" i="4"/>
  <c r="B549" i="4"/>
  <c r="B548" i="4"/>
  <c r="B547" i="4"/>
  <c r="B546" i="4"/>
  <c r="B545" i="4"/>
  <c r="B544" i="4"/>
  <c r="B543" i="4"/>
  <c r="B542" i="4"/>
  <c r="B541" i="4"/>
  <c r="B540" i="4"/>
  <c r="B539" i="4"/>
  <c r="B538" i="4"/>
  <c r="B537" i="4"/>
  <c r="B536" i="4"/>
  <c r="B535" i="4"/>
  <c r="B534" i="4"/>
  <c r="B533" i="4"/>
  <c r="B532" i="4"/>
  <c r="B531" i="4"/>
  <c r="B530" i="4"/>
  <c r="B529" i="4"/>
  <c r="B528" i="4"/>
  <c r="B527" i="4"/>
  <c r="B526" i="4"/>
  <c r="B525" i="4"/>
  <c r="B524" i="4"/>
  <c r="B523" i="4"/>
  <c r="B522" i="4"/>
  <c r="B521" i="4"/>
  <c r="B520" i="4"/>
  <c r="B519" i="4"/>
  <c r="B518" i="4"/>
  <c r="B517" i="4"/>
  <c r="B516" i="4"/>
  <c r="B515" i="4"/>
  <c r="B514" i="4"/>
  <c r="B513" i="4"/>
  <c r="B512" i="4"/>
  <c r="B511" i="4"/>
  <c r="B510" i="4"/>
  <c r="B509" i="4"/>
  <c r="B508" i="4"/>
  <c r="B507" i="4"/>
  <c r="B506" i="4"/>
  <c r="B505" i="4"/>
  <c r="B504" i="4"/>
  <c r="B503" i="4"/>
  <c r="B502" i="4"/>
  <c r="B501" i="4"/>
  <c r="B500" i="4"/>
  <c r="B499" i="4"/>
  <c r="B498" i="4"/>
  <c r="B497" i="4"/>
  <c r="B496" i="4"/>
  <c r="B495" i="4"/>
  <c r="B494" i="4"/>
  <c r="B493" i="4"/>
  <c r="B492" i="4"/>
  <c r="B491" i="4"/>
  <c r="B490" i="4"/>
  <c r="B489" i="4"/>
  <c r="B488" i="4"/>
  <c r="B487" i="4"/>
  <c r="B486" i="4"/>
  <c r="B485" i="4"/>
  <c r="B484" i="4"/>
  <c r="B483" i="4"/>
  <c r="B482" i="4"/>
  <c r="B481" i="4"/>
  <c r="B480" i="4"/>
  <c r="B479" i="4"/>
  <c r="B478" i="4"/>
  <c r="B477" i="4"/>
  <c r="B476" i="4"/>
  <c r="B475" i="4"/>
  <c r="B474" i="4"/>
  <c r="B473" i="4"/>
  <c r="B472" i="4"/>
  <c r="B471" i="4"/>
  <c r="B470" i="4"/>
  <c r="B469" i="4"/>
  <c r="B468" i="4"/>
  <c r="B467" i="4"/>
  <c r="B466" i="4"/>
  <c r="B465" i="4"/>
  <c r="B464" i="4"/>
  <c r="B463" i="4"/>
  <c r="B462" i="4"/>
  <c r="B461" i="4"/>
  <c r="B460" i="4"/>
  <c r="B459" i="4"/>
  <c r="B458" i="4"/>
  <c r="B457" i="4"/>
  <c r="B456" i="4"/>
  <c r="B455" i="4"/>
  <c r="B454" i="4"/>
  <c r="B453" i="4"/>
  <c r="B452" i="4"/>
  <c r="B451" i="4"/>
  <c r="B450" i="4"/>
  <c r="B449" i="4"/>
  <c r="B448" i="4"/>
  <c r="B447" i="4"/>
  <c r="B446" i="4"/>
  <c r="B445" i="4"/>
  <c r="B444" i="4"/>
  <c r="B443" i="4"/>
  <c r="B442" i="4"/>
  <c r="B441" i="4"/>
  <c r="B440" i="4"/>
  <c r="B439" i="4"/>
  <c r="B438" i="4"/>
  <c r="B437" i="4"/>
  <c r="B436" i="4"/>
  <c r="B435" i="4"/>
  <c r="B434" i="4"/>
  <c r="B433" i="4"/>
  <c r="B432" i="4"/>
  <c r="B431" i="4"/>
  <c r="B430" i="4"/>
  <c r="B429" i="4"/>
  <c r="B428" i="4"/>
  <c r="B427" i="4"/>
  <c r="B426" i="4"/>
  <c r="B425" i="4"/>
  <c r="B424" i="4"/>
  <c r="B423" i="4"/>
  <c r="B422" i="4"/>
  <c r="B421" i="4"/>
  <c r="B420" i="4"/>
  <c r="B419" i="4"/>
  <c r="B418" i="4"/>
  <c r="B417" i="4"/>
  <c r="B416" i="4"/>
  <c r="B415" i="4"/>
  <c r="B414" i="4"/>
  <c r="B413" i="4"/>
  <c r="B412" i="4"/>
  <c r="B411" i="4"/>
  <c r="B410" i="4"/>
  <c r="B409" i="4"/>
  <c r="B408" i="4"/>
  <c r="B407" i="4"/>
  <c r="B406" i="4"/>
  <c r="B405" i="4"/>
  <c r="B404" i="4"/>
  <c r="B403" i="4"/>
  <c r="B402" i="4"/>
  <c r="B401" i="4"/>
  <c r="B400" i="4"/>
  <c r="B399" i="4"/>
  <c r="B398" i="4"/>
  <c r="B397" i="4"/>
  <c r="B396" i="4"/>
  <c r="B395" i="4"/>
  <c r="B394" i="4"/>
  <c r="B393" i="4"/>
  <c r="B392" i="4"/>
  <c r="B391" i="4"/>
  <c r="B390" i="4"/>
  <c r="B389" i="4"/>
  <c r="B388" i="4"/>
  <c r="B387" i="4"/>
  <c r="B386" i="4"/>
  <c r="B385" i="4"/>
  <c r="B384" i="4"/>
  <c r="B383" i="4"/>
  <c r="B382" i="4"/>
  <c r="B381" i="4"/>
  <c r="B380" i="4"/>
  <c r="B379" i="4"/>
  <c r="B378" i="4"/>
  <c r="B377" i="4"/>
  <c r="B376" i="4"/>
  <c r="B375" i="4"/>
  <c r="B374" i="4"/>
  <c r="B373" i="4"/>
  <c r="B372" i="4"/>
  <c r="B371" i="4"/>
  <c r="B370" i="4"/>
  <c r="B369" i="4"/>
  <c r="B368" i="4"/>
  <c r="B367" i="4"/>
  <c r="B366" i="4"/>
  <c r="B365" i="4"/>
  <c r="B364" i="4"/>
  <c r="B363" i="4"/>
  <c r="B362" i="4"/>
  <c r="B361" i="4"/>
  <c r="B360" i="4"/>
  <c r="B359" i="4"/>
  <c r="B358" i="4"/>
  <c r="B357" i="4"/>
  <c r="B356" i="4"/>
  <c r="B355" i="4"/>
  <c r="B354" i="4"/>
  <c r="B353" i="4"/>
  <c r="B352" i="4"/>
  <c r="B351" i="4"/>
  <c r="B350" i="4"/>
  <c r="B349" i="4"/>
  <c r="B348" i="4"/>
  <c r="B347" i="4"/>
  <c r="B346" i="4"/>
  <c r="B345" i="4"/>
  <c r="B344" i="4"/>
  <c r="B343" i="4"/>
  <c r="B342" i="4"/>
  <c r="B341" i="4"/>
  <c r="B340" i="4"/>
  <c r="B339" i="4"/>
  <c r="B338" i="4"/>
  <c r="B337" i="4"/>
  <c r="B336" i="4"/>
  <c r="B335" i="4"/>
  <c r="B334" i="4"/>
  <c r="B333" i="4"/>
  <c r="B332" i="4"/>
  <c r="B331" i="4"/>
  <c r="B330" i="4"/>
  <c r="B329" i="4"/>
  <c r="B328" i="4"/>
  <c r="B327" i="4"/>
  <c r="B326" i="4"/>
  <c r="B325" i="4"/>
  <c r="B324" i="4"/>
  <c r="B323" i="4"/>
  <c r="B322" i="4"/>
  <c r="B321" i="4"/>
  <c r="B320" i="4"/>
  <c r="B319" i="4"/>
  <c r="B318" i="4"/>
  <c r="B317" i="4"/>
  <c r="B316" i="4"/>
  <c r="B315" i="4"/>
  <c r="B314" i="4"/>
  <c r="B313" i="4"/>
  <c r="B312" i="4"/>
  <c r="B311" i="4"/>
  <c r="B310" i="4"/>
  <c r="B309" i="4"/>
  <c r="B308" i="4"/>
  <c r="B307" i="4"/>
  <c r="B306" i="4"/>
  <c r="B305" i="4"/>
  <c r="B304" i="4"/>
  <c r="B303" i="4"/>
  <c r="B302" i="4"/>
  <c r="B301" i="4"/>
  <c r="B300" i="4"/>
  <c r="B299" i="4"/>
  <c r="B298" i="4"/>
  <c r="B297" i="4"/>
  <c r="B296" i="4"/>
  <c r="B295" i="4"/>
  <c r="B294" i="4"/>
  <c r="B293" i="4"/>
  <c r="B292" i="4"/>
  <c r="B291" i="4"/>
  <c r="B290" i="4"/>
  <c r="B289" i="4"/>
  <c r="B288" i="4"/>
  <c r="B287" i="4"/>
  <c r="B286" i="4"/>
  <c r="B285" i="4"/>
  <c r="B284" i="4"/>
  <c r="B283" i="4"/>
  <c r="B282" i="4"/>
  <c r="B281" i="4"/>
  <c r="B280" i="4"/>
  <c r="B279" i="4"/>
  <c r="B278" i="4"/>
  <c r="B277" i="4"/>
  <c r="B276" i="4"/>
  <c r="B275" i="4"/>
  <c r="B274" i="4"/>
  <c r="B273" i="4"/>
  <c r="B272" i="4"/>
  <c r="B271" i="4"/>
  <c r="B270" i="4"/>
  <c r="B269" i="4"/>
  <c r="B268" i="4"/>
  <c r="B267" i="4"/>
  <c r="B266" i="4"/>
  <c r="B265" i="4"/>
  <c r="B264" i="4"/>
  <c r="B263" i="4"/>
  <c r="B262" i="4"/>
  <c r="B261" i="4"/>
  <c r="B260" i="4"/>
  <c r="B259" i="4"/>
  <c r="B258" i="4"/>
  <c r="B257" i="4"/>
  <c r="B256" i="4"/>
  <c r="B255" i="4"/>
  <c r="B254" i="4"/>
  <c r="B253" i="4"/>
  <c r="B252" i="4"/>
  <c r="B251" i="4"/>
  <c r="B250" i="4"/>
  <c r="B249" i="4"/>
  <c r="B248" i="4"/>
  <c r="B247" i="4"/>
  <c r="B246" i="4"/>
  <c r="B245" i="4"/>
  <c r="B244" i="4"/>
  <c r="B243" i="4"/>
  <c r="B242" i="4"/>
  <c r="B241" i="4"/>
  <c r="B240" i="4"/>
  <c r="B239" i="4"/>
  <c r="B238" i="4"/>
  <c r="B237" i="4"/>
  <c r="B236" i="4"/>
  <c r="B235" i="4"/>
  <c r="B234" i="4"/>
  <c r="B233" i="4"/>
  <c r="B232" i="4"/>
  <c r="B231" i="4"/>
  <c r="B230" i="4"/>
  <c r="B229" i="4"/>
  <c r="B228" i="4"/>
  <c r="B227" i="4"/>
  <c r="B226" i="4"/>
  <c r="B225" i="4"/>
  <c r="B224" i="4"/>
  <c r="B223" i="4"/>
  <c r="B222" i="4"/>
  <c r="B221" i="4"/>
  <c r="B220" i="4"/>
  <c r="B219" i="4"/>
  <c r="B218" i="4"/>
  <c r="B217" i="4"/>
  <c r="B216" i="4"/>
  <c r="B215" i="4"/>
  <c r="B214" i="4"/>
  <c r="B213" i="4"/>
  <c r="B212" i="4"/>
  <c r="B211" i="4"/>
  <c r="B210" i="4"/>
  <c r="B209" i="4"/>
  <c r="B208" i="4"/>
  <c r="B207" i="4"/>
  <c r="B206" i="4"/>
  <c r="B205" i="4"/>
  <c r="B204" i="4"/>
  <c r="B203" i="4"/>
  <c r="B202" i="4"/>
  <c r="B201" i="4"/>
  <c r="B200" i="4"/>
  <c r="B199" i="4"/>
  <c r="B198" i="4"/>
  <c r="B197" i="4"/>
  <c r="B196" i="4"/>
  <c r="B195" i="4"/>
  <c r="B194" i="4"/>
  <c r="B193" i="4"/>
  <c r="B192" i="4"/>
  <c r="B191" i="4"/>
  <c r="B190" i="4"/>
  <c r="B189" i="4"/>
  <c r="B188" i="4"/>
  <c r="B187" i="4"/>
  <c r="B186" i="4"/>
  <c r="B185" i="4"/>
  <c r="B184" i="4"/>
  <c r="B183" i="4"/>
  <c r="B182" i="4"/>
  <c r="B181" i="4"/>
  <c r="B180" i="4"/>
  <c r="B179" i="4"/>
  <c r="B178" i="4"/>
  <c r="B177" i="4"/>
  <c r="B176" i="4"/>
  <c r="B175" i="4"/>
  <c r="B174" i="4"/>
  <c r="B173" i="4"/>
  <c r="B172" i="4"/>
  <c r="B171" i="4"/>
  <c r="B170" i="4"/>
  <c r="B169" i="4"/>
  <c r="B168" i="4"/>
  <c r="B167" i="4"/>
  <c r="B166" i="4"/>
  <c r="B165" i="4"/>
  <c r="B164" i="4"/>
  <c r="B163" i="4"/>
  <c r="B162" i="4"/>
  <c r="B161" i="4"/>
  <c r="B160" i="4"/>
  <c r="B159" i="4"/>
  <c r="B158" i="4"/>
  <c r="B157" i="4"/>
  <c r="B156" i="4"/>
  <c r="B155" i="4"/>
  <c r="B154" i="4"/>
  <c r="B153" i="4"/>
  <c r="B152" i="4"/>
  <c r="B151" i="4"/>
  <c r="B150" i="4"/>
  <c r="B149" i="4"/>
  <c r="B148" i="4"/>
  <c r="B147" i="4"/>
  <c r="B146" i="4"/>
  <c r="B145" i="4"/>
  <c r="B144" i="4"/>
  <c r="B143" i="4"/>
  <c r="B142" i="4"/>
  <c r="B141" i="4"/>
  <c r="B140" i="4"/>
  <c r="B139" i="4"/>
  <c r="B138" i="4"/>
  <c r="B137" i="4"/>
  <c r="B136" i="4"/>
  <c r="B135" i="4"/>
  <c r="B134" i="4"/>
  <c r="B133" i="4"/>
  <c r="B132" i="4"/>
  <c r="B131" i="4"/>
  <c r="B130" i="4"/>
  <c r="B129" i="4"/>
  <c r="B128" i="4"/>
  <c r="B127" i="4"/>
  <c r="B126" i="4"/>
  <c r="B125" i="4"/>
  <c r="B124" i="4"/>
  <c r="B123" i="4"/>
  <c r="B122" i="4"/>
  <c r="B121" i="4"/>
  <c r="B120" i="4"/>
  <c r="B119" i="4"/>
  <c r="B118" i="4"/>
  <c r="B117" i="4"/>
  <c r="B116" i="4"/>
  <c r="B115" i="4"/>
  <c r="B114" i="4"/>
  <c r="B113" i="4"/>
  <c r="B112" i="4"/>
  <c r="B111" i="4"/>
  <c r="B110" i="4"/>
  <c r="B109" i="4"/>
  <c r="B108" i="4"/>
  <c r="B107" i="4"/>
  <c r="B106" i="4"/>
  <c r="B105" i="4"/>
  <c r="B104" i="4"/>
  <c r="B103" i="4"/>
  <c r="B102" i="4"/>
  <c r="B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B69" i="4"/>
  <c r="B68" i="4"/>
  <c r="B67" i="4"/>
  <c r="B66" i="4"/>
  <c r="B65" i="4"/>
  <c r="B64" i="4"/>
  <c r="B63" i="4"/>
  <c r="B62" i="4"/>
  <c r="B61" i="4"/>
  <c r="B60" i="4"/>
  <c r="B59" i="4"/>
  <c r="B58" i="4"/>
  <c r="B57" i="4"/>
  <c r="B56" i="4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B5" i="4"/>
  <c r="B4" i="4"/>
  <c r="B3" i="4"/>
  <c r="B2" i="4"/>
  <c r="E213" i="1"/>
  <c r="E212" i="1"/>
  <c r="E211" i="1"/>
  <c r="E210" i="1"/>
  <c r="E209" i="1"/>
  <c r="E208" i="1"/>
  <c r="E207" i="1"/>
  <c r="E206" i="1"/>
  <c r="E205" i="1"/>
  <c r="E204" i="1"/>
  <c r="E203" i="1"/>
  <c r="E202" i="1"/>
  <c r="E201" i="1"/>
  <c r="E200" i="1"/>
  <c r="E199" i="1"/>
  <c r="E198" i="1"/>
  <c r="E197" i="1"/>
  <c r="E196" i="1"/>
  <c r="E195" i="1"/>
  <c r="E194" i="1"/>
  <c r="E193" i="1"/>
  <c r="E192" i="1"/>
  <c r="E191" i="1"/>
  <c r="E190" i="1"/>
  <c r="E189" i="1"/>
  <c r="E188" i="1"/>
  <c r="E187" i="1"/>
  <c r="E186" i="1"/>
  <c r="E185" i="1"/>
  <c r="E184" i="1"/>
  <c r="E183" i="1"/>
  <c r="E182" i="1"/>
  <c r="E181" i="1"/>
  <c r="E180" i="1"/>
  <c r="E179" i="1"/>
  <c r="E178" i="1"/>
  <c r="E177" i="1"/>
  <c r="E176" i="1"/>
  <c r="E175" i="1"/>
  <c r="E174" i="1"/>
  <c r="E173" i="1"/>
  <c r="E172" i="1"/>
  <c r="E171" i="1"/>
  <c r="E170" i="1"/>
  <c r="E169" i="1"/>
  <c r="E168" i="1"/>
  <c r="E167" i="1"/>
  <c r="E166" i="1"/>
  <c r="E165" i="1"/>
  <c r="E164" i="1"/>
  <c r="E163" i="1"/>
  <c r="E162" i="1"/>
  <c r="E161" i="1"/>
  <c r="E160" i="1"/>
  <c r="E159" i="1"/>
  <c r="E158" i="1"/>
  <c r="E157" i="1"/>
  <c r="E156" i="1"/>
  <c r="E155" i="1"/>
  <c r="E154" i="1"/>
  <c r="E153" i="1"/>
  <c r="E152" i="1"/>
  <c r="E151" i="1"/>
  <c r="E150" i="1"/>
  <c r="E149" i="1"/>
  <c r="E148" i="1"/>
  <c r="E147" i="1"/>
  <c r="E146" i="1"/>
  <c r="E145" i="1"/>
  <c r="E144" i="1"/>
  <c r="E143" i="1"/>
  <c r="E142" i="1"/>
  <c r="E141" i="1"/>
  <c r="E140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E127" i="1"/>
  <c r="E126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C12" i="1"/>
  <c r="D12" i="1" s="1"/>
  <c r="C13" i="1"/>
  <c r="C14" i="1"/>
  <c r="C15" i="1"/>
  <c r="C16" i="1"/>
  <c r="C17" i="1"/>
  <c r="C18" i="1"/>
  <c r="C19" i="1"/>
  <c r="D19" i="1" s="1"/>
  <c r="C20" i="1"/>
  <c r="D20" i="1" s="1"/>
  <c r="C21" i="1"/>
  <c r="C22" i="1"/>
  <c r="C23" i="1"/>
  <c r="C24" i="1"/>
  <c r="C25" i="1"/>
  <c r="C26" i="1"/>
  <c r="C27" i="1"/>
  <c r="C28" i="1"/>
  <c r="D28" i="1" s="1"/>
  <c r="C29" i="1"/>
  <c r="D29" i="1" s="1"/>
  <c r="C30" i="1"/>
  <c r="C31" i="1"/>
  <c r="C32" i="1"/>
  <c r="C33" i="1"/>
  <c r="C34" i="1"/>
  <c r="C35" i="1"/>
  <c r="C36" i="1"/>
  <c r="D36" i="1" s="1"/>
  <c r="C37" i="1"/>
  <c r="D37" i="1" s="1"/>
  <c r="C38" i="1"/>
  <c r="C39" i="1"/>
  <c r="C40" i="1"/>
  <c r="C41" i="1"/>
  <c r="C42" i="1"/>
  <c r="C43" i="1"/>
  <c r="C44" i="1"/>
  <c r="D44" i="1" s="1"/>
  <c r="C45" i="1"/>
  <c r="D45" i="1" s="1"/>
  <c r="C46" i="1"/>
  <c r="C47" i="1"/>
  <c r="C48" i="1"/>
  <c r="C49" i="1"/>
  <c r="C50" i="1"/>
  <c r="C51" i="1"/>
  <c r="C52" i="1"/>
  <c r="D52" i="1" s="1"/>
  <c r="C53" i="1"/>
  <c r="D53" i="1" s="1"/>
  <c r="C54" i="1"/>
  <c r="C55" i="1"/>
  <c r="C56" i="1"/>
  <c r="C57" i="1"/>
  <c r="C58" i="1"/>
  <c r="C59" i="1"/>
  <c r="C60" i="1"/>
  <c r="D60" i="1" s="1"/>
  <c r="C61" i="1"/>
  <c r="D61" i="1" s="1"/>
  <c r="C62" i="1"/>
  <c r="C63" i="1"/>
  <c r="C64" i="1"/>
  <c r="C65" i="1"/>
  <c r="C66" i="1"/>
  <c r="C67" i="1"/>
  <c r="C68" i="1"/>
  <c r="D68" i="1" s="1"/>
  <c r="C69" i="1"/>
  <c r="D69" i="1" s="1"/>
  <c r="C70" i="1"/>
  <c r="C71" i="1"/>
  <c r="C72" i="1"/>
  <c r="C73" i="1"/>
  <c r="C74" i="1"/>
  <c r="C75" i="1"/>
  <c r="C76" i="1"/>
  <c r="D76" i="1" s="1"/>
  <c r="C77" i="1"/>
  <c r="C78" i="1"/>
  <c r="C79" i="1"/>
  <c r="C80" i="1"/>
  <c r="D80" i="1" s="1"/>
  <c r="C81" i="1"/>
  <c r="C82" i="1"/>
  <c r="C83" i="1"/>
  <c r="C84" i="1"/>
  <c r="C85" i="1"/>
  <c r="D85" i="1" s="1"/>
  <c r="C86" i="1"/>
  <c r="C87" i="1"/>
  <c r="C88" i="1"/>
  <c r="C89" i="1"/>
  <c r="D89" i="1" s="1"/>
  <c r="C90" i="1"/>
  <c r="C91" i="1"/>
  <c r="C92" i="1"/>
  <c r="C93" i="1"/>
  <c r="D93" i="1" s="1"/>
  <c r="C94" i="1"/>
  <c r="C95" i="1"/>
  <c r="C96" i="1"/>
  <c r="C97" i="1"/>
  <c r="D97" i="1" s="1"/>
  <c r="C98" i="1"/>
  <c r="C99" i="1"/>
  <c r="C100" i="1"/>
  <c r="C101" i="1"/>
  <c r="C102" i="1"/>
  <c r="D102" i="1" s="1"/>
  <c r="C103" i="1"/>
  <c r="C104" i="1"/>
  <c r="C105" i="1"/>
  <c r="C106" i="1"/>
  <c r="D106" i="1" s="1"/>
  <c r="C107" i="1"/>
  <c r="C108" i="1"/>
  <c r="C109" i="1"/>
  <c r="C110" i="1"/>
  <c r="D110" i="1" s="1"/>
  <c r="C111" i="1"/>
  <c r="C112" i="1"/>
  <c r="C113" i="1"/>
  <c r="C114" i="1"/>
  <c r="D114" i="1" s="1"/>
  <c r="C115" i="1"/>
  <c r="C116" i="1"/>
  <c r="C117" i="1"/>
  <c r="C118" i="1"/>
  <c r="D118" i="1" s="1"/>
  <c r="C119" i="1"/>
  <c r="C120" i="1"/>
  <c r="C121" i="1"/>
  <c r="C122" i="1"/>
  <c r="D122" i="1" s="1"/>
  <c r="C123" i="1"/>
  <c r="C124" i="1"/>
  <c r="C125" i="1"/>
  <c r="C126" i="1"/>
  <c r="D126" i="1" s="1"/>
  <c r="C127" i="1"/>
  <c r="C128" i="1"/>
  <c r="C129" i="1"/>
  <c r="C130" i="1"/>
  <c r="D130" i="1" s="1"/>
  <c r="C131" i="1"/>
  <c r="C132" i="1"/>
  <c r="C133" i="1"/>
  <c r="C134" i="1"/>
  <c r="D134" i="1" s="1"/>
  <c r="C135" i="1"/>
  <c r="C136" i="1"/>
  <c r="C137" i="1"/>
  <c r="C138" i="1"/>
  <c r="D138" i="1" s="1"/>
  <c r="C139" i="1"/>
  <c r="C140" i="1"/>
  <c r="C141" i="1"/>
  <c r="C142" i="1"/>
  <c r="D142" i="1" s="1"/>
  <c r="C143" i="1"/>
  <c r="C144" i="1"/>
  <c r="C145" i="1"/>
  <c r="C146" i="1"/>
  <c r="D146" i="1" s="1"/>
  <c r="C147" i="1"/>
  <c r="C148" i="1"/>
  <c r="C149" i="1"/>
  <c r="C150" i="1"/>
  <c r="D150" i="1" s="1"/>
  <c r="C151" i="1"/>
  <c r="C152" i="1"/>
  <c r="C153" i="1"/>
  <c r="C154" i="1"/>
  <c r="D154" i="1" s="1"/>
  <c r="C155" i="1"/>
  <c r="C156" i="1"/>
  <c r="C157" i="1"/>
  <c r="C158" i="1"/>
  <c r="D158" i="1" s="1"/>
  <c r="C159" i="1"/>
  <c r="C160" i="1"/>
  <c r="C161" i="1"/>
  <c r="C162" i="1"/>
  <c r="D162" i="1" s="1"/>
  <c r="C163" i="1"/>
  <c r="C164" i="1"/>
  <c r="C165" i="1"/>
  <c r="C166" i="1"/>
  <c r="D166" i="1" s="1"/>
  <c r="C167" i="1"/>
  <c r="C168" i="1"/>
  <c r="C169" i="1"/>
  <c r="C170" i="1"/>
  <c r="D170" i="1" s="1"/>
  <c r="C171" i="1"/>
  <c r="C172" i="1"/>
  <c r="C173" i="1"/>
  <c r="C174" i="1"/>
  <c r="D174" i="1" s="1"/>
  <c r="C175" i="1"/>
  <c r="C176" i="1"/>
  <c r="C177" i="1"/>
  <c r="C178" i="1"/>
  <c r="D178" i="1" s="1"/>
  <c r="C179" i="1"/>
  <c r="C180" i="1"/>
  <c r="C181" i="1"/>
  <c r="C182" i="1"/>
  <c r="D182" i="1" s="1"/>
  <c r="C183" i="1"/>
  <c r="C184" i="1"/>
  <c r="C185" i="1"/>
  <c r="C186" i="1"/>
  <c r="D186" i="1" s="1"/>
  <c r="C187" i="1"/>
  <c r="C188" i="1"/>
  <c r="C189" i="1"/>
  <c r="C190" i="1"/>
  <c r="D190" i="1" s="1"/>
  <c r="C191" i="1"/>
  <c r="C192" i="1"/>
  <c r="C193" i="1"/>
  <c r="C194" i="1"/>
  <c r="D194" i="1" s="1"/>
  <c r="C195" i="1"/>
  <c r="C196" i="1"/>
  <c r="C197" i="1"/>
  <c r="C198" i="1"/>
  <c r="D198" i="1" s="1"/>
  <c r="C199" i="1"/>
  <c r="C200" i="1"/>
  <c r="C201" i="1"/>
  <c r="C202" i="1"/>
  <c r="D202" i="1" s="1"/>
  <c r="C203" i="1"/>
  <c r="C204" i="1"/>
  <c r="C205" i="1"/>
  <c r="C206" i="1"/>
  <c r="D206" i="1" s="1"/>
  <c r="C207" i="1"/>
  <c r="C208" i="1"/>
  <c r="C209" i="1"/>
  <c r="C210" i="1"/>
  <c r="D210" i="1" s="1"/>
  <c r="C211" i="1"/>
  <c r="C212" i="1"/>
  <c r="C213" i="1"/>
  <c r="C10" i="1"/>
  <c r="C11" i="1"/>
  <c r="D11" i="1" s="1"/>
  <c r="C9" i="1"/>
  <c r="C229" i="8"/>
  <c r="C1150" i="4"/>
  <c r="E215" i="1"/>
  <c r="C679" i="6"/>
  <c r="C858" i="5"/>
  <c r="D75" i="1" l="1"/>
  <c r="D10" i="1"/>
  <c r="D14" i="1"/>
  <c r="D18" i="1"/>
  <c r="D22" i="1"/>
  <c r="D27" i="1"/>
  <c r="D31" i="1"/>
  <c r="D35" i="1"/>
  <c r="D39" i="1"/>
  <c r="D43" i="1"/>
  <c r="D47" i="1"/>
  <c r="D51" i="1"/>
  <c r="D55" i="1"/>
  <c r="D59" i="1"/>
  <c r="D63" i="1"/>
  <c r="D67" i="1"/>
  <c r="D71" i="1"/>
  <c r="D77" i="1"/>
  <c r="D86" i="1"/>
  <c r="D94" i="1"/>
  <c r="D103" i="1"/>
  <c r="D111" i="1"/>
  <c r="D119" i="1"/>
  <c r="D127" i="1"/>
  <c r="D135" i="1"/>
  <c r="D143" i="1"/>
  <c r="D151" i="1"/>
  <c r="D159" i="1"/>
  <c r="D167" i="1"/>
  <c r="D175" i="1"/>
  <c r="D183" i="1"/>
  <c r="D191" i="1"/>
  <c r="D199" i="1"/>
  <c r="D207" i="1"/>
  <c r="D213" i="1"/>
  <c r="D209" i="1"/>
  <c r="D205" i="1"/>
  <c r="D201" i="1"/>
  <c r="D197" i="1"/>
  <c r="D193" i="1"/>
  <c r="D189" i="1"/>
  <c r="D185" i="1"/>
  <c r="D181" i="1"/>
  <c r="D177" i="1"/>
  <c r="D173" i="1"/>
  <c r="D169" i="1"/>
  <c r="D165" i="1"/>
  <c r="D161" i="1"/>
  <c r="D157" i="1"/>
  <c r="D153" i="1"/>
  <c r="D149" i="1"/>
  <c r="D145" i="1"/>
  <c r="D141" i="1"/>
  <c r="D137" i="1"/>
  <c r="D133" i="1"/>
  <c r="D129" i="1"/>
  <c r="D125" i="1"/>
  <c r="D121" i="1"/>
  <c r="D117" i="1"/>
  <c r="D113" i="1"/>
  <c r="D109" i="1"/>
  <c r="D105" i="1"/>
  <c r="D101" i="1"/>
  <c r="D15" i="1"/>
  <c r="D24" i="1"/>
  <c r="D32" i="1"/>
  <c r="D40" i="1"/>
  <c r="D48" i="1"/>
  <c r="D56" i="1"/>
  <c r="D64" i="1"/>
  <c r="D72" i="1"/>
  <c r="D78" i="1"/>
  <c r="D87" i="1"/>
  <c r="D95" i="1"/>
  <c r="D104" i="1"/>
  <c r="D112" i="1"/>
  <c r="D120" i="1"/>
  <c r="D128" i="1"/>
  <c r="D136" i="1"/>
  <c r="D144" i="1"/>
  <c r="D152" i="1"/>
  <c r="D160" i="1"/>
  <c r="D168" i="1"/>
  <c r="D176" i="1"/>
  <c r="D184" i="1"/>
  <c r="D192" i="1"/>
  <c r="D200" i="1"/>
  <c r="D208" i="1"/>
  <c r="D79" i="1"/>
  <c r="D96" i="1"/>
  <c r="D92" i="1"/>
  <c r="D88" i="1"/>
  <c r="D84" i="1"/>
  <c r="D16" i="1"/>
  <c r="D25" i="1"/>
  <c r="D33" i="1"/>
  <c r="D41" i="1"/>
  <c r="D49" i="1"/>
  <c r="D57" i="1"/>
  <c r="D65" i="1"/>
  <c r="D73" i="1"/>
  <c r="D82" i="1"/>
  <c r="D90" i="1"/>
  <c r="D98" i="1"/>
  <c r="D107" i="1"/>
  <c r="D115" i="1"/>
  <c r="D123" i="1"/>
  <c r="D131" i="1"/>
  <c r="D139" i="1"/>
  <c r="D147" i="1"/>
  <c r="D155" i="1"/>
  <c r="D163" i="1"/>
  <c r="D171" i="1"/>
  <c r="D179" i="1"/>
  <c r="D187" i="1"/>
  <c r="D195" i="1"/>
  <c r="D203" i="1"/>
  <c r="D211" i="1"/>
  <c r="D9" i="1"/>
  <c r="D13" i="1"/>
  <c r="D17" i="1"/>
  <c r="D21" i="1"/>
  <c r="D26" i="1"/>
  <c r="D30" i="1"/>
  <c r="D34" i="1"/>
  <c r="D38" i="1"/>
  <c r="D42" i="1"/>
  <c r="D46" i="1"/>
  <c r="D50" i="1"/>
  <c r="D54" i="1"/>
  <c r="D58" i="1"/>
  <c r="D62" i="1"/>
  <c r="D66" i="1"/>
  <c r="D70" i="1"/>
  <c r="D74" i="1"/>
  <c r="D83" i="1"/>
  <c r="D91" i="1"/>
  <c r="D100" i="1"/>
  <c r="D108" i="1"/>
  <c r="D116" i="1"/>
  <c r="D124" i="1"/>
  <c r="D132" i="1"/>
  <c r="D140" i="1"/>
  <c r="D148" i="1"/>
  <c r="D156" i="1"/>
  <c r="D164" i="1"/>
  <c r="D172" i="1"/>
  <c r="D180" i="1"/>
  <c r="D188" i="1"/>
  <c r="D196" i="1"/>
  <c r="D204" i="1"/>
  <c r="D212" i="1"/>
</calcChain>
</file>

<file path=xl/sharedStrings.xml><?xml version="1.0" encoding="utf-8"?>
<sst xmlns="http://schemas.openxmlformats.org/spreadsheetml/2006/main" count="11524" uniqueCount="6697">
  <si>
    <t>Capital IQ Company Screening Report</t>
  </si>
  <si>
    <t>Company Name</t>
  </si>
  <si>
    <t>Exchange:Ticker</t>
  </si>
  <si>
    <t>Exchanges [Primary Listing]</t>
  </si>
  <si>
    <t>Exchanges [Secondary Listings]</t>
  </si>
  <si>
    <t>Quick Ratio [Latest Annual]</t>
  </si>
  <si>
    <t>Net Debt [Latest Annual] (HKDmm, Historical rate)</t>
  </si>
  <si>
    <t>Market Capitalization [Latest] (HKDmm, Historical rate)</t>
  </si>
  <si>
    <t>Total Liabilities/Total Assets % [Latest Annual]</t>
  </si>
  <si>
    <t>P/BV [Latest] (x)</t>
  </si>
  <si>
    <t>Industry Classifications</t>
  </si>
  <si>
    <t>IWS Group Holdings Limited (SEHK:6663)</t>
  </si>
  <si>
    <t>SEHK:6663</t>
  </si>
  <si>
    <t>The Stock Exchange of Hong Kong Ltd. (SEHK)</t>
  </si>
  <si>
    <t>-</t>
  </si>
  <si>
    <t>Commercial and Professional Services (Primary); Commercial Guard Services  (Primary); Commercial Security and Safety Services  (Primary); Commercial Services and Supplies (Primary); Industrials (Primary); Security and Alarm Services (Primary); Consumer Discretionary; Consumer Services; Diversified Consumer Services; Diversified Support Services; Facilities Support Management Services; General Management Services; Motor Vehicle Parking; Motor Vehicle Repair and Services; Motor Vehicle Services; Office Services and Supplies; Real Estate; Real Estate; Real Estate Management and Development; Real Estate Management Services; Real Estate Operating Companies; Residential and Personal Guard Services; Residential Building Care and Improvement Services ; Residential Security and Personal Safety Services; Specialized Consumer Services</t>
  </si>
  <si>
    <t>Huaxi Holdings Company Limited (SEHK:1689)</t>
  </si>
  <si>
    <t>SEHK:1689</t>
  </si>
  <si>
    <t>The Stock Exchange of Hong Kong Ltd. (SEHK)</t>
  </si>
  <si>
    <t>Containers and Packaging (Primary); Materials (Primary); Materials (Primary); Paper Packaging (Primary); Biotechnology; Biotechnology; Capital Goods; Commercial and Professional Services; Commercial Services and Supplies; Construction and Engineering; Construction and Engineering; Construction Support Services; Environmental and Facilities Services; Health Care; Health Care Distributors; Health Care Equipment and Services; Health Care Providers and Services; Healthcare Equipment Distribution; Industrials; Pharmaceuticals, Biotechnology and Life Sciences</t>
  </si>
  <si>
    <t>Zhou Hei Ya International Holdings Company Limited (SEHK:1458)</t>
  </si>
  <si>
    <t>SEHK:1458</t>
  </si>
  <si>
    <t>The Stock Exchange of Hong Kong Ltd. (SEHK)</t>
  </si>
  <si>
    <t>Consumer Staples (Primary); Food Products (Primary); Food, Beverage and Tobacco (Primary); Meats, Meat Processing And Meat Related Products (Primary); Packaged Foods and Meats (Primary); Poultry And Poultry Products (Primary); Commercial and Professional Services; Consumer Discretionary; Food and Staples Retailing; Food and Staples Retailing; Food Retail; Industrials; Internet and Direct Marketing Retail; Internet and Direct Marketing Retail; Online Food and Drug Retail; Online Food Retail; Professional Services; Real Estate; Real Estate; Real Estate Management and Development; Real Estate Management Services; Real Estate Operating Companies; Real Estate Operators And Lessors; Research and Consulting Services; Research, Development, and Testing Services; Retailing</t>
  </si>
  <si>
    <t>Justin Allen Holdings Limited (SEHK:1425)</t>
  </si>
  <si>
    <t>SEHK:1425</t>
  </si>
  <si>
    <t>The Stock Exchange of Hong Kong Ltd. (SEHK)</t>
  </si>
  <si>
    <t>Apparel (Primary); Apparel, Accessories and Luxury Goods (Primary); Consumer Discretionary (Primary); Consumer Durables and Apparel (Primary); Men's Apparel (Primary); Textiles, Apparel and Luxury Goods (Primary); Women's, Misses', and Juniors' Apparel (Primary); Fabrics; Textile Mill Products; Textiles</t>
  </si>
  <si>
    <t>Fu Shou Yuan International Group Limited (SEHK:1448)</t>
  </si>
  <si>
    <t>SEHK:1448</t>
  </si>
  <si>
    <t>The Stock Exchange of Hong Kong Ltd. (SEHK)</t>
  </si>
  <si>
    <t>Cemeteries (Primary); Cemeteries and Funeral Home Services (Primary); Consumer Discretionary (Primary); Consumer Services (Primary); Diversified Consumer Services (Primary); Funeral Homes and Crematories (Primary); Funeral Homes and Funeral Services (Primary); Specialized Consumer Services (Primary); Agricultural Services; Capital Goods; Cemetery Sub Dividers And Developers; Commercial and Professional Services; Commercial Services and Supplies; Environmental and Facilities Services; Industrial Machinery; Industrials; Land Sub Dividers And Developers; Landscape and Horticultural Services; Machinery; Real Estate; Real Estate; Real Estate Development; Real Estate Management and Development</t>
  </si>
  <si>
    <t>Nayuki Holdings Limited (SEHK:2150)</t>
  </si>
  <si>
    <t>SEHK:2150</t>
  </si>
  <si>
    <t>The Stock Exchange of Hong Kong Ltd. (SEHK)</t>
  </si>
  <si>
    <t>Beverage and Tobacco Bars (Primary); Consumer Discretionary (Primary); Consumer Services (Primary); Hotels, Restaurants and Leisure (Primary); Restaurants (Primary); Tea and Coffee Shops (Primary)</t>
  </si>
  <si>
    <t>Global New Material International Holdings Limited (SEHK:6616)</t>
  </si>
  <si>
    <t>SEHK:6616</t>
  </si>
  <si>
    <t>The Stock Exchange of Hong Kong Ltd. (SEHK)</t>
  </si>
  <si>
    <t>Chemicals (Primary); Materials (Primary); Materials (Primary); Organic Dyes And Pigments (Primary); Specialty Chemicals (Primary)</t>
  </si>
  <si>
    <t>Zero2IPO Holdings Inc. (SEHK:1945)</t>
  </si>
  <si>
    <t>SEHK:1945</t>
  </si>
  <si>
    <t>The Stock Exchange of Hong Kong Ltd. (SEHK)</t>
  </si>
  <si>
    <t>Capital Markets (Primary); Diversified Financials (Primary); Financial Exchanges and Data (Primary); Financials (Primary); Advertising; Asset Management and Custody Banks; Commercial and Professional Services; Communication Services; Consulting Services; Consumer Discretionary; Consumer Services; Diversified Consumer Services; Education Services; Industrials; Interactive Media and Services; Interactive Media and Services; Investment Advice; Investment Banking; Investment Banking and Brokerage; Marketing Services; Media; Media and Entertainment; Merger and Acquisition Advisory Services; Online Education Courses; Online Security Brokers and Dealers; Online Services; Online Trading Systems; Private Placement Advisory Services; Professional Services; Research and Consulting Services; Securities and Commodities Markets Services; Security Brokers and Dealers; Security Underwriting Services</t>
  </si>
  <si>
    <t>Nissin Foods Company Limited (SEHK:1475)</t>
  </si>
  <si>
    <t>SEHK:1475</t>
  </si>
  <si>
    <t>The Stock Exchange of Hong Kong Ltd. (SEHK)</t>
  </si>
  <si>
    <t>Consumer Staples (Primary); Food Products (Primary); Food, Beverage and Tobacco (Primary); Frozen Foods (Primary); Packaged Food Mixes (Primary); Packaged Foods and Meats (Primary); Prepared and Preserved Foods (Primary); Snack Food (Primary); Advertising; Beverage Distribution; Beverages; Commercial and Professional Services; Commercial Services and Supplies; Communication Services; Containers and Packaging; Diversified Support Services; Food and Staples Retailing; Food and Staples Retailing; Food Distributors; Industrials; Juices; Materials; Materials; Media; Media and Entertainment; Metal and Glass Containers; Non-Alcoholic Beverage Distribution; Plastic Packaging; Soft Drinks</t>
  </si>
  <si>
    <t>China Leon Inspection Holding Limited (SEHK:1586)</t>
  </si>
  <si>
    <t>SEHK:1586</t>
  </si>
  <si>
    <t>The Stock Exchange of Hong Kong Ltd. (SEHK)</t>
  </si>
  <si>
    <t>Energy (Primary); Energy (Primary); Energy Equipment and Services (Primary); Oil and Gas Equipment and Services (Primary); Application Software; Capital Goods; Chemical Distribution; Commercial and Professional Services; Electric Power By Solar Energy; Electric Power By Wind Energy; Electronic Equipment, Instruments and Components; Independent Power and Renewable Electricity Producers; Industrials; Information Technology; Materials; Materials; Metals and Mining; Nonmetallic Mineral Mining; Nonmetallic Mining Geophysical Surveying; Precious Metals and Minerals; Professional Services; Renewable Electricity; Research and Consulting Services; Research, Development, and Testing Services; Software; Software and Services; Technology Distributors; Technology Hardware and Equipment; Technology Hardware, Storage and Peripherals; Technology Hardware, Storage and Peripherals; Testing Laboratories; Trading Companies and Distributors; Trading Companies and Distributors; Utilities; Utilities</t>
  </si>
  <si>
    <t>Sun.King Technology Group Limited (SEHK:580)</t>
  </si>
  <si>
    <t>SEHK:580</t>
  </si>
  <si>
    <t>The Stock Exchange of Hong Kong Ltd. (SEHK)</t>
  </si>
  <si>
    <t>Capital Goods (Primary); Electrical Components and Equipment (Primary); Electrical Equipment (Primary); Industrials (Primary); Electronic Components; Electronic Components; Electronic Equipment and Instruments; Electronic Equipment, Instruments and Components; Heavy Electrical Equipment; Information Technology; Power Generation Equipment; Semiconductors; Semiconductors and Semiconductor Equipment; Semiconductors and Semiconductor Equipment; Technology Distributors; Technology Hardware and Equipment; Technology Hardware and Equipment Distribution; Trading Companies and Distributors; Trading Companies and Distributors; Transmission and Distribution Equipment</t>
  </si>
  <si>
    <t>JH Educational Technology INC. (SEHK:1935)</t>
  </si>
  <si>
    <t>SEHK:1935</t>
  </si>
  <si>
    <t>The Stock Exchange of Hong Kong Ltd. (SEHK)</t>
  </si>
  <si>
    <t>Colleges, Universities, Professional Schools, and Junior Colleges (Primary); Consumer Discretionary (Primary); Consumer Services (Primary); Diversified Consumer Services (Primary); Education Services (Primary); Junior Colleges and Technical Institutes (Primary); Schools (Primary); Commercial and Professional Services; Consulting Services; Industrials; Management Consulting Services; Professional Services; Research and Consulting Services</t>
  </si>
  <si>
    <t>Cloud Music Inc. (SEHK:9899)</t>
  </si>
  <si>
    <t>SEHK:9899</t>
  </si>
  <si>
    <t>The Stock Exchange of Hong Kong Ltd. (SEHK)</t>
  </si>
  <si>
    <t>Communication Services (Primary); Entertainment (Primary); Entertainment Services (Primary); Entertainment Venues (Primary); Media and Entertainment (Primary); Motion Picture Post-Production Services (Primary); Movies and Entertainment (Primary); Multimedia Streaming Services (Primary); Music Publishing (Primary); Music Services (Primary); Online Entertainment (Primary); Advertising; Application Hosting Services; Application Service Providers (ASPs); Application Software; Information Technology; Media; Software; Software and Services</t>
  </si>
  <si>
    <t>Hangzhou SF Intra-city Industrial Co., Ltd. (SEHK:9699)</t>
  </si>
  <si>
    <t>SEHK:9699</t>
  </si>
  <si>
    <t>The Stock Exchange of Hong Kong Ltd. (SEHK)</t>
  </si>
  <si>
    <t>Air Freight and Logistics (Primary); Air Freight and Logistics (Primary); Ground Courier Services (Primary); Industrials (Primary); Local Ground Courier Services (Primary); Transportation (Primary); Communication Services; Development Consulting; Information Technology; Information Technology (IT) Consulting; Interactive Media and Services; Interactive Media and Services; IT Consulting and Other Services; IT Services; Media and Entertainment; Online Services; Services Outsourcing; Software and Services</t>
  </si>
  <si>
    <t>MINISO Group Holding Limited (NYSE:MNSO)</t>
  </si>
  <si>
    <t>NYSE:MNSO</t>
  </si>
  <si>
    <t>SEHK:9896
Company: MINISO Group Holding Limited
(IQT1783831757) - The Stock Exchange of Hong Kong Ltd. (SEHK)</t>
  </si>
  <si>
    <t>Consumer Discretionary (Primary); General Merchandise Stores (Primary); Multiline Retail (Primary); Retailing (Primary); Variety Stores (Primary); Accessory Stores; Apparel Retail; Appliance Stores; Beauty Care Product Stores; Computer and Electronics Retail; Cosmetics Stores; Gift and Novelty Stores; Greeting Card and Stationery Stores; Hobbies, Games and Toy Stores; Homefurnishing Retail; Internet and Direct Marketing Retail; Internet and Direct Marketing Retail; Leisure Equipment Stores; Online Accessory Retail; Online Apparel and Accessory Retail; Online Apparel Retail; Online Appliance Retail; Online Beauty Care Product Retail; Online Cosmetics Retail; Online Flowers, Gifts and Novelties; Online Food and Drug Retail; Online Food Retail; Online Hobbies, Games and Toy Retail; Online Home Furnishing Retail; Online Leisure Equipment Retail; Online Paper Product Retail; Online Personal Care Product Retail; Online Specialty Retail; Online Stationery Retail; Paper Product Stores; Personal Care Product Stores; Specialty Retail; Specialty Stores</t>
  </si>
  <si>
    <t>FriendTimes Inc. (SEHK:6820)</t>
  </si>
  <si>
    <t>SEHK:6820</t>
  </si>
  <si>
    <t>The Stock Exchange of Hong Kong Ltd. (SEHK)</t>
  </si>
  <si>
    <t>Communication Services (Primary); Computer and Mobile Games (Primary); Entertainment (Primary); Entertainment Software (Primary); Interactive Home Entertainment (Primary); Media and Entertainment (Primary); Commercial and Professional Services; Consulting Services; Entertainment Production Companies; Industrials; Management Consulting Services; Motion Picture and Video Production Companies; Movies and Entertainment; Professional Services; Research and Consulting Services; Television Production Companies</t>
  </si>
  <si>
    <t>Viva China Holdings Limited (SEHK:8032)</t>
  </si>
  <si>
    <t>SEHK:8032</t>
  </si>
  <si>
    <t>The Stock Exchange of Hong Kong Ltd. (SEHK)</t>
  </si>
  <si>
    <t>Apparel, Accessories and Luxury Goods (Primary); Consumer Discretionary (Primary); Consumer Durables and Apparel (Primary); Textiles, Apparel and Luxury Goods (Primary); Advertising; Amusement And Recreation Services; Amusement Operations, Parks and Services; Communication Services; Consumer Services; Entertainment; Entertainment Services; Footwear; Health Care; Health Care Equipment and Services; Health Care Providers and Services; Health Care Services; Hotels, Restaurants and Leisure; Leisure Facilities; Marketing Services; Media; Media and Entertainment; Movies and Entertainment; Real Estate; Real Estate; Real Estate Development; Real Estate Management and Development; Real Estate Operating Companies; Real Estate Operators And Lessors; Real Estate Services; Rehabilitation Services; Sports and Related Services; Sports Services</t>
  </si>
  <si>
    <t>Orient Victory Smart urban Services Holding Limited (SEHK:265)</t>
  </si>
  <si>
    <t>SEHK:265</t>
  </si>
  <si>
    <t>The Stock Exchange of Hong Kong Ltd. (SEHK)</t>
  </si>
  <si>
    <t>Consumer Discretionary (Primary); Consumer Services (Primary); Hotels, Resorts and Cruise Lines (Primary); Hotels, Restaurants and Leisure (Primary); Lodging (Primary); Travel Agencies (Primary); Travel and Tourism Services (Primary); Capital Goods; Construction and Engineering; Construction and Engineering; Construction Support Services; Engineering and Surveying Services; Engineering Services; Industrials; Nonresidential Building Operators and Lessors; Nonresidential Property Managers; Real Estate; Real Estate; Real Estate Development; Real Estate Management and Development; Real Estate Management Services; Real Estate Operating Companies; Real Estate Operators And Lessors; Residential Building Operators and Lessors; Residential Property Managers</t>
  </si>
  <si>
    <t>Net-a-Go Technology Company Limited (SEHK:1483)</t>
  </si>
  <si>
    <t>SEHK:1483</t>
  </si>
  <si>
    <t>The Stock Exchange of Hong Kong Ltd. (SEHK)</t>
  </si>
  <si>
    <t>Commercial and Professional Services (Primary); Commercial Services and Supplies (Primary); Environmental and Facilities Services (Primary); Industrials (Primary); Sanitary Services (Primary); Capital Markets; Consumer Discretionary; Consumer Services; Diversified Financials; Financials; Hotels, Restaurants and Leisure; Investment Banking and Brokerage; Real Estate; Real Estate; Real Estate Management and Development; Real Estate Operating Companies; Real Estate Operators And Lessors; Restaurants; Securities and Commodities Markets Services; Security Brokers and Dealers</t>
  </si>
  <si>
    <t>CIFI Ever Sunshine Services Group Limited (SEHK:1995)</t>
  </si>
  <si>
    <t>SEHK:1995</t>
  </si>
  <si>
    <t>The Stock Exchange of Hong Kong Ltd. (SEHK)</t>
  </si>
  <si>
    <t>Nonresidential Property Managers (Primary); Real Estate (Primary); Real Estate (Primary); Real Estate Management and Development (Primary); Real Estate Management Services (Primary); Real Estate Operating Companies (Primary); Residential Property Managers (Primary); Application Software; Asset Management and Custody Banks; Capital Goods; Capital Markets; Commercial and Professional Services; Commercial Services and Supplies; Construction and Engineering; Construction and Engineering; Diversified Financials; Diversified Support Services; Financials; Industrials; Information Technology; IT Consulting and Other Services; IT Services; Real Estate Agents And Brokers; Real Estate Services; Software; Software and Services</t>
  </si>
  <si>
    <t>Dashan Education Holdings Limited (SEHK:9986)</t>
  </si>
  <si>
    <t>SEHK:9986</t>
  </si>
  <si>
    <t>The Stock Exchange of Hong Kong Ltd. (SEHK)</t>
  </si>
  <si>
    <t>Consumer Discretionary (Primary); Consumer Services (Primary); Diversified Consumer Services (Primary); Education Services (Primary); Specialty Educational Services (Primary); Commercial and Professional Services; Consulting Services; Distributors; Distributors; Diversified Financial Services; Diversified Financials; Financials; Industrials; Investment Services and Holding Companies; Media Distribution; Multi-Sector Holdings; Patent Owners and Lessors; Printed Media Distribution; Professional Services; Research and Consulting Services; Retailing</t>
  </si>
  <si>
    <t>Fulu Holdings Limited (SEHK:2101)</t>
  </si>
  <si>
    <t>SEHK:2101</t>
  </si>
  <si>
    <t>The Stock Exchange of Hong Kong Ltd. (SEHK)</t>
  </si>
  <si>
    <t>Consumer Discretionary (Primary); Internet and Direct Marketing Retail (Primary); Internet and Direct Marketing Retail (Primary); Online Specialty Retail (Primary); Retailing (Primary)</t>
  </si>
  <si>
    <t>Hongcheng Environmental Technology Company Limited (SEHK:2265)</t>
  </si>
  <si>
    <t>SEHK:2265</t>
  </si>
  <si>
    <t>The Stock Exchange of Hong Kong Ltd. (SEHK)</t>
  </si>
  <si>
    <t>Commercial and Professional Services (Primary); Commercial Services and Supplies (Primary); Environmental and Facilities Services (Primary); Hazardous Waste Collection, Treatment and Disposal Services (Primary); Industrials (Primary); Recycling Facilities (Primary); Sanitary Services (Primary)</t>
  </si>
  <si>
    <t>Redsun Services Group Limited (SEHK:1971)</t>
  </si>
  <si>
    <t>SEHK:1971</t>
  </si>
  <si>
    <t>The Stock Exchange of Hong Kong Ltd. (SEHK)</t>
  </si>
  <si>
    <t>Nonresidential Property Managers (Primary); Real Estate (Primary); Real Estate (Primary); Real Estate Management and Development (Primary); Real Estate Management Services (Primary); Real Estate Operating Companies (Primary); Residential Property Managers (Primary); Capital Goods; Commercial and Professional Services; Commercial Design Services; Commercial Services and Supplies; Construction and Engineering; Construction and Engineering; Consumer Discretionary; Consumer Services; Development Consulting; Diversified Consumer Services; Diversified Support Services; Financials; Industrials; Information Technology; Information Technology (IT) Consulting; Insurance; Insurance; Insurance Brokers; IT Consulting and Other Services; IT Services; Real Estate Agents And Brokers; Real Estate Services; Residential Design Services ; Services Outsourcing; Software and Services; Specialized Consumer Services; Specialty Contract Work</t>
  </si>
  <si>
    <t>Yuexiu Services Group Limited (SEHK:6626)</t>
  </si>
  <si>
    <t>SEHK:6626</t>
  </si>
  <si>
    <t>The Stock Exchange of Hong Kong Ltd. (SEHK)</t>
  </si>
  <si>
    <t>Nonresidential Property Managers (Primary); Real Estate (Primary); Real Estate (Primary); Real Estate Management and Development (Primary); Real Estate Management Services (Primary); Real Estate Operating Companies (Primary); Residential Property Managers (Primary); Building Care and Improvement Services; Commercial and Professional Services; Commercial Security and Safety Services ; Commercial Security Systems Services ; Commercial Services and Supplies; Consulting Services; Consumer Discretionary; Consumer Services; Diversified Consumer Services; Diversified Support Services; Industrials; Land Sub Dividers And Developers; Land Sub Dividers and Developers, except Cemetery; Motor Vehicle Parking; Motor Vehicle Repair and Services; Motor Vehicle Services; Professional Services; Real Estate Agents And Brokers; Real Estate Development; Real Estate Services; Research and Consulting Services; Security and Alarm Services; Specialized Consumer Services</t>
  </si>
  <si>
    <t>Tongdao Liepin Group (SEHK:6100)</t>
  </si>
  <si>
    <t>SEHK:6100</t>
  </si>
  <si>
    <t>The Stock Exchange of Hong Kong Ltd. (SEHK)</t>
  </si>
  <si>
    <t>Communication Services (Primary); Interactive Media and Services (Primary); Interactive Media and Services (Primary); Media and Entertainment (Primary); Online Services (Primary); Commercial and Professional Services; Consulting Services; Consumer Discretionary; Consumer Services; Diversified Consumer Services; Education Services; Human Resource and Employment Services; Industrials; Online Education Courses; Online Recruiting and Job Listing Services; Professional Services; Research and Consulting Services</t>
  </si>
  <si>
    <t>Kwung's Holdings Limited (SEHK:1925)</t>
  </si>
  <si>
    <t>SEHK:1925</t>
  </si>
  <si>
    <t>The Stock Exchange of Hong Kong Ltd. (SEHK)</t>
  </si>
  <si>
    <t>Candles and Candleholders (Primary); Consumer Discretionary (Primary); Consumer Durables and Apparel (Primary); Home Decor Accessories (Primary); Home Furnishings (Primary); Household Durables (Primary); Air Fresheners; Cleaning Products; Consumer Staples; Distributors; Distributors; Durable Goods Distribution; Household and Personal Products; Household Durables Distribution; Household Products; Household Products; Internet and Direct Marketing Retail; Internet and Direct Marketing Retail; Online Home Furnishing Retail; Online Specialty Retail; Retailing</t>
  </si>
  <si>
    <t>Guangdong Join-Share Financing Guarantee Investment Co., Ltd. (SEHK:1543)</t>
  </si>
  <si>
    <t>SEHK:1543</t>
  </si>
  <si>
    <t>The Stock Exchange of Hong Kong Ltd. (SEHK)</t>
  </si>
  <si>
    <t>Consumer Finance (Primary); Consumer Finance (Primary); Diversified Financials (Primary); Financials (Primary); Personal Credit Agencies (Primary); Asset Management and Custody Banks; Business Credit Agencies; Capital Markets; Commercial and Professional Services; Consulting Services; Credit Agencies; Diversified Financial Services; Industrials; Professional Services; Research and Consulting Services; Specialized Finance</t>
  </si>
  <si>
    <t>Central China New Life Limited (SEHK:9983)</t>
  </si>
  <si>
    <t>SEHK:9983</t>
  </si>
  <si>
    <t>The Stock Exchange of Hong Kong Ltd. (SEHK)</t>
  </si>
  <si>
    <t>Nonresidential Property Managers (Primary); Real Estate (Primary); Real Estate (Primary); Real Estate Management and Development (Primary); Real Estate Management Services (Primary); Real Estate Operating Companies (Primary); Residential Property Managers (Primary); Capital Goods; Construction and Engineering; Construction and Engineering; Construction Support Services; Consumer Discretionary; Consumer Services; Diversified Consumer Services; Hotels; Hotels And Motels; Hotels, Resorts and Cruise Lines; Hotels, Restaurants and Leisure; Industrials; Internet and Direct Marketing Retail; Internet and Direct Marketing Retail; Lodging; Retailing; Specialized Consumer Services; Travel and Tourism Services</t>
  </si>
  <si>
    <t>Honma Golf Limited (SEHK:6858)</t>
  </si>
  <si>
    <t>SEHK:6858</t>
  </si>
  <si>
    <t>The Stock Exchange of Hong Kong Ltd. (SEHK)</t>
  </si>
  <si>
    <t>Consumer Discretionary (Primary); Consumer Durables and Apparel (Primary); Golf Equipment (Primary); Leisure Products (Primary); Leisure Products (Primary); Sporting and Recreational Goods (Primary); Sporting Goods (Primary); Accessories; Apparel; Apparel, Accessories and Luxury Goods; Athletic Footwear; Athletic Uniforms; Footwear; Gloves; Luggage and Handbags; Specialty Apparel; Textiles, Apparel and Luxury Goods</t>
  </si>
  <si>
    <t>IMAX China Holding, Inc. (SEHK:1970)</t>
  </si>
  <si>
    <t>SEHK:1970</t>
  </si>
  <si>
    <t>The Stock Exchange of Hong Kong Ltd. (SEHK)</t>
  </si>
  <si>
    <t>Communication Services (Primary); Entertainment (Primary); Entertainment Equipment  (Primary); Entertainment Services (Primary); Media and Entertainment (Primary); Movies and Entertainment (Primary); Ticket Agencies (Primary); Advertising; Capital Goods; Commercial and Professional Services; Commercial Services and Supplies; Conference Services; Diversified Support Services; Industrials; Information Technology; Information Technology (IT) Consulting; IT Consulting and Other Services; IT Services; Media; Professional Services; Research and Consulting Services; Software and Services; Trading Companies and Distributors; Trading Companies and Distributors</t>
  </si>
  <si>
    <t>IGG Inc (SEHK:799)</t>
  </si>
  <si>
    <t>SEHK:799</t>
  </si>
  <si>
    <t>The Stock Exchange of Hong Kong Ltd. (SEHK)</t>
  </si>
  <si>
    <t>Communication Services (Primary); Computer and Mobile Games (Primary); Entertainment (Primary); Entertainment Software (Primary); Interactive Home Entertainment (Primary); Media and Entertainment (Primary); Casinos and Gaming; Commercial and Professional Services; Commercial Services and Supplies; Consumer Discretionary; Consumer Services; Diversified Financial Services; Diversified Financials; Financials; Gaming Operations; Hotels, Restaurants and Leisure; Industrials; Investment Services and Holding Companies; Multi-Sector Holdings; Office Services and Supplies; Online Customer Support; Online Gaming Operations; Outsourced Business Services; Outsourced Client Support and Customer Services; Patent Owners and Lessors</t>
  </si>
  <si>
    <t>E-Star Commercial Management Company Limited (SEHK:6668)</t>
  </si>
  <si>
    <t>SEHK:6668</t>
  </si>
  <si>
    <t>The Stock Exchange of Hong Kong Ltd. (SEHK)</t>
  </si>
  <si>
    <t>Nonresidential Building Operators and Lessors (Primary); Nonresidential Property Managers (Primary); Office Building Operators and Lessors (Primary); Real Estate (Primary); Real Estate (Primary); Real Estate Management and Development (Primary); Real Estate Management Services (Primary); Real Estate Operating Companies (Primary); Real Estate Operators And Lessors (Primary); Shopping Mall Operators and Lessors (Primary)</t>
  </si>
  <si>
    <t>Dongyue Group Limited (SEHK:189)</t>
  </si>
  <si>
    <t>SEHK:189</t>
  </si>
  <si>
    <t>The Stock Exchange of Hong Kong Ltd. (SEHK)</t>
  </si>
  <si>
    <t>Chemicals (Primary); Materials (Primary); Materials (Primary); Specialty Chemicals (Primary); Acids and Caustics; Alkalis And Chlorine; Capital Goods; Chemical Distribution; Commercial and Professional Services; Commercial Services and Supplies; Commodity Chemicals; Environmental and Facilities Services; Industrial Gases; Industrial Inorganic Chemicals; Industrial Organic Chemicals; Industrials; Petrochemicals; Plastic and Synthetic Resins; Plastic Products; Polymers; Real Estate; Real Estate; Real Estate Development; Real Estate Management and Development; Salts; Sewage Treatment Systems; Silicones; Synthetic Rubber; Trading Companies and Distributors; Trading Companies and Distributors; Utilities; Utilities; Water Utilities; Water Utilities</t>
  </si>
  <si>
    <t>SCE Intelligent Commercial Management Holdings Limited (SEHK:606)</t>
  </si>
  <si>
    <t>SEHK:606</t>
  </si>
  <si>
    <t>The Stock Exchange of Hong Kong Ltd. (SEHK)</t>
  </si>
  <si>
    <t>Nonresidential Property Managers (Primary); Real Estate (Primary); Real Estate (Primary); Real Estate Management and Development (Primary); Real Estate Management Services (Primary); Real Estate Operating Companies (Primary); Residential Property Managers (Primary)</t>
  </si>
  <si>
    <t>Giordano International Limited (SEHK:709)</t>
  </si>
  <si>
    <t>SEHK:709</t>
  </si>
  <si>
    <t>The Stock Exchange of Hong Kong Ltd. (SEHK)</t>
  </si>
  <si>
    <t>Accessory Stores (Primary); Apparel Retail (Primary); Boys' Apparel Stores (Primary); Consumer Discretionary (Primary); Girls' Apparel Stores (Primary); Men's Apparel Stores (Primary); Retailing (Primary); Specialty Retail (Primary); Women's, Misses', and Juniors' Apparel Stores (Primary); Apparel and Textile Distribution; Distributors; Distributors; Diversified Financial Services; Diversified Financials; Durable Goods Distribution; Financials; Investment Services and Holding Companies; Multi-Sector Holdings; Patent Owners and Lessors</t>
  </si>
  <si>
    <t>Pacific Online Limited (SEHK:543)</t>
  </si>
  <si>
    <t>SEHK:543</t>
  </si>
  <si>
    <t>The Stock Exchange of Hong Kong Ltd. (SEHK)</t>
  </si>
  <si>
    <t>Communication Services (Primary); Interactive Media and Services (Primary); Interactive Media and Services (Primary); Media and Entertainment (Primary); Online Services (Primary); Advertising; Broadcast Advertising; Commercial Electronics Distribution; Consumer Discretionary; Consumer Electronics Distribution; Development Consulting; Distributors; Distributors; Durable Goods Distribution; Electronic Equipment, Instruments and Components; Health Care; Health Care Distributors; Health Care Equipment and Services; Health Care Providers and Services; Information Technology; Information Technology (IT) Consulting; Internet Advertising; IT Consulting and Other Services; IT Services; Media; Retailing; Services Outsourcing; Software and Services; Technology Distributors; Technology Hardware and Equipment</t>
  </si>
  <si>
    <t>New Hope Service Holdings Limited (SEHK:3658)</t>
  </si>
  <si>
    <t>SEHK:3658</t>
  </si>
  <si>
    <t>The Stock Exchange of Hong Kong Ltd. (SEHK)</t>
  </si>
  <si>
    <t>Nonresidential Building Operators and Lessors (Primary); Real Estate (Primary); Real Estate (Primary); Real Estate Management and Development (Primary); Real Estate Management Services (Primary); Real Estate Operating Companies (Primary); Real Estate Operators And Lessors (Primary); Building Care and Improvement Services; Capital Goods; Commercial and Professional Services; Commercial Services and Supplies; Construction and Engineering; Construction and Engineering; Construction Management Services; Construction Support Services; Consumer Discretionary; Consumer Services; Diversified Consumer Services; Diversified Support Services; Industrials; Internet and Direct Marketing Retail; Internet and Direct Marketing Retail; Motor Vehicle Parking; Motor Vehicle Repair and Services; Motor Vehicle Services; Real Estate Agents And Brokers; Real Estate Services; Retailing; Specialized Consumer Services</t>
  </si>
  <si>
    <t>Huili Resources (Group) Limited (SEHK:1303)</t>
  </si>
  <si>
    <t>SEHK:1303</t>
  </si>
  <si>
    <t>The Stock Exchange of Hong Kong Ltd. (SEHK)</t>
  </si>
  <si>
    <t>Diversified Metal Ores (Primary); Diversified Metals and Mining (Primary); Lead Ores (Primary); Materials (Primary); Materials (Primary); Metals and Mining (Primary); Nickel Ores (Primary); Zinc Ores (Primary); Asset Management and Custody Banks; Capital Goods; Capital Markets; Commercial and Professional Services; Construction and Engineering; Construction and Engineering; Construction Support Services; Consulting Services; Copper; Copper Ores; Diversified Financial Services; Diversified Financials; Engineering and Surveying Services; Engineering Services; Financials; Gold; Gold Ores; Industrials; Management Consulting Services; Professional Services; Research and Consulting Services; Specialized Finance; Trading Companies and Distributors; Trading Companies and Distributors</t>
  </si>
  <si>
    <t>Precision Tsugami (China) Corporation Limited (SEHK:1651)</t>
  </si>
  <si>
    <t>SEHK:1651</t>
  </si>
  <si>
    <t>The Stock Exchange of Hong Kong Ltd. (SEHK)</t>
  </si>
  <si>
    <t>Capital Goods (Primary); Industrial Machinery (Primary); Industrials (Primary); Machinery (Primary); Machinery Components (Primary); Metalworking Machinery and Equipment (Primary)</t>
  </si>
  <si>
    <t>JTF International Holdings Limited (SEHK:8479)</t>
  </si>
  <si>
    <t>SEHK:8479</t>
  </si>
  <si>
    <t>The Stock Exchange of Hong Kong Ltd. (SEHK)</t>
  </si>
  <si>
    <t>Crude Petroleum and Natural Gas (Primary); Energy (Primary); Energy (Primary); Gasoline (Primary); Oil and Gas Refining and Marketing (Primary); Oil and Gas Refining and Marketing (Primary); Oil, Gas and Consumable Fuels (Primary); Petroleum and Petroleum Products (Primary); Petroleum Refining (Primary)</t>
  </si>
  <si>
    <t>ManpowerGroup Greater China Limited (SEHK:2180)</t>
  </si>
  <si>
    <t>SEHK:2180</t>
  </si>
  <si>
    <t>The Stock Exchange of Hong Kong Ltd. (SEHK)</t>
  </si>
  <si>
    <t>Commercial and Professional Services (Primary); Human Resource and Employment Services (Primary); Human Resources and Personnel Management (Primary); Industrials (Primary); Payroll Services (Primary); Professional and Management Development Training (Primary); Professional Services (Primary)</t>
  </si>
  <si>
    <t>Meitu, Inc. (SEHK:1357)</t>
  </si>
  <si>
    <t>SEHK:1357</t>
  </si>
  <si>
    <t>The Stock Exchange of Hong Kong Ltd. (SEHK)</t>
  </si>
  <si>
    <t>Communication Services (Primary); Interactive Media and Services (Primary); Interactive Media and Services (Primary); Media and Entertainment (Primary); Advertising; Application Software; Broadcast Advertising; Commercial and Professional Services; Communications Equipment; Communications Equipment; Human Resource and Employment Services; Industrials; Information Technology; Information Technology (IT) Consulting; Internet Advertising; IT Consulting and Other Services; IT Services; Media; Multimedia Software; Online Recruiting and Job Listing Services; Professional Services; Software; Software and Services; Technology Hardware and Equipment; Telephone and Telecommunications Equipment; Telephone Equipment</t>
  </si>
  <si>
    <t>Tsit Wing International Holdings Limited (SEHK:2119)</t>
  </si>
  <si>
    <t>SEHK:2119</t>
  </si>
  <si>
    <t>The Stock Exchange of Hong Kong Ltd. (SEHK)</t>
  </si>
  <si>
    <t>Coffee (Primary); Coffee And Tea (Primary); Consumer Staples (Primary); Food Products (Primary); Food, Beverage and Tobacco (Primary); Packaged Foods and Meats (Primary); Tea (Primary); Beverage and Tobacco Bars; Beverage Distribution; Capital Goods; Consumer Discretionary; Consumer Services; Diversified Consumer Services; Education Services; Food and Beverage Machinery Distribution; Food and Staples Retailing; Food and Staples Retailing; Food Distribution; Food Distributors; Food Retail; Hotels, Restaurants and Leisure; Industrials; Machinery Distribution; Machinery Rental and Leasing; Restaurants; Specialty Educational Services; Tea and Coffee Shops; Trading Companies and Distributors; Trading Companies and Distributors</t>
  </si>
  <si>
    <t>King's Flair International (Holdings) Limited (SEHK:6822)</t>
  </si>
  <si>
    <t>SEHK:6822</t>
  </si>
  <si>
    <t>The Stock Exchange of Hong Kong Ltd. (SEHK)</t>
  </si>
  <si>
    <t>Consumer Discretionary (Primary); Consumer Durables and Apparel (Primary); Household Durables (Primary); Housewares and Specialties (Primary); Kitchen Housewares (Primary); Distributors; Distributors; Durable Goods Distribution; Electronic Components; Electronic Components; Electronic Equipment, Instruments and Components; Household Durables Distribution; Housewares Stores; Information Technology; Nanotechnology; Retailing; Specialty Retail; Specialty Stores; Technology Hardware and Equipment</t>
  </si>
  <si>
    <t>Oriental Watch Holdings Limited (SEHK:398)</t>
  </si>
  <si>
    <t>SEHK:398</t>
  </si>
  <si>
    <t>The Stock Exchange of Hong Kong Ltd. (SEHK)</t>
  </si>
  <si>
    <t>Consumer Discretionary (Primary); Retailing (Primary); Specialty Retail (Primary); Specialty Stores (Primary); Apparel Retail; Distributors; Distributors; Durable Goods Distribution; Internet and Direct Marketing Retail; Internet and Direct Marketing Retail; Jewelry, Timepieces and Gemstone Product Distribution; Online Specialty Retail; Real Estate; Real Estate; Real Estate Management and Development; Real Estate Operating Companies; Real Estate Operators And Lessors; Watch and Timepiece Stores</t>
  </si>
  <si>
    <t>Carpenter Tan Holdings Limited (SEHK:837)</t>
  </si>
  <si>
    <t>SEHK:837</t>
  </si>
  <si>
    <t>The Stock Exchange of Hong Kong Ltd. (SEHK)</t>
  </si>
  <si>
    <t>Accessories (Primary); Apparel, Accessories and Luxury Goods (Primary); Consumer Discretionary (Primary); Consumer Durables and Apparel (Primary); Textiles, Apparel and Luxury Goods (Primary); Beauty Care Products; Consumer Staples; Diversified Financial Services; Diversified Financials; Financials; Hair Brushes, Combs and Hair Clips; Home Furnishings; Household and Personal Products; Household Durables; Internet and Direct Marketing Retail; Internet and Direct Marketing Retail; Investment Services and Holding Companies; Multi-Sector Holdings; Online Beauty Care Product Retail; Online Personal Care Product Retail; Online Specialty Retail; Patent Owners and Lessors; Personal Products; Personal Products; Real Estate; Real Estate; Real Estate Management and Development; Real Estate Operating Companies; Real Estate Operators And Lessors; Retailing; Specialty Retail; Specialty Stores; Wood Household Furniture</t>
  </si>
  <si>
    <t>NetDragon Websoft Holdings Limited (SEHK:777)</t>
  </si>
  <si>
    <t>SEHK:777</t>
  </si>
  <si>
    <t>The Stock Exchange of Hong Kong Ltd. (SEHK)</t>
  </si>
  <si>
    <t>Communication Services (Primary); Computer and Mobile Games (Primary); Entertainment (Primary); Entertainment Software (Primary); Interactive Home Entertainment (Primary); Media and Entertainment (Primary); Advertising; Application Software; Casinos and Gaming; Consumer Discretionary; Consumer Services; Diversified Consumer Services; Diversified Financial Services; Diversified Financials; Education Services; Electronic Equipment, Instruments and Components; Financials; Gaming Operations; Hotels, Restaurants and Leisure; Information Technology; Investment Services and Holding Companies; Marketing Services; Media; Multi-Sector Holdings; Online Education Courses; Online Gaming Operations; Patent Owners and Lessors; Real Estate; Real Estate; Real Estate Development; Real Estate Management and Development; Software; Software and Services; Software Distribution; Technology Distributors; Technology Hardware and Equipment; Technology Hardware and Equipment Distribution</t>
  </si>
  <si>
    <t>Meilleure Health International Industry Group Limited (SEHK:2327)</t>
  </si>
  <si>
    <t>SEHK:2327</t>
  </si>
  <si>
    <t>The Stock Exchange of Hong Kong Ltd. (SEHK)</t>
  </si>
  <si>
    <t>Capital Goods (Primary); Construction Material Distribution (Primary); Industrials (Primary); Trading Companies and Distributors (Primary); Trading Companies and Distributors (Primary); Health Care; Health Care Distributors; Health Care Equipment and Services; Health Care Providers and Services; Health Care Services; Medicinal Chemicals and Botanical Products; Pharmaceutical Product Distribution; Pharmaceuticals; Pharmaceuticals; Pharmaceuticals, Biotechnology and Life Sciences; Real Estate; Real Estate; Real Estate Agents And Brokers; Real Estate Development; Real Estate Management and Development; Real Estate Operating Companies; Real Estate Operators And Lessors; Real Estate Services</t>
  </si>
  <si>
    <t>Sino-Ocean Service Holding Limited (SEHK:6677)</t>
  </si>
  <si>
    <t>SEHK:6677</t>
  </si>
  <si>
    <t>The Stock Exchange of Hong Kong Ltd. (SEHK)</t>
  </si>
  <si>
    <t>Commercial and Professional Services (Primary); Commercial Services and Supplies (Primary); Environmental and Facilities Services (Primary); Industrials (Primary); Nonresidential Property Managers; Real Estate; Real Estate; Real Estate Agents And Brokers; Real Estate Management and Development; Real Estate Management Services; Real Estate Operating Companies; Real Estate Services; Residential Property Managers</t>
  </si>
  <si>
    <t>Excellence Commercial Property &amp; Facilities Management Group Limited (SEHK:6989)</t>
  </si>
  <si>
    <t>SEHK:6989</t>
  </si>
  <si>
    <t>The Stock Exchange of Hong Kong Ltd. (SEHK)</t>
  </si>
  <si>
    <t>Apartment Building Operators and Lessors (Primary); Nonresidential Property Managers (Primary); Real Estate (Primary); Real Estate (Primary); Real Estate Management and Development (Primary); Real Estate Management Services (Primary); Real Estate Operating Companies (Primary); Real Estate Operators And Lessors (Primary); Residential Building Operators and Lessors (Primary); Residential Property Managers (Primary); Commercial and Professional Services; Commercial Services and Supplies; Consumer Finance; Consumer Finance; Development Consulting; Diversified Financial Services; Diversified Financials; Diversified Support Services; Financials; Industrials; Information Technology; Information Technology (IT) Consulting; IT Consulting and Other Services; IT Services; Services Outsourcing; Software and Services; Specialized Finance</t>
  </si>
  <si>
    <t>China Lilang Limited (SEHK:1234)</t>
  </si>
  <si>
    <t>SEHK:1234</t>
  </si>
  <si>
    <t>The Stock Exchange of Hong Kong Ltd. (SEHK)</t>
  </si>
  <si>
    <t>Accessories (Primary); Apparel (Primary); Apparel, Accessories and Luxury Goods (Primary); Consumer Discretionary (Primary); Consumer Durables and Apparel (Primary); Men's Apparel (Primary); Textiles, Apparel and Luxury Goods (Primary); Commercial and Professional Services; Commercial Services and Supplies; General Management Services; Industrials; Office Services and Supplies</t>
  </si>
  <si>
    <t>Tiande Chemical Holdings Limited (SEHK:609)</t>
  </si>
  <si>
    <t>SEHK:609</t>
  </si>
  <si>
    <t>The Stock Exchange of Hong Kong Ltd. (SEHK)</t>
  </si>
  <si>
    <t>Chemicals (Primary); Materials (Primary); Materials (Primary); Specialty Chemicals (Primary); Acids and Caustics; Commodity Chemicals; Health Care; Health Care Equipment; Health Care Equipment and Services; Health Care Equipment and Supplies; Industrial Inorganic Chemicals; Industrial Organic Chemicals; Medical Equipment</t>
  </si>
  <si>
    <t>China General Education Group Limited (SEHK:2175)</t>
  </si>
  <si>
    <t>SEHK:2175</t>
  </si>
  <si>
    <t>The Stock Exchange of Hong Kong Ltd. (SEHK)</t>
  </si>
  <si>
    <t>Colleges, Universities, and Professional Schools (Primary); Colleges, Universities, Professional Schools, and Junior Colleges (Primary); Consumer Discretionary (Primary); Consumer Services (Primary); Diversified Consumer Services (Primary); Education Services (Primary); Junior Colleges and Technical Institutes (Primary); Schools (Primary)</t>
  </si>
  <si>
    <t>iShares Asia Trust - iShares Core S&amp;P BSE SENSEX India Index ETF (SEHK:9836)</t>
  </si>
  <si>
    <t>SEHK:9836</t>
  </si>
  <si>
    <t>The Stock Exchange of Hong Kong Ltd. (SEHK)</t>
  </si>
  <si>
    <t>SEHK:82836
Company: iShares Asia Trust - iShares Core S&amp;P BSE SENSEX India Index ETF
(IQT404717293) - The Stock Exchange of Hong Kong Ltd. (SEHK)
SEHK:2836
Company: iShares Asia Trust - iShares Core S&amp;P BSE SENSEX India Index ETF
(IQT99453780) - The Stock Exchange of Hong Kong Ltd. (SEHK)</t>
  </si>
  <si>
    <t>Asset Management and Custody Banks (Primary); Capital Markets (Primary); Diversified Financials (Primary); Financials (Primary); Investment Funds (Primary)</t>
  </si>
  <si>
    <t>Dynamic Holdings Limited (SEHK:29)</t>
  </si>
  <si>
    <t>SEHK:29</t>
  </si>
  <si>
    <t>The Stock Exchange of Hong Kong Ltd. (SEHK)</t>
  </si>
  <si>
    <t>Nonresidential Building Operators and Lessors (Primary); Office Building Operators and Lessors (Primary); Real Estate (Primary); Real Estate (Primary); Real Estate Management and Development (Primary); Real Estate Operating Companies (Primary); Real Estate Operators And Lessors (Primary); Residential Building Operators and Lessors (Primary); Shopping Mall Operators and Lessors (Primary); Commercial and Professional Services; Commercial Services and Supplies; Consulting Services; Diversified Financial Services; Diversified Financials; Diversified Real Estate Activities; Financials; General Management Services; Industrials; Management Consulting Services; Office Services and Supplies; Professional Services; Real Estate Development; Research and Consulting Services; Specialized Finance</t>
  </si>
  <si>
    <t>New Times Energy Corporation Limited (SEHK:166)</t>
  </si>
  <si>
    <t>SEHK:166</t>
  </si>
  <si>
    <t>The Stock Exchange of Hong Kong Ltd. (SEHK)</t>
  </si>
  <si>
    <t>Capital Goods (Primary); Industrials (Primary); Trading Companies and Distributors (Primary); Trading Companies and Distributors (Primary); Energy; Energy; Oil and Gas Exploration and Production; Oil and Gas Production; Oil, Gas and Consumable Fuels</t>
  </si>
  <si>
    <t>Joy Spreader Group Inc. (SEHK:6988)</t>
  </si>
  <si>
    <t>SEHK:6988</t>
  </si>
  <si>
    <t>The Stock Exchange of Hong Kong Ltd. (SEHK)</t>
  </si>
  <si>
    <t>Advertising (Primary); Broadcast Advertising (Primary); Communication Services (Primary); Internet Advertising (Primary); Media (Primary); Media and Entertainment (Primary); Interactive Media and Services; Interactive Media and Services; Online Services</t>
  </si>
  <si>
    <t>Sunac Services Holdings Limited (SEHK:1516)</t>
  </si>
  <si>
    <t>SEHK:1516</t>
  </si>
  <si>
    <t>The Stock Exchange of Hong Kong Ltd. (SEHK)</t>
  </si>
  <si>
    <t>Nonresidential Property Managers (Primary); Real Estate (Primary); Real Estate (Primary); Real Estate Management and Development (Primary); Real Estate Management Services (Primary); Real Estate Operating Companies (Primary); Residential Property Managers (Primary); Real Estate Agents And Brokers; Real Estate Services</t>
  </si>
  <si>
    <t>Kinetic Development Group Limited (SEHK:1277)</t>
  </si>
  <si>
    <t>SEHK:1277</t>
  </si>
  <si>
    <t>The Stock Exchange of Hong Kong Ltd. (SEHK)</t>
  </si>
  <si>
    <t>Coal and Consumable Fuels (Primary); Coal Products (Primary); Energy (Primary); Energy (Primary); Oil, Gas and Consumable Fuels (Primary); Agricultural Products; Agricultural Services; Animal Services; Beverages; Capital Goods; Commercial and Professional Services; Commercial Services and Supplies; Consumer Staples; Distillers and Vintners; Environmental and Facilities Services; Food Products; Food, Beverage and Tobacco; Fruits; Fruits, Vegetables, and Nuts; Grapes; Industrials; Livestock Services; Trading Companies and Distributors; Trading Companies and Distributors; Wine</t>
  </si>
  <si>
    <t>Nexteer Automotive Group Limited (SEHK:1316)</t>
  </si>
  <si>
    <t>SEHK:1316</t>
  </si>
  <si>
    <t>The Stock Exchange of Hong Kong Ltd. (SEHK)</t>
  </si>
  <si>
    <t>Auto Components (Primary); Auto Parts and Equipment (Primary); Automobiles and Components (Primary); Consumer Discretionary (Primary); Motor Vehicle Safety and Security Systems (Primary); Steering and Suspension System Components (Primary); Consumer Services; Diversified Consumer Services; Motor Vehicle Repair and Services; Specialized Consumer Services</t>
  </si>
  <si>
    <t>Alibaba Pictures Group Limited (SEHK:1060)</t>
  </si>
  <si>
    <t>SEHK:1060</t>
  </si>
  <si>
    <t>The Stock Exchange of Hong Kong Ltd. (SEHK)</t>
  </si>
  <si>
    <t>Communication Services (Primary); Entertainment (Primary); Entertainment Production Companies (Primary); Entertainment Services (Primary); Entertainment Venues (Primary); Media and Entertainment (Primary); Motion Picture and Video Production Companies (Primary); Motion Picture Distribution And Allied Services (Primary); Motion Picture Theaters (Primary); Movies and Entertainment (Primary); Talent Management and Talent Service Agencies (Primary); Television Production Companies (Primary); Ticket Agencies (Primary); Advertising; Asset Management and Custody Banks; Capital Markets; Conference Services; Consumer Discretionary; Consumer Durables and Apparel; Development Tools; Diversified Financial Services; Diversified Financials; Financials; Games and Toys; Hobbies, Toys and Games; Information Technology; Information Technology (IT) Consulting; Investment Services and Holding Companies; IT Consulting and Other Services; IT Services; Leisure Products; Leisure Products; Marketing Services; Media; Multi-Sector Holdings; Patent Owners and Lessors; Services Outsourcing; Software; Software and Services; Software Development; Sporting and Recreational Goods; Systems Software</t>
  </si>
  <si>
    <t>Homeland Interactive Technology Ltd. (SEHK:3798)</t>
  </si>
  <si>
    <t>SEHK:3798</t>
  </si>
  <si>
    <t>The Stock Exchange of Hong Kong Ltd. (SEHK)</t>
  </si>
  <si>
    <t>Communication Services (Primary); Computer and Mobile Games (Primary); Entertainment (Primary); Entertainment Software (Primary); Interactive Home Entertainment (Primary); Media and Entertainment (Primary)</t>
  </si>
  <si>
    <t>Q P Group Holdings Limited (SEHK:1412)</t>
  </si>
  <si>
    <t>SEHK:1412</t>
  </si>
  <si>
    <t>The Stock Exchange of Hong Kong Ltd. (SEHK)</t>
  </si>
  <si>
    <t>Consumer Discretionary (Primary); Consumer Durables and Apparel (Primary); Household Durables (Primary); Housewares and Specialties (Primary); Commercial and Professional Services; Commercial Printing; Commercial Services and Supplies; Greeting Cards; Industrials; Information Technology; Internet and Direct Marketing Retail; Internet and Direct Marketing Retail; IT Consulting and Other Services; IT Services; Leisure Products; Leisure Products; Materials; Materials; Novelty Paper; Online Paper Product Retail; Online Specialty Retail; Paper and Forest Products; Paper Manufacturing; Paper Products; Printing Services; Professional Services; Real Estate; Real Estate; Real Estate Management and Development; Real Estate Operating Companies; Real Estate Operators And Lessors; Research and Consulting Services; Research, Development, and Testing Services; Retailing; Software and Services; Testing Laboratories</t>
  </si>
  <si>
    <t>Feiyu Technology International Company Ltd. (SEHK:1022)</t>
  </si>
  <si>
    <t>SEHK:1022</t>
  </si>
  <si>
    <t>The Stock Exchange of Hong Kong Ltd. (SEHK)</t>
  </si>
  <si>
    <t>Central China Management Company Limited (SEHK:9982)</t>
  </si>
  <si>
    <t>SEHK:9982</t>
  </si>
  <si>
    <t>The Stock Exchange of Hong Kong Ltd. (SEHK)</t>
  </si>
  <si>
    <t>Real Estate (Primary); Real Estate (Primary); Real Estate Development (Primary); Real Estate Management and Development (Primary); Real Estate Management Services; Real Estate Operating Companies</t>
  </si>
  <si>
    <t>Value Partners Group Limited (SEHK:806)</t>
  </si>
  <si>
    <t>SEHK:806</t>
  </si>
  <si>
    <t>The Stock Exchange of Hong Kong Ltd. (SEHK)</t>
  </si>
  <si>
    <t>Asset Management and Custody Banks (Primary); Capital Markets (Primary); Diversified Financials (Primary); Financials (Primary)</t>
  </si>
  <si>
    <t>361 Degrees International Limited (SEHK:1361)</t>
  </si>
  <si>
    <t>SEHK:1361</t>
  </si>
  <si>
    <t>The Stock Exchange of Hong Kong Ltd. (SEHK)</t>
  </si>
  <si>
    <t>Accessories (Primary); Apparel (Primary); Apparel, Accessories and Luxury Goods (Primary); Athletic Uniforms (Primary); Consumer Discretionary (Primary); Consumer Durables and Apparel (Primary); Specialty Apparel (Primary); Textiles, Apparel and Luxury Goods (Primary); Accessory Stores; Apparel and Textile Distribution; Apparel Retail; Athletic Footwear; Automotive Retail; Distributors; Distributors; Durable Goods Distribution; Footwear; Internet and Direct Marketing Retail; Internet and Direct Marketing Retail; Oil and Gas Retail; Online Apparel and Accessory Retail; Online Shoe Retail; Online Specialty Retail; Retailing; Shoe Accessories; Shoe Stores; Specialty Retail</t>
  </si>
  <si>
    <t>Zengame Technology Holding Limited (SEHK:2660)</t>
  </si>
  <si>
    <t>SEHK:2660</t>
  </si>
  <si>
    <t>The Stock Exchange of Hong Kong Ltd. (SEHK)</t>
  </si>
  <si>
    <t>Yashili International Holdings Ltd (SEHK:1230)</t>
  </si>
  <si>
    <t>SEHK:1230</t>
  </si>
  <si>
    <t>The Stock Exchange of Hong Kong Ltd. (SEHK)</t>
  </si>
  <si>
    <t>Cereal Breakfast Foods (Primary); Consumer Staples (Primary); Dairy Products (Primary); Dairy Products and Eggs (Primary); Dry, Condensed, And Evaporated Dairy Products (Primary); Flour (Primary); Food Products (Primary); Food, Beverage and Tobacco (Primary); Grain Mill Products (Primary); Packaged Foods and Meats (Primary); Food and Staples Retailing; Food and Staples Retailing; Food Distribution; Food Distributors; Food Retail</t>
  </si>
  <si>
    <t>Bairong Inc. (SEHK:6608)</t>
  </si>
  <si>
    <t>SEHK:6608</t>
  </si>
  <si>
    <t>The Stock Exchange of Hong Kong Ltd. (SEHK)</t>
  </si>
  <si>
    <t>Capital Markets (Primary); Diversified Financials (Primary); Financial Exchanges and Data (Primary); Financials (Primary); Advertising; Application Hosting Services; Application Service Providers (ASPs); Application Software; Communication Services; Data Processing and Outsourced Services; Diversified Financial Services; Information Technology; Insurance; Insurance; Insurance Brokers; IT Consulting and Other Services; IT Services; Marketing Services; Media; Media and Entertainment; Online Insurance Services; Reinsurance; Software; Software and Services; Specialized Finance</t>
  </si>
  <si>
    <t>Goldstream Investment Limited (SEHK:1328)</t>
  </si>
  <si>
    <t>SEHK:1328</t>
  </si>
  <si>
    <t>The Stock Exchange of Hong Kong Ltd. (SEHK)</t>
  </si>
  <si>
    <t>Commercial and Professional Services (Primary); Commercial Services and Supplies (Primary); Industrials (Primary); Office Services and Supplies (Primary); Asset Management and Custody Banks; Capital Markets; Diversified Financials; Financials; Information Technology; Information Technology (IT) Consulting; Investment Advice; Investment Banking and Brokerage; IT Consulting and Other Services; IT Services; Securities and Commodities Markets Services; Security Brokers; Security Brokers and Dealers; Software and Services</t>
  </si>
  <si>
    <t>Zhihu Inc. (NYSE:ZH)</t>
  </si>
  <si>
    <t>NYSE:ZH</t>
  </si>
  <si>
    <t>SEHK:2390
Company: Zhihu Inc.
(IQT1684172135) - The Stock Exchange of Hong Kong Ltd. (SEHK)</t>
  </si>
  <si>
    <t>Communication Services (Primary); Interactive Media and Services (Primary); Interactive Media and Services (Primary); Media and Entertainment (Primary); Online Services (Primary); Social Media and Networking Platforms (Primary); Advertising; Commercial and Professional Services; Consulting Services; Consumer Discretionary; Consumer Services; Diversified Consumer Services; Diversified Financial Services; Diversified Financials; Education Services; Financials; Industrials; Information Technology; Internet Services and Infrastructure; Investment Services and Holding Companies; IT Consulting and Other Services; IT Services; Marketing Services; Media; Multi-Sector Holdings; Patent Owners and Lessors; Professional Services; Research and Consulting Services; Software and Services; Specialty Educational Services</t>
  </si>
  <si>
    <t>Yantai North Andre Juice Co.,Ltd. (SEHK:2218)</t>
  </si>
  <si>
    <t>SEHK:2218</t>
  </si>
  <si>
    <t>The Stock Exchange of Hong Kong Ltd. (SEHK)</t>
  </si>
  <si>
    <t>Animal Feed (Primary); Consumer Staples (Primary); Food Products (Primary); Food, Beverage and Tobacco (Primary); Packaged Foods and Meats (Primary); Beverages; Bottled Water; Commercial and Professional Services; Commercial Services and Supplies; Containers and Packaging; Diversified Support Services; Drink Mixes; Flavoring Syrup And Concentrate; Food and Staples Retailing; Food and Staples Retailing; Food Distributors; Industrials; Juices; Materials; Materials; Metal and Glass Containers; Metal Packaging; Soft Drinks; Warehousing and Storage</t>
  </si>
  <si>
    <t>Golden Throat Holdings Group Company Limited (SEHK:6896)</t>
  </si>
  <si>
    <t>SEHK:6896</t>
  </si>
  <si>
    <t>The Stock Exchange of Hong Kong Ltd. (SEHK)</t>
  </si>
  <si>
    <t>Consumer Staples (Primary); Household and Personal Products (Primary); Personal Products (Primary); Personal Products (Primary); Health Care; Non-Prescription Drugs; Pharmaceutical Products; Pharmaceuticals; Pharmaceuticals; Pharmaceuticals, Biotechnology and Life Sciences</t>
  </si>
  <si>
    <t>Shoucheng Holdings Limited (SEHK:697)</t>
  </si>
  <si>
    <t>SEHK:697</t>
  </si>
  <si>
    <t>The Stock Exchange of Hong Kong Ltd. (SEHK)</t>
  </si>
  <si>
    <t>Diversified Real Estate Activities (Primary); Real Estate (Primary); Real Estate (Primary); Real Estate Management and Development (Primary); Asset Management and Custody Banks; Capital Markets; Consumer Discretionary; Consumer Services; Diversified Consumer Services; Diversified Financials; Financials; Motor Vehicle Parking; Motor Vehicle Repair and Services; Motor Vehicle Services; Nonresidential Property Managers; Real Estate Management Services; Real Estate Operating Companies; Real Estate Operators And Lessors; Specialized Consumer Services</t>
  </si>
  <si>
    <t>China Financial International Investments Limited (SEHK:721)</t>
  </si>
  <si>
    <t>SEHK:721</t>
  </si>
  <si>
    <t>The Stock Exchange of Hong Kong Ltd. (SEHK)</t>
  </si>
  <si>
    <t>D&amp;G Technology Holding Company Limited (SEHK:1301)</t>
  </si>
  <si>
    <t>SEHK:1301</t>
  </si>
  <si>
    <t>The Stock Exchange of Hong Kong Ltd. (SEHK)</t>
  </si>
  <si>
    <t>Capital Goods (Primary); Construction Machinery and Equipment (Primary); Construction Machinery and Heavy Trucks (Primary); Industrials (Primary); Machinery (Primary); Commercial and Professional Services; Commercial Services and Supplies; Construction Machinery Distribution; Construction Machinery Rental and Leasing; Diversified Support Services; Machinery Distribution; Machinery Rental and Leasing; Trading Companies and Distributors; Trading Companies and Distributors</t>
  </si>
  <si>
    <t>South China Vocational Education Group Company Limited (SEHK:6913)</t>
  </si>
  <si>
    <t>SEHK:6913</t>
  </si>
  <si>
    <t>The Stock Exchange of Hong Kong Ltd. (SEHK)</t>
  </si>
  <si>
    <t>Consumer Discretionary (Primary); Consumer Services (Primary); Diversified Consumer Services (Primary); Education Services (Primary); Schools (Primary); Vocational Schools (Primary)</t>
  </si>
  <si>
    <t>A-Living Smart City Services Co., Ltd. (SEHK:3319)</t>
  </si>
  <si>
    <t>SEHK:3319</t>
  </si>
  <si>
    <t>The Stock Exchange of Hong Kong Ltd. (SEHK)</t>
  </si>
  <si>
    <t>Nonresidential Property Managers (Primary); Real Estate (Primary); Real Estate (Primary); Real Estate Management and Development (Primary); Real Estate Management Services (Primary); Real Estate Operating Companies (Primary); Residential Property Managers (Primary); Advertising; Amusement And Recreation Services; Building Care and Improvement Services; Commercial and Professional Services; Commercial Services and Supplies; Communication Services; Consulting Services; Consumer Discretionary; Consumer Services; Diversified Consumer Services; Diversified Support Services; Environmental and Facilities Services; Hotels, Resorts and Cruise Lines; Hotels, Restaurants and Leisure; Industrials; Leisure Facilities; Media; Media and Entertainment; Motor Vehicle Parking; Motor Vehicle Repair and Services; Motor Vehicle Services; Professional Services; Real Estate Agents And Brokers; Real Estate Appraisers; Real Estate Services; Recreation Clubs; Research and Consulting Services; Residential Building Care and Improvement Services ; Residential Security and Personal Safety Services; Specialized Consumer Services; Travel Agencies; Travel and Tourism Services</t>
  </si>
  <si>
    <t>Huabao International Holdings Limited (SEHK:336)</t>
  </si>
  <si>
    <t>SEHK:336</t>
  </si>
  <si>
    <t>The Stock Exchange of Hong Kong Ltd. (SEHK)</t>
  </si>
  <si>
    <t>Chemicals (Primary); Materials (Primary); Materials (Primary); Specialty Chemicals (Primary); Beauty Care Products; Beverages; Commodity Chemicals; Consumer Discretionary; Consumer Staples; Drink Mixes; Flavoring Extracts; Food Products; Food, Beverage and Tobacco; Household and Personal Products; Industrial Organic Chemicals; Packaged Foods and Meats; Perfumes and Colognes; Personal Care Product Stores; Personal Products; Personal Products; Retailing; Seasonings and Preservatives; Soft Drinks; Specialty Retail; Specialty Stores; Tobacco; Tobacco</t>
  </si>
  <si>
    <t>Stella International Holdings Limited (SEHK:1836)</t>
  </si>
  <si>
    <t>SEHK:1836</t>
  </si>
  <si>
    <t>The Stock Exchange of Hong Kong Ltd. (SEHK)</t>
  </si>
  <si>
    <t>Consumer Discretionary (Primary); Consumer Durables and Apparel (Primary); Footwear (Primary); Men's and Boys' Footwear (Primary); Textiles, Apparel and Luxury Goods (Primary); Women's and Girls' Footwear (Primary); Accounting Services; Accounting, Auditing and Taxation Services; Apparel and Textile Distribution; Apparel Retail; Commercial and Professional Services; Distributors; Distributors; Diversified Financial Services; Diversified Financials; Durable Goods Distribution; Financials; Footwear Distribution; Industrials; Investment Services and Holding Companies; Men's Shoe Stores; Multi-Sector Holdings; Patent Owners and Lessors; Professional Services; Research and Consulting Services; Retailing; Shoe Stores; Specialty Retail; Women's Shoe Stores</t>
  </si>
  <si>
    <t>Natural Food International Holding Limited (SEHK:1837)</t>
  </si>
  <si>
    <t>SEHK:1837</t>
  </si>
  <si>
    <t>The Stock Exchange of Hong Kong Ltd. (SEHK)</t>
  </si>
  <si>
    <t>Consumer Staples (Primary); Food Products (Primary); Food, Beverage and Tobacco (Primary); Packaged Foods and Meats (Primary); Commercial and Professional Services; Commercial Services and Supplies; General Management Services; Industrials; Office Services and Supplies</t>
  </si>
  <si>
    <t>iShares Asia Trust - iShares Core MSCI China Index ETF (SEHK:2801)</t>
  </si>
  <si>
    <t>SEHK:2801</t>
  </si>
  <si>
    <t>The Stock Exchange of Hong Kong Ltd. (SEHK)</t>
  </si>
  <si>
    <t>Oriental Enterprise Holdings Limited (SEHK:18)</t>
  </si>
  <si>
    <t>SEHK:18</t>
  </si>
  <si>
    <t>The Stock Exchange of Hong Kong Ltd. (SEHK)</t>
  </si>
  <si>
    <t>Communication Services (Primary); Media (Primary); Media and Entertainment (Primary); Newspaper and Magazine Publishing (Primary); Newspaper Publishing (Primary); Printed Media Publishing (Primary); Published Electronic Materials (Primary); Publishing (Primary); Banks; Commercial and Professional Services; Commercial Printing; Commercial Services and Supplies; Financials; Industrials; Interactive Media and Services; Interactive Media and Services; Online Services; Real Estate; Real Estate; Real Estate Management and Development; Real Estate Operating Companies; Real Estate Operators And Lessors; Thrifts and Mortgage Finance; Thrifts and Mortgage Finance</t>
  </si>
  <si>
    <t>Tysan Holdings Limited (SEHK:687)</t>
  </si>
  <si>
    <t>SEHK:687</t>
  </si>
  <si>
    <t>The Stock Exchange of Hong Kong Ltd. (SEHK)</t>
  </si>
  <si>
    <t>Capital Goods (Primary); Construction and Engineering (Primary); Construction and Engineering (Primary); Construction Management Services (Primary); Construction Support Services (Primary); Engineering and Surveying Services (Primary); Engineering Services (Primary); Industrials (Primary); Specialty Contract Work (Primary); Apartment Building Operators and Lessors; Commercial and Professional Services; Commercial Services and Supplies; Construction Machinery Distribution; Construction Machinery Rental and Leasing; Consulting Services; General Management Services; Machinery Distribution; Machinery Rental and Leasing; Nonresidential Building Operators and Lessors; Office Building Operators and Lessors; Office Services and Supplies; Professional Services; Real Estate; Real Estate; Real Estate Development; Real Estate Management and Development; Real Estate Management Services; Real Estate Operating Companies; Real Estate Operators And Lessors; Research and Consulting Services; Residential Building Operators and Lessors; Trading Companies and Distributors; Trading Companies and Distributors</t>
  </si>
  <si>
    <t>Greentech Technology International Limited (SEHK:195)</t>
  </si>
  <si>
    <t>SEHK:195</t>
  </si>
  <si>
    <t>The Stock Exchange of Hong Kong Ltd. (SEHK)</t>
  </si>
  <si>
    <t>Diversified Metal Ores (Primary); Diversified Metals and Mining (Primary); Materials (Primary); Materials (Primary); Metals and Mining (Primary); Tin Ores (Primary); Copper; Copper Ores</t>
  </si>
  <si>
    <t>Lung Kee (Bermuda) Holdings Limited (SEHK:255)</t>
  </si>
  <si>
    <t>SEHK:255</t>
  </si>
  <si>
    <t>The Stock Exchange of Hong Kong Ltd. (SEHK)</t>
  </si>
  <si>
    <t>Capital Goods (Primary); Die Sets, Jigs and Industrial Molds (Primary); Industrial Machinery (Primary); Industrials (Primary); Machinery (Primary); Metalworking Machinery and Equipment (Primary)</t>
  </si>
  <si>
    <t>Lam Soon (Hong Kong) Limited (SEHK:411)</t>
  </si>
  <si>
    <t>SEHK:411</t>
  </si>
  <si>
    <t>The Stock Exchange of Hong Kong Ltd. (SEHK)</t>
  </si>
  <si>
    <t>Consumer Staples (Primary); Edible Oils (Primary); Flour (Primary); Food Products (Primary); Food, Beverage and Tobacco (Primary); Grain Mill Products (Primary); Packaged Foods and Meats (Primary); Air Freight and Logistics; Air Freight and Logistics; Asset Management and Custody Banks; Capital Markets; Cleaning Products; Commercial and Professional Services; Commercial Services and Supplies; Consumer Discretionary; Consumer Services; Dishwashing Detergents; Distributors; Distributors; Diversified Financials; Diversified Support Services; Financials; Floor Cleaners and Waxes; Food and Staples Retailing; Food and Staples Retailing; Food Distributors; Food Service Contractors; Hotels, Restaurants and Leisure; Household and Personal Product Distribution; Household and Personal Products; Household Products; Household Products; Industrials; Information Technology; Information Technology (IT) Consulting; IT Consulting and Other Services; IT Services; Laundry Products; Motor Vehicle Rental and Leasing; Non-Durable Goods Distribution; Real Estate; Real Estate; Real Estate Management and Development; Real Estate Operating Companies; Real Estate Operators And Lessors; Restaurants; Retailing; Road and Rail; Software and Services; Transportation; Truck Rental and Leasing; Trucking; Warehousing and Storage</t>
  </si>
  <si>
    <t>Shougang Fushan Resources Group Limited (SEHK:639)</t>
  </si>
  <si>
    <t>SEHK:639</t>
  </si>
  <si>
    <t>The Stock Exchange of Hong Kong Ltd. (SEHK)</t>
  </si>
  <si>
    <t>Materials (Primary); Materials (Primary); Metallurgical (Coking) Coal Mining (Primary); Metals and Mining (Primary); Steel (Primary); Coal and Consumable Fuels; Energy; Energy; Oil, Gas and Consumable Fuels</t>
  </si>
  <si>
    <t>Noah Holdings Limited (NYSE:NOAH)</t>
  </si>
  <si>
    <t>NYSE:NOAH</t>
  </si>
  <si>
    <t>SEHK:6686
Company: Noah Holdings Limited
(IQT365852919) - The Stock Exchange of Hong Kong Ltd. (SEHK)</t>
  </si>
  <si>
    <t>Clifford Modern Living Holdings Limited (SEHK:3686)</t>
  </si>
  <si>
    <t>SEHK:3686</t>
  </si>
  <si>
    <t>The Stock Exchange of Hong Kong Ltd. (SEHK)</t>
  </si>
  <si>
    <t>Capital Goods (Primary); Industrial Conglomerates (Primary); Industrial Conglomerates (Primary); Industrials (Primary); Commercial and Professional Services; Computer and Electronics Retail; Construction and Engineering; Construction and Engineering; Consulting Services; Consumer Discretionary; Consumer Electronics Stores; Consumer Services; Consumer Staples; Convenience Stores; Diversified Consumer Services; Domestic Cleaning and Household Services; Education Services; Food and Staples Retailing; Food and Staples Retailing; Food Retail; Fruit and Vegetable Stores and Markets; Full Stock Supermarkets; Grocery Stores; Human Resource and Employment Services; Information Technology; Information Technology (IT) Consulting; IT Consulting and Other Services; IT Services; Laundry Services; Laundry, Cleaning, and Garment Services; Meat Markets and Butchers; Nonresidential Property Managers; Professional Services; Real Estate; Real Estate; Real Estate Agents And Brokers; Real Estate Management and Development; Real Estate Management Services; Real Estate Operating Companies; Real Estate Services; Research and Consulting Services; Residential Building Care and Improvement Services ; Residential Property Managers; Retailing; Services Outsourcing; Software and Services; Specialized Consumer Services; Specialty Educational Services; Specialty Retail; System and Platform Integration</t>
  </si>
  <si>
    <t>CMGE Technology Group Limited (SEHK:302)</t>
  </si>
  <si>
    <t>SEHK:302</t>
  </si>
  <si>
    <t>The Stock Exchange of Hong Kong Ltd. (SEHK)</t>
  </si>
  <si>
    <t>Communication Services (Primary); Computer and Mobile Games (Primary); Entertainment (Primary); Entertainment Software (Primary); Interactive Home Entertainment (Primary); Media and Entertainment (Primary); Asset Management and Custody Banks; Capital Markets; Diversified Financial Services; Diversified Financials; Financials; Investment Services and Holding Companies; Multi-Sector Holdings; Patent Owners and Lessors</t>
  </si>
  <si>
    <t>Zhejiang Shibao Company Limited (SEHK:1057)</t>
  </si>
  <si>
    <t>SEHK:1057</t>
  </si>
  <si>
    <t>The Stock Exchange of Hong Kong Ltd. (SEHK)</t>
  </si>
  <si>
    <t>Auto Components (Primary); Auto Parts and Equipment (Primary); Automobiles and Components (Primary); Consumer Discretionary (Primary); Steering and Suspension System Components (Primary); Steering Systems (Primary)</t>
  </si>
  <si>
    <t>Prosperous Industrial (Holdings) Limited (SEHK:1731)</t>
  </si>
  <si>
    <t>SEHK:1731</t>
  </si>
  <si>
    <t>The Stock Exchange of Hong Kong Ltd. (SEHK)</t>
  </si>
  <si>
    <t>Apparel, Accessories and Luxury Goods (Primary); Backpacks (Primary); Consumer Discretionary (Primary); Consumer Durables and Apparel (Primary); Luggage (Primary); Luggage and Handbags (Primary); Purses, Handbags and Bags (Primary); Textiles, Apparel and Luxury Goods (Primary); Apparel and Textile Distribution; Apparel Retail; Commercial and Professional Services; Commercial Services and Supplies; Distributors; Distributors; Diversified Support Services; Durable Goods Distribution; Industrials; Luggage and Leather Goods Stores; Retailing; Specialty Retail</t>
  </si>
  <si>
    <t>CMIC Ocean En-Tech Holding Co., Ltd. (SEHK:206)</t>
  </si>
  <si>
    <t>SEHK:206</t>
  </si>
  <si>
    <t>The Stock Exchange of Hong Kong Ltd. (SEHK)</t>
  </si>
  <si>
    <t>Drilling Rigs and Equipment (Primary); Energy (Primary); Energy (Primary); Energy Equipment and Services (Primary); Oil and Gas Equipment and Services (Primary); Oil and Gas Field Services (Primary); Oil and Gas Machinery and Equipment (Primary); Well Drilling Machinery and Equipment (Primary); Capital Goods; Construction and Engineering; Construction and Engineering; Construction Support Services; Engineering and Surveying Services; Engineering Services; Industrial Machinery; Industrials; Machinery; Machinery Distribution; Machinery Rental and Leasing; Material Handling Machinery and Equipment; Oil and Gas Machinery and Equipment Distribution; Trading Companies and Distributors; Trading Companies and Distributors</t>
  </si>
  <si>
    <t>Playmates Toys Limited (SEHK:869)</t>
  </si>
  <si>
    <t>SEHK:869</t>
  </si>
  <si>
    <t>The Stock Exchange of Hong Kong Ltd. (SEHK)</t>
  </si>
  <si>
    <t>Consumer Discretionary (Primary); Consumer Durables and Apparel (Primary); Games and Toys (Primary); Hobbies, Toys and Games (Primary); Leisure Products (Primary); Leisure Products (Primary); Sporting and Recreational Goods (Primary)</t>
  </si>
  <si>
    <t>Maoyan Entertainment (SEHK:1896)</t>
  </si>
  <si>
    <t>SEHK:1896</t>
  </si>
  <si>
    <t>The Stock Exchange of Hong Kong Ltd. (SEHK)</t>
  </si>
  <si>
    <t>Consumer Discretionary (Primary); Internet and Direct Marketing Retail (Primary); Internet and Direct Marketing Retail (Primary); Online Entertainment Ticket Agencies (Primary); Retailing (Primary); Advertising; Broadcast Advertising; Broadcasting; Commercial Distribution Film Libraries; Communication Services; Computer and Mobile Games; Entertainment; Entertainment Production Companies; Entertainment Services; Entertainment Software; Entertainment Venues; Interactive Home Entertainment; Internet Advertising; Media; Media and Entertainment; Motion Picture and Video Production Companies; Motion Picture And Video Tape Distribution; Motion Picture Distribution And Allied Services; Movies and Entertainment; Online Entertainment; Radio; Radio Production Companies; Stage and Theater Services; Talent Management and Talent Service Agencies; Television; Television and Video Post-Production Services; Television Content and Programming; Television Production Companies; Ticket Agencies</t>
  </si>
  <si>
    <t>ENM Holdings Limited (SEHK:128)</t>
  </si>
  <si>
    <t>SEHK:128</t>
  </si>
  <si>
    <t>The Stock Exchange of Hong Kong Ltd. (SEHK)</t>
  </si>
  <si>
    <t>Apparel Retail (Primary); Consumer Discretionary (Primary); Retailing (Primary); Specialty Retail (Primary); Amusement And Recreation Services; Apparel; Apparel and Textile Distribution; Apparel, Accessories and Luxury Goods; Asset Management and Custody Banks; Capital Markets; Consumer Durables and Apparel; Consumer Services; Distributors; Distributors; Diversified Financials; Durable Goods Distribution; Financials; Hotels And Motels; Hotels, Resorts and Cruise Lines; Hotels, Restaurants and Leisure; Leisure Facilities; Lodging; Men's Apparel; Recreation Clubs; Resorts; Textiles, Apparel and Luxury Goods</t>
  </si>
  <si>
    <t>Crystal International Group Limited (SEHK:2232)</t>
  </si>
  <si>
    <t>SEHK:2232</t>
  </si>
  <si>
    <t>The Stock Exchange of Hong Kong Ltd. (SEHK)</t>
  </si>
  <si>
    <t>Apparel (Primary); Apparel, Accessories and Luxury Goods (Primary); Athletic Uniforms (Primary); Consumer Discretionary (Primary); Consumer Durables and Apparel (Primary); Specialty Apparel (Primary); Textiles, Apparel and Luxury Goods (Primary); Women's Intimate Apparel (Primary); Women's, Misses', and Juniors' Apparel (Primary); Women's, Misses', and Juniors' Blouses, Shirts and Sweaters (Primary); Women's, Misses', and Juniors' Underwear and Nightwear (Primary)</t>
  </si>
  <si>
    <t>Kangqiao Service Group Limited (SEHK:2205)</t>
  </si>
  <si>
    <t>SEHK:2205</t>
  </si>
  <si>
    <t>The Stock Exchange of Hong Kong Ltd. (SEHK)</t>
  </si>
  <si>
    <t>Financial Street Property Co., Limited (SEHK:1502)</t>
  </si>
  <si>
    <t>SEHK:1502</t>
  </si>
  <si>
    <t>The Stock Exchange of Hong Kong Ltd. (SEHK)</t>
  </si>
  <si>
    <t>Nonresidential Property Managers (Primary); Real Estate (Primary); Real Estate (Primary); Real Estate Management and Development (Primary); Real Estate Management Services (Primary); Real Estate Operating Companies (Primary); Residential Property Managers (Primary); Catering Services; Consumer Discretionary; Consumer Services; Financials; Hotels; Hotels And Motels; Hotels, Resorts and Cruise Lines; Hotels, Restaurants and Leisure; Insurance; Insurance; Insurance Brokers; Lodging; Real Estate Agents And Brokers; Real Estate Services; Restaurants</t>
  </si>
  <si>
    <t>Dream International Limited (SEHK:1126)</t>
  </si>
  <si>
    <t>SEHK:1126</t>
  </si>
  <si>
    <t>The Stock Exchange of Hong Kong Ltd. (SEHK)</t>
  </si>
  <si>
    <t>Consumer Discretionary (Primary); Consumer Durables and Apparel (Primary); Dolls and Stuffed Toys (Primary); Hobbies, Toys and Games (Primary); Leisure Products (Primary); Leisure Products (Primary); Sporting and Recreational Goods (Primary); Chemicals; Commercial and Professional Services; Commercial Services and Supplies; Commodity Chemicals; Communications Equipment; Communications Equipment; Electronic Equipment and Instruments; Electronic Equipment, Instruments and Components; Fabrics; Industrials; Information Technology; Materials; Materials; Office Products; Office Services and Supplies; Plastic and Synthetic Resins; Plastic Products; Specialty Chemicals; Technology Hardware and Equipment; Textile Mill Products; Textiles; Textiles, Apparel and Luxury Goods</t>
  </si>
  <si>
    <t>BetterLife Holding Limited (SEHK:6909)</t>
  </si>
  <si>
    <t>SEHK:6909</t>
  </si>
  <si>
    <t>The Stock Exchange of Hong Kong Ltd. (SEHK)</t>
  </si>
  <si>
    <t>Automotive Retail (Primary); Consumer Discretionary (Primary); Motor Vehicle Dealers (New) (Primary); Motor Vehicle Retail (Primary); Retailing (Primary); Specialty Retail (Primary); Car Loans; Consumer Finance; Consumer Finance; Consumer Services; Diversified Consumer Services; Diversified Financials; Financials; Insurance; Insurance; Insurance Brokers; Motor Vehicle Repair and Services; Personal Credit Agencies; Personal Loan Services; Specialized Consumer Services</t>
  </si>
  <si>
    <t>Cheerwin Group Limited (SEHK:6601)</t>
  </si>
  <si>
    <t>SEHK:6601</t>
  </si>
  <si>
    <t>The Stock Exchange of Hong Kong Ltd. (SEHK)</t>
  </si>
  <si>
    <t>Air Fresheners (Primary); Animal Care Products (Primary); Cleaning Products (Primary); Consumer Staples (Primary); Household and Personal Products (Primary); Household Disinfectants (Primary); Household Products (Primary); Household Products (Primary); Soaps (Primary); Advertising; Beauty Care Products; Communication Services; Consumer Discretionary; Distributors; Distributors; Marketing Services; Media; Media and Entertainment; Motor Vehicles and Parts Distribution; Personal Products; Personal Products; Retailing; Skin Care Products</t>
  </si>
  <si>
    <t>Golden Resources Development International Limited (SEHK:677)</t>
  </si>
  <si>
    <t>SEHK:677</t>
  </si>
  <si>
    <t>The Stock Exchange of Hong Kong Ltd. (SEHK)</t>
  </si>
  <si>
    <t>Consumer Staples (Primary); Food and Staples Retailing (Primary); Food and Staples Retailing (Primary); Food Distributors (Primary); Air Freight and Logistics; Air Freight and Logistics; Asset Management and Custody Banks; Capital Markets; Commercial and Professional Services; Commercial Services and Supplies; Convenience Stores; Diversified Financial Services; Diversified Financials; Diversified Support Services; Financials; Food Retail; Grocery Stores; Industrials; Information Technology; Investment Services and Holding Companies; IT Consulting and Other Services; IT Services; Multi-Sector Holdings; Patent Owners and Lessors; Real Estate; Real Estate; Real Estate Development; Real Estate Management and Development; Real Estate Operating Companies; Real Estate Operators And Lessors; Software and Services; Specialized Finance; Transportation; Warehousing and Storage</t>
  </si>
  <si>
    <t>Jinke Smart Services Group Co., Ltd. (SEHK:9666)</t>
  </si>
  <si>
    <t>SEHK:9666</t>
  </si>
  <si>
    <t>The Stock Exchange of Hong Kong Ltd. (SEHK)</t>
  </si>
  <si>
    <t>Nonresidential Property Managers (Primary); Real Estate (Primary); Real Estate (Primary); Real Estate Management and Development (Primary); Real Estate Management Services (Primary); Real Estate Operating Companies (Primary); Residential Property Managers (Primary); Advertising; Building Care and Improvement Services; Capital Goods; Catering Services; Commercial and Professional Services; Commercial Services and Supplies; Communication Services; Construction and Engineering; Construction and Engineering; Construction Management Services; Construction Support Services; Consulting Services; Consumer Discretionary; Consumer Services; Diversified Support Services; Hotels; Hotels And Motels; Hotels, Resorts and Cruise Lines; Hotels, Restaurants and Leisure; Industrials; Lodging; Media; Media and Entertainment; Professional Services; Real Estate Agents And Brokers; Real Estate Services; Research and Consulting Services; Restaurants; Trading Companies and Distributors; Trading Companies and Distributors; Travel and Tourism Services</t>
  </si>
  <si>
    <t>Upbest Group Limited (SEHK:335)</t>
  </si>
  <si>
    <t>SEHK:335</t>
  </si>
  <si>
    <t>The Stock Exchange of Hong Kong Ltd. (SEHK)</t>
  </si>
  <si>
    <t>Consumer Discretionary (Primary); Distributors (Primary); Distributors (Primary); Retailing (Primary); Asset Management and Custody Banks; Capital Goods; Capital Markets; Commodity Contract Services; Consumer Finance; Consumer Finance; Diversified Financial Services; Diversified Financials; Financials; Industrials; Investment Advice; Investment Banking; Investment Banking and Brokerage; Other Diversified Financial Services; Personal Credit Agencies; Real Estate; Real Estate; Real Estate Management and Development; Real Estate Management Services; Real Estate Operating Companies; Real Estate Operators And Lessors; Securities and Commodities Markets Services; Security Brokers; Security Brokers and Dealers; Security Underwriting Services; Specialized Finance; Trading Companies and Distributors; Trading Companies and Distributors</t>
  </si>
  <si>
    <t>Archosaur Games Inc. (SEHK:9990)</t>
  </si>
  <si>
    <t>SEHK:9990</t>
  </si>
  <si>
    <t>The Stock Exchange of Hong Kong Ltd. (SEHK)</t>
  </si>
  <si>
    <t>AAG Energy Holdings Limited (SEHK:2686)</t>
  </si>
  <si>
    <t>SEHK:2686</t>
  </si>
  <si>
    <t>The Stock Exchange of Hong Kong Ltd. (SEHK)</t>
  </si>
  <si>
    <t>Energy (Primary); Energy (Primary); Oil and Gas Exploration and Production (Primary); Oil, Gas and Consumable Fuels (Primary)</t>
  </si>
  <si>
    <t>Cathay Media and Education Group Inc. (SEHK:1981)</t>
  </si>
  <si>
    <t>SEHK:1981</t>
  </si>
  <si>
    <t>The Stock Exchange of Hong Kong Ltd. (SEHK)</t>
  </si>
  <si>
    <t>N/A
Company: Cathay Media and Education Group Inc.
(IQT670723266) - The Stock Exchange of Hong Kong Ltd. (SEHK)</t>
  </si>
  <si>
    <t>Communication Services (Primary); Entertainment (Primary); Entertainment Production Companies (Primary); Media and Entertainment (Primary); Motion Picture and Video Production Companies (Primary); Movies and Entertainment (Primary); Television Production Companies (Primary); Consumer Discretionary; Consumer Services; Diversified Consumer Services; Education Services</t>
  </si>
  <si>
    <t>KWG Living Group Holdings Limited (SEHK:3913)</t>
  </si>
  <si>
    <t>SEHK:3913</t>
  </si>
  <si>
    <t>The Stock Exchange of Hong Kong Ltd. (SEHK)</t>
  </si>
  <si>
    <t>A8 New Media Group Limited (SEHK:800)</t>
  </si>
  <si>
    <t>SEHK:800</t>
  </si>
  <si>
    <t>The Stock Exchange of Hong Kong Ltd. (SEHK)</t>
  </si>
  <si>
    <t>Real Estate (Primary); Real Estate (Primary); Real Estate Management and Development (Primary); Real Estate Operating Companies (Primary); Real Estate Operators And Lessors (Primary); Application Software; Communication Services; Diversified Financial Services; Diversified Financials; Entertainment; Entertainment Production Companies; Entertainment Services; Entertainment Software; Financials; Information Technology; Information Technology (IT) Consulting; Interactive Home Entertainment; Investment Services and Holding Companies; IT Consulting and Other Services; IT Services; Media and Entertainment; Motion Picture and Video Production Companies; Movies and Entertainment; Multi-Sector Holdings; Music Services; Patent Owners and Lessors; Software; Software and Services; Television Production Companies</t>
  </si>
  <si>
    <t>Termbray Industries International (Holdings) Limited (SEHK:93)</t>
  </si>
  <si>
    <t>SEHK:93</t>
  </si>
  <si>
    <t>The Stock Exchange of Hong Kong Ltd. (SEHK)</t>
  </si>
  <si>
    <t>Real Estate (Primary); Real Estate (Primary); Real Estate Development (Primary); Real Estate Management and Development (Primary); Consumer Finance; Consumer Finance; Diversified Financials; Financials; Nonresidential Building Operators and Lessors; Real Estate Operating Companies; Real Estate Operators And Lessors; Residential Building Operators and Lessors</t>
  </si>
  <si>
    <t>Honbridge Holdings Limited (SEHK:8137)</t>
  </si>
  <si>
    <t>SEHK:8137</t>
  </si>
  <si>
    <t>The Stock Exchange of Hong Kong Ltd. (SEHK)</t>
  </si>
  <si>
    <t>Batteries (Primary); Capital Goods (Primary); Electrical Components and Equipment (Primary); Electrical Equipment (Primary); Industrials (Primary); Diversified Metals and Mining; Iron Ores; Materials; Materials; Metals and Mining; Steel; Trading Companies and Distributors; Trading Companies and Distributors</t>
  </si>
  <si>
    <t>Greatview Aseptic Packaging Company Limited (SEHK:468)</t>
  </si>
  <si>
    <t>SEHK:468</t>
  </si>
  <si>
    <t>The Stock Exchange of Hong Kong Ltd. (SEHK)</t>
  </si>
  <si>
    <t>Containers and Packaging (Primary); Materials (Primary); Materials (Primary); Paper Packaging (Primary); Application Software; Capital Goods; Commercial and Professional Services; Commercial Services and Supplies; Diversified Support Services; Industrial Machinery; Industrials; Information Technology; Machinery; Machinery Components; Metal and Glass Containers; Packaging Machinery and Equipment; Plastic Packaging; Plastic Packaging Film And Sheet; Software; Software and Services</t>
  </si>
  <si>
    <t>Neo-Neon Holdings Limited (SEHK:1868)</t>
  </si>
  <si>
    <t>SEHK:1868</t>
  </si>
  <si>
    <t>The Stock Exchange of Hong Kong Ltd. (SEHK)</t>
  </si>
  <si>
    <t>Capital Goods (Primary); Electric Lighting and Wiring Equipment (Primary); Electrical Components and Equipment (Primary); Electrical Equipment (Primary); Industrials (Primary); Diversified Financial Services; Diversified Financials; Electrical Equipment Distribution; Financials; Specialized Finance; Trading Companies and Distributors; Trading Companies and Distributors</t>
  </si>
  <si>
    <t>Hong Kong Economic Times Holdings Limited (SEHK:423)</t>
  </si>
  <si>
    <t>SEHK:423</t>
  </si>
  <si>
    <t>The Stock Exchange of Hong Kong Ltd. (SEHK)</t>
  </si>
  <si>
    <t>Book Publishing (Primary); Communication Services (Primary); Magazine Publishing (Primary); Media (Primary); Media and Entertainment (Primary); Newspaper and Magazine Publishing (Primary); Newspaper Publishing (Primary); Periodical Publishing (Primary); Printed Media Publishing (Primary); Published Electronic Materials (Primary); Publishing (Primary); Advertising; Capital Markets; Commercial and Professional Services; Commercial Printing; Commercial Services and Supplies; Diversified Financials; Financials; Human Resource and Employment Services; Industrials; Interactive Media and Services; Interactive Media and Services; Investment Banking and Brokerage; Online Services; Printing Services; Professional and Management Development Training; Professional Services; Real Estate; Real Estate; Real Estate Management and Development; Real Estate Operating Companies; Securities and Commodities Markets Services; Security Brokers and Dealers</t>
  </si>
  <si>
    <t>Duiba Group Limited (SEHK:1753)</t>
  </si>
  <si>
    <t>SEHK:1753</t>
  </si>
  <si>
    <t>The Stock Exchange of Hong Kong Ltd. (SEHK)</t>
  </si>
  <si>
    <t>Communication Services (Primary); Interactive Media and Services (Primary); Interactive Media and Services (Primary); Media and Entertainment (Primary); Advertising; Application Hosting Services; Application Service Providers (ASPs); Application Software; Information Technology; Media; Software; Software and Services</t>
  </si>
  <si>
    <t>The Cross-Harbour (Holdings) Limited (SEHK:32)</t>
  </si>
  <si>
    <t>SEHK:32</t>
  </si>
  <si>
    <t>The Stock Exchange of Hong Kong Ltd. (SEHK)</t>
  </si>
  <si>
    <t>Automobile Driving Instruction (Primary); Consumer Discretionary (Primary); Consumer Services (Primary); Diversified Consumer Services (Primary); Education Services (Primary); Specialty Educational Services (Primary); Asset Management and Custody Banks; Capital Markets; Commercial and Professional Services; Consulting Services; Diversified Financial Services; Diversified Financials; Electronic Equipment and Instruments; Electronic Equipment, Instruments and Components; Financials; Industrials; Information Technology; IT Consulting and Other Services; IT Services; Professional Services; Real Estate; Real Estate; Real Estate Management and Development; Real Estate Operating Companies; Real Estate Operators And Lessors; Research and Consulting Services; Security, Control, Surveillance and Detection Equipment; Software and Services; Specialized Finance; Technology Hardware and Equipment</t>
  </si>
  <si>
    <t>Strawbear Entertainment Group (SEHK:2125)</t>
  </si>
  <si>
    <t>SEHK:2125</t>
  </si>
  <si>
    <t>The Stock Exchange of Hong Kong Ltd. (SEHK)</t>
  </si>
  <si>
    <t>Communication Services (Primary); Entertainment (Primary); Entertainment Production Companies (Primary); Entertainment Services (Primary); Media and Entertainment (Primary); Motion Picture Distribution And Allied Services (Primary); Movies and Entertainment (Primary); Television Production Companies (Primary); Diversified Financial Services; Diversified Financials; Financials; Investment Services and Holding Companies; Multi-Sector Holdings; Patent Owners and Lessors</t>
  </si>
  <si>
    <t>Lonking Holdings Limited (SEHK:3339)</t>
  </si>
  <si>
    <t>SEHK:3339</t>
  </si>
  <si>
    <t>The Stock Exchange of Hong Kong Ltd. (SEHK)</t>
  </si>
  <si>
    <t>Capital Goods (Primary); Construction Machinery and Equipment (Primary); Construction Machinery and Heavy Trucks (Primary); Industrials (Primary); Machinery (Primary); Business Credit Agencies; Construction Machinery Distribution; Credit Agencies; Diversified Financial Services; Diversified Financials; Finance Leasing; Financials; Forklifts; Industrial Machinery; Lifting Equipment; Machinery Components; Machinery Distribution; Material Handling Machinery and Equipment; Specialized Finance; Trading Companies and Distributors; Trading Companies and Distributors</t>
  </si>
  <si>
    <t>Kingmaker Footwear Holdings Limited (SEHK:1170)</t>
  </si>
  <si>
    <t>SEHK:1170</t>
  </si>
  <si>
    <t>The Stock Exchange of Hong Kong Ltd. (SEHK)</t>
  </si>
  <si>
    <t>Athletic Footwear (Primary); Consumer Discretionary (Primary); Consumer Durables and Apparel (Primary); Footwear (Primary); Men's and Boys' Footwear (Primary); Textiles, Apparel and Luxury Goods (Primary); Women's and Girls' Footwear (Primary); Commercial and Professional Services; Commercial Services and Supplies; General Management Services; Industrials; Office Services and Supplies; Real Estate; Real Estate; Real Estate Management and Development; Real Estate Operating Companies</t>
  </si>
  <si>
    <t>Sino Hotels (Holdings) Limited (SEHK:1221)</t>
  </si>
  <si>
    <t>SEHK:1221</t>
  </si>
  <si>
    <t>The Stock Exchange of Hong Kong Ltd. (SEHK)</t>
  </si>
  <si>
    <t>Consumer Discretionary (Primary); Consumer Services (Primary); Hotels (Primary); Hotels And Motels (Primary); Hotels, Resorts and Cruise Lines (Primary); Hotels, Restaurants and Leisure (Primary); Lodging (Primary); Amusement And Recreation Services; Asset Management and Custody Banks; Beverage and Tobacco Bars; Cafeterias; Capital Markets; Diversified Financial Services; Diversified Financials; Financials; Leisure Facilities; Pubs, Bars and Taverns; Recreation Clubs; Restaurants; Specialized Finance</t>
  </si>
  <si>
    <t>Hutchison Telecommunications Hong Kong Holdings Limited (SEHK:215)</t>
  </si>
  <si>
    <t>SEHK:215</t>
  </si>
  <si>
    <t>The Stock Exchange of Hong Kong Ltd. (SEHK)</t>
  </si>
  <si>
    <t>Cellular Services (Primary); Communication Services (Primary); Mobile Data Services (Primary); Telecommunication Services (Primary); Wireless Telecommunication Services (Primary); Wireless Telecommunication Services (Primary); Advertising; Diversified Telecommunication Services; Information Technology; Information Technology (IT) Consulting; Integrated Telecommunication Services; IT Consulting and Other Services; IT Services; Media; Media and Entertainment; Software and Services</t>
  </si>
  <si>
    <t>Renrui Human Resources Technology Holdings Limited (SEHK:6919)</t>
  </si>
  <si>
    <t>SEHK:6919</t>
  </si>
  <si>
    <t>The Stock Exchange of Hong Kong Ltd. (SEHK)</t>
  </si>
  <si>
    <t>Commercial and Professional Services (Primary); Executive Placing Services (Primary); Human Resource and Employment Services (Primary); Human Resources and Personnel Management (Primary); Industrials (Primary); Professional and Management Development Training (Primary); Professional Services (Primary); Temporary Help Supply (Primary)</t>
  </si>
  <si>
    <t>BAIOO Family Interactive Limited (SEHK:2100)</t>
  </si>
  <si>
    <t>SEHK:2100</t>
  </si>
  <si>
    <t>The Stock Exchange of Hong Kong Ltd. (SEHK)</t>
  </si>
  <si>
    <t>Communication Services (Primary); Entertainment (Primary); Interactive Home Entertainment (Primary); Media and Entertainment (Primary); Application Software; Casinos and Gaming; Consumer Discretionary; Consumer Services; Entertainment Services; Gaming Operations; Hotels, Restaurants and Leisure; Information Technology; Information Technology (IT) Consulting; Interactive Media and Services; Interactive Media and Services; IT Consulting and Other Services; IT Services; Movies and Entertainment; Online Gaming Operations; Online Services; Software; Software and Services</t>
  </si>
  <si>
    <t>Lion Rock Group Limited (SEHK:1127)</t>
  </si>
  <si>
    <t>SEHK:1127</t>
  </si>
  <si>
    <t>The Stock Exchange of Hong Kong Ltd. (SEHK)</t>
  </si>
  <si>
    <t>Book Printing (Primary); Commercial and Professional Services (Primary); Commercial Printing (Primary); Commercial Services and Supplies (Primary); Industrials (Primary); Printing Services (Primary); Publication Printing (Primary); Book Publishing; Commercial Design Services; Communication Services; Consumer Discretionary; Distributors; Distributors; Diversified Support Services; Graphic Design; Media; Media and Entertainment; Media Distribution; Printed Media Distribution; Printed Media Publishing; Publishing; Retailing</t>
  </si>
  <si>
    <t>CNT Group Limited (SEHK:701)</t>
  </si>
  <si>
    <t>SEHK:701</t>
  </si>
  <si>
    <t>The Stock Exchange of Hong Kong Ltd. (SEHK)</t>
  </si>
  <si>
    <t>Chemicals (Primary); Materials (Primary); Materials (Primary); Paints, Varnishes, and Lacquers (Primary); Specialty Chemicals (Primary); Asset Management and Custody Banks; Capital Goods; Capital Markets; Commercial and Professional Services; Commercial Services and Supplies; Consulting Services; Consumer Discretionary; Consumer Services; Diversified Financials; Financials; General Management Services; Hotels; Hotels And Motels; Hotels, Resorts and Cruise Lines; Hotels, Restaurants and Leisure; Industrial Property Operators and Lessors; Industrials; Investment Banking and Brokerage; Lodging; Nonresidential Building Operators and Lessors; Office Services and Supplies; Professional Services; Real Estate; Real Estate; Real Estate Development; Real Estate Management and Development; Real Estate Operating Companies; Real Estate Operators And Lessors; Research and Consulting Services; Residential Building Operators and Lessors; Securities and Commodities Markets Services; Security Brokers and Dealers; Trading Companies and Distributors; Trading Companies and Distributors</t>
  </si>
  <si>
    <t>Inkeverse Group Limited (SEHK:3700)</t>
  </si>
  <si>
    <t>SEHK:3700</t>
  </si>
  <si>
    <t>The Stock Exchange of Hong Kong Ltd. (SEHK)</t>
  </si>
  <si>
    <t>Communication Services (Primary); Interactive Media and Services (Primary); Interactive Media and Services (Primary); Media and Entertainment (Primary); Online Services (Primary); Social Media and Networking Platforms (Primary); Commercial and Professional Services; Commercial Services and Supplies; Consulting Services; Diversified Support Services; Entertainment; Entertainment Services; Entertainment Venues; Industrials; Movies and Entertainment; Multimedia Streaming Services; Online Entertainment; Professional Services; Research and Consulting Services; Talent Management and Talent Service Agencies</t>
  </si>
  <si>
    <t>Pan Asia Environmental Protection Group Limited (SEHK:556)</t>
  </si>
  <si>
    <t>SEHK:556</t>
  </si>
  <si>
    <t>The Stock Exchange of Hong Kong Ltd. (SEHK)</t>
  </si>
  <si>
    <t>Commercial and Professional Services (Primary); Commercial Services and Supplies (Primary); Environmental and Facilities Services (Primary); Industrials (Primary); Capital Goods; Construction and Engineering; Construction and Engineering; Construction Support Services; Engineering and Surveying Services; Engineering Services; Machinery Distribution; Trading Companies and Distributors; Trading Companies and Distributors</t>
  </si>
  <si>
    <t>Glorious Sun Enterprises Limited (SEHK:393)</t>
  </si>
  <si>
    <t>SEHK:393</t>
  </si>
  <si>
    <t>The Stock Exchange of Hong Kong Ltd. (SEHK)</t>
  </si>
  <si>
    <t>Apparel Retail (Primary); Consumer Discretionary (Primary); Retailing (Primary); Specialty Retail (Primary); Air Freight and Logistics; Air Freight and Logistics; Apparel; Apparel and Textile Distribution; Apparel, Accessories and Luxury Goods; Asset Management and Custody Banks; Capital Markets; Commercial and Professional Services; Commercial Design Services; Commercial Interior Design ; Commercial Services and Supplies; Consulting Services; Consumer Durables and Apparel; Consumer Services; Distributors; Distributors; Diversified Consumer Services; Diversified Financial Services; Diversified Financials; Diversified Support Services; Durable Goods Distribution; Financials; Household Durables Distribution; Industrials; Information Technology; Information Technology (IT) Consulting; Internet Services and Infrastructure; Investment Services and Holding Companies; IT Consulting and Other Services; IT Services; Maintenance Repair (Break-Fix/Warranty); Multi-Sector Holdings; Patent Owners and Lessors; Professional Services; Real Estate; Real Estate; Real Estate Development; Real Estate Management and Development; Real Estate Management Services; Real Estate Operating Companies; Research and Consulting Services; Residential Design Services ; Residential Interior Services ; Software and Services; Specialized Consumer Services; Textiles, Apparel and Luxury Goods; Transportation; Warehousing and Storage</t>
  </si>
  <si>
    <t>China BlueChemical Ltd. (SEHK:3983)</t>
  </si>
  <si>
    <t>SEHK:3983</t>
  </si>
  <si>
    <t>The Stock Exchange of Hong Kong Ltd. (SEHK)</t>
  </si>
  <si>
    <t>Chemicals (Primary); Fertilizers and Agricultural Chemicals (Primary); Materials (Primary); Materials (Primary); Nitrogenous Fertilizers (Primary); Phosphatic Fertilizers (Primary); Air Freight and Logistics; Air Freight and Logistics; Capital Goods; Chemical And Fertilizer Mineral Mining; Chemical Distribution; Commodity Chemicals; Containers and Packaging; Diversified Metals and Mining; Industrial Gases; Industrial Organic Chemicals; Industrials; Marine Ports and Services; Metal and Glass Containers; Metals and Mining; Phosphate Rock; Plastic Bags; Plastic Packaging; Trading Companies and Distributors; Trading Companies and Distributors; Transportation; Transportation Infrastructure</t>
  </si>
  <si>
    <t>Associated International Hotels Limited (SEHK:105)</t>
  </si>
  <si>
    <t>SEHK:105</t>
  </si>
  <si>
    <t>The Stock Exchange of Hong Kong Ltd. (SEHK)</t>
  </si>
  <si>
    <t>Industrial Property Operators and Lessors (Primary); Nonresidential Building Operators and Lessors (Primary); Real Estate (Primary); Real Estate (Primary); Real Estate Management and Development (Primary); Real Estate Operating Companies (Primary); Real Estate Operators And Lessors (Primary); Residential Building Operators and Lessors (Primary); Shopping Mall Operators and Lessors (Primary)</t>
  </si>
  <si>
    <t>Phoenix Media Investment (Holdings) Limited (SEHK:2008)</t>
  </si>
  <si>
    <t>SEHK:2008</t>
  </si>
  <si>
    <t>The Stock Exchange of Hong Kong Ltd. (SEHK)</t>
  </si>
  <si>
    <t>Broadcasting (Primary); Communication Services (Primary); Media (Primary); Media and Entertainment (Primary); Radio (Primary); Radio Broadcasting Stations (Primary); Television (Primary); Television Networks (Primary); Advertising; Aerospace and Defense; Aerospace and Defense; Application Software; Capital Goods; Commercial and Professional Services; Consumer Discretionary; Consumer Services; Diversified Consumer Services; Diversified Telecommunication Services; Education Services; Entertainment; Entertainment Production Companies; Entertainment Software; Industrials; Information Technology; Integrated Telecommunication Services; Interactive Home Entertainment; Interactive Media and Services; Interactive Media and Services; IT Consulting and Other Services; IT Services; Magazine Publishing; Movies and Entertainment; Newspaper and Magazine Publishing; Online Services; Passenger and Cargo Aircraft and Airplanes; Passenger and Cargo Aircraft Rental and Leasing; Periodical Publishing; Printed Media Publishing; Professional Services; Publishing; Real Estate; Real Estate; Real Estate Development; Real Estate Management and Development; Real Estate Operating Companies; Real Estate Operators And Lessors; Research and Consulting Services; Research, Development, and Testing Services; Software; Software and Services; Telecommunication Services; Television Production Companies</t>
  </si>
  <si>
    <t>China Motor Bus Company, Limited (SEHK:26)</t>
  </si>
  <si>
    <t>SEHK:26</t>
  </si>
  <si>
    <t>The Stock Exchange of Hong Kong Ltd. (SEHK)</t>
  </si>
  <si>
    <t>Diversified Real Estate Activities (Primary); Real Estate (Primary); Real Estate (Primary); Real Estate Management and Development (Primary); Apartment Building Operators and Lessors; Nonresidential Building Operators and Lessors; Office Building Operators and Lessors; Real Estate Development; Real Estate Operating Companies; Real Estate Operators And Lessors; Residential Building Operators and Lessors</t>
  </si>
  <si>
    <t>KuangChi Science Limited (SEHK:439)</t>
  </si>
  <si>
    <t>SEHK:439</t>
  </si>
  <si>
    <t>The Stock Exchange of Hong Kong Ltd. (SEHK)</t>
  </si>
  <si>
    <t>Aerospace and Defense (Primary); Aerospace and Defense (Primary); Capital Goods (Primary); Industrials (Primary); Application Software; Commercial and Professional Services; Commercial Services and Supplies; General Management Services; Information Technology; Office Services and Supplies; Real Estate; Real Estate; Real Estate Management and Development; Real Estate Operating Companies; Software; Software and Services</t>
  </si>
  <si>
    <t>Miramar Hotel and Investment Company, Limited (SEHK:71)</t>
  </si>
  <si>
    <t>SEHK:71</t>
  </si>
  <si>
    <t>The Stock Exchange of Hong Kong Ltd. (SEHK)</t>
  </si>
  <si>
    <t>Consumer Discretionary (Primary); Consumer Services (Primary); Hotels (Primary); Hotels And Motels (Primary); Hotels, Resorts and Cruise Lines (Primary); Hotels, Restaurants and Leisure (Primary); Lodging (Primary); Travel Agencies (Primary); Travel and Tourism Services (Primary); Diversified Financial Services; Diversified Financials; Financials; Nonresidential Building Operators and Lessors; Office Building Operators and Lessors; Real Estate; Real Estate; Real Estate Management and Development; Real Estate Management Services; Real Estate Operating Companies; Real Estate Operators And Lessors; Restaurants; Shopping Mall Operators and Lessors; Specialized Finance</t>
  </si>
  <si>
    <t>Get Nice Financial Group Limited (SEHK:1469)</t>
  </si>
  <si>
    <t>SEHK:1469</t>
  </si>
  <si>
    <t>The Stock Exchange of Hong Kong Ltd. (SEHK)</t>
  </si>
  <si>
    <t>Capital Markets (Primary); Diversified Financials (Primary); Financials (Primary); Investment Banking (Primary); Investment Banking and Brokerage (Primary); Securities and Commodities Markets Services (Primary); Security Brokers and Dealers (Primary); Security Underwriting Services (Primary); Asset Management and Custody Banks; Real Estate; Real Estate; Real Estate Management and Development; Real Estate Operating Companies; Real Estate Operators And Lessors</t>
  </si>
  <si>
    <t>Wah Ha Realty Company Limited (SEHK:278)</t>
  </si>
  <si>
    <t>SEHK:278</t>
  </si>
  <si>
    <t>The Stock Exchange of Hong Kong Ltd. (SEHK)</t>
  </si>
  <si>
    <t>Diversified Real Estate Activities (Primary); Real Estate (Primary); Real Estate (Primary); Real Estate Management and Development (Primary); Capital Goods; Commercial Construction and Engineering; Commercial Construction, General Contractors and Operative Builders; Construction and Engineering; Construction and Engineering; Industrials; Nonresidential Building Operators and Lessors; Real Estate Development; Real Estate Management Services; Real Estate Operating Companies; Real Estate Operators And Lessors; Residential Building Operators and Lessors</t>
  </si>
  <si>
    <t>China Xinhua Education Group Limited (SEHK:2779)</t>
  </si>
  <si>
    <t>SEHK:2779</t>
  </si>
  <si>
    <t>The Stock Exchange of Hong Kong Ltd. (SEHK)</t>
  </si>
  <si>
    <t>Colleges, Universities, and Professional Schools (Primary); Colleges, Universities, Professional Schools, and Junior Colleges (Primary); Consumer Discretionary (Primary); Consumer Services (Primary); Diversified Consumer Services (Primary); Education Services (Primary); Junior Colleges and Technical Institutes (Primary); Schools (Primary); Vocational Schools (Primary); Commercial and Professional Services; Consulting Services; Industrials; Information Technology; IT Consulting and Other Services; IT Services; Management Consulting Services; Professional Services; Research and Consulting Services; Software and Services</t>
  </si>
  <si>
    <t>COSCO SHIPPING International (Hong Kong) Co., Ltd. (SEHK:517)</t>
  </si>
  <si>
    <t>SEHK:517</t>
  </si>
  <si>
    <t>The Stock Exchange of Hong Kong Ltd. (SEHK)</t>
  </si>
  <si>
    <t>Industrials (Primary); Marine Ports and Services (Primary); Transportation (Primary); Transportation Infrastructure (Primary); Capital Goods; Chemicals; Commercial and Professional Services; Communications Equipment Distribution; Consulting Services; Electronic Equipment, Instruments and Components; Energy; Energy; Financials; Industrial Coatings; Information Technology; Insurance; Insurance; Insurance Brokers; Materials; Materials; Oil and Gas Refining and Marketing; Oil and Gas Refining and Marketing; Oil, Gas and Consumable Fuels; Professional Services; Research and Consulting Services; Specialty Chemicals; Technology Distributors; Technology Hardware and Equipment; Trading Companies and Distributors; Trading Companies and Distributors; Transportation Equipment and Supplies Distribution</t>
  </si>
  <si>
    <t>Hong Kong Ferry (Holdings) Company Limited (SEHK:50)</t>
  </si>
  <si>
    <t>SEHK:50</t>
  </si>
  <si>
    <t>The Stock Exchange of Hong Kong Ltd. (SEHK)</t>
  </si>
  <si>
    <t>Diversified Real Estate Activities (Primary); Real Estate (Primary); Real Estate (Primary); Real Estate Management and Development (Primary); Asset Management and Custody Banks; Capital Goods; Capital Markets; Construction Machinery and Heavy Trucks; Consumer Discretionary; Consumer Services; Distributors; Distributors; Diversified Consumer Services; Diversified Financial Services; Diversified Financials; Financials; Hotels, Restaurants and Leisure; Industrials; Machinery; Marine; Marine; Marine Transportation Equipment; Marine Transportation Of Freight; Motor Vehicle Parking; Motor Vehicle Repair and Services; Motor Vehicle Services; Real Estate Development; Real Estate Management Services; Real Estate Operating Companies; Real Estate Operators And Lessors; Restaurants; Retailing; Ship and Boat Repairing; Specialized Consumer Services; Specialized Finance; Trading Companies and Distributors; Trading Companies and Distributors; Transportation</t>
  </si>
  <si>
    <t>Sinopec Kantons Holdings Limited (SEHK:934)</t>
  </si>
  <si>
    <t>SEHK:934</t>
  </si>
  <si>
    <t>The Stock Exchange of Hong Kong Ltd. (SEHK)</t>
  </si>
  <si>
    <t>Energy (Primary); Energy (Primary); Oil and Gas Storage and Transportation (Primary); Oil, Gas and Consumable Fuels (Primary); Air Freight and Logistics; Air Freight and Logistics; Gas Utilities; Gas Utilities; Industrials; Natural Gas Transmission; Oil and Gas Distribution; Oil and Gas Refining and Marketing; Oil and Gas Refining and Marketing; Transportation; Utilities; Utilities</t>
  </si>
  <si>
    <t>Tai Cheung Holdings Limited (SEHK:88)</t>
  </si>
  <si>
    <t>SEHK:88</t>
  </si>
  <si>
    <t>The Stock Exchange of Hong Kong Ltd. (SEHK)</t>
  </si>
  <si>
    <t>Diversified Real Estate Activities (Primary); Real Estate (Primary); Real Estate (Primary); Real Estate Management and Development (Primary); Capital Goods; Commercial and Professional Services; Construction and Engineering; Construction and Engineering; Human Resource and Employment Services; Industrials; Land Sub Dividers And Developers; Land Sub Dividers and Developers, except Cemetery; Nonresidential Building Operators and Lessors; Professional Services; Real Estate Development; Real Estate Management Services; Real Estate Operating Companies; Real Estate Operators And Lessors; Residential Building Operators and Lessors; Secretarial Services</t>
  </si>
  <si>
    <t>Melbourne Enterprises Limited (SEHK:158)</t>
  </si>
  <si>
    <t>SEHK:158</t>
  </si>
  <si>
    <t>The Stock Exchange of Hong Kong Ltd. (SEHK)</t>
  </si>
  <si>
    <t>Nonresidential Building Operators and Lessors (Primary); Real Estate (Primary); Real Estate (Primary); Real Estate Management and Development (Primary); Real Estate Operating Companies (Primary); Real Estate Operators And Lessors (Primary)</t>
  </si>
  <si>
    <t>IPE Group Limited (SEHK:929)</t>
  </si>
  <si>
    <t>SEHK:929</t>
  </si>
  <si>
    <t>The Stock Exchange of Hong Kong Ltd. (SEHK)</t>
  </si>
  <si>
    <t>Capital Goods (Primary); Industrial Machinery (Primary); Industrials (Primary); Machinery (Primary); Machinery Components (Primary); Auto Components; Auto Parts and Equipment; Automobiles and Components; Commercial and Professional Services; Commercial Services and Supplies; Consumer Discretionary; Diversified Metals and Mining; Diversified Support Services; Electronic Components; Electronic Components; Electronic Equipment, Instruments and Components; Fabricated Structural Metal Products; Information Technology; Materials; Materials; Metals and Mining; Technology Hardware and Equipment; Trading Companies and Distributors; Trading Companies and Distributors</t>
  </si>
  <si>
    <t>Capital Industrial Financial Services Group Limited (SEHK:730)</t>
  </si>
  <si>
    <t>SEHK:730</t>
  </si>
  <si>
    <t>The Stock Exchange of Hong Kong Ltd. (SEHK)</t>
  </si>
  <si>
    <t>Consumer Finance (Primary); Consumer Finance (Primary); Diversified Financials (Primary); Financials (Primary); Asset Management and Custody Banks; Business Credit Agencies; Capital Markets; Commercial and Professional Services; Commercial Services and Supplies; Credit Agencies; Diversified Financial Services; Finance Leasing; General Management Services; Industrials; Nonresidential Building Operators and Lessors; Office Services and Supplies; Real Estate; Real Estate; Real Estate Management and Development; Real Estate Management Services; Real Estate Operating Companies; Real Estate Operators And Lessors; Real Estate Services; Residential Building Operators and Lessors; Specialized Finance</t>
  </si>
  <si>
    <t>Chen Hsong Holdings Limited (SEHK:57)</t>
  </si>
  <si>
    <t>SEHK:57</t>
  </si>
  <si>
    <t>The Stock Exchange of Hong Kong Ltd. (SEHK)</t>
  </si>
  <si>
    <t>Capital Goods (Primary); Chemical Processing Machinery and Equipment (Primary); Fluid Power Pumps and Motors (Primary); Industrial Machinery (Primary); Industrials (Primary); Injection Molding Machinery and Equipment (Primary); Machinery (Primary); Machinery Components (Primary); Pumps and Pumping Equipment (Primary); Rubber and Plastics Processing Machinery (Primary); Diversified Metal Foundries And Castings; Diversified Metals and Mining; Materials; Materials; Metals and Mining; Real Estate; Real Estate; Real Estate Management and Development; Real Estate Operating Companies; Real Estate Operators And Lessors; Rolling, Drawing, And Extruding Of Diversified Metals</t>
  </si>
  <si>
    <t>Tian Teck Land Limited (SEHK:266)</t>
  </si>
  <si>
    <t>SEHK:266</t>
  </si>
  <si>
    <t>The Stock Exchange of Hong Kong Ltd. (SEHK)</t>
  </si>
  <si>
    <t>China Rare Earth Holdings Limited (SEHK:769)</t>
  </si>
  <si>
    <t>SEHK:769</t>
  </si>
  <si>
    <t>The Stock Exchange of Hong Kong Ltd. (SEHK)</t>
  </si>
  <si>
    <t>Diversified Metals and Mining (Primary); Materials (Primary); Materials (Primary); Metals and Mining (Primary); Capital Goods; Clay Refractories; Clays; Construction Materials; Construction Materials; Industrials; Structural Clay Products; Trading Companies and Distributors; Trading Companies and Distributors</t>
  </si>
  <si>
    <t>Shenguan Holdings (Group) Limited (SEHK:829)</t>
  </si>
  <si>
    <t>SEHK:829</t>
  </si>
  <si>
    <t>The Stock Exchange of Hong Kong Ltd. (SEHK)</t>
  </si>
  <si>
    <t>Consumer Staples (Primary); Food Products (Primary); Food, Beverage and Tobacco (Primary); Meat Products (Primary); Meats, Meat Processing And Meat Related Products (Primary); Packaged Foods and Meats (Primary); Sausage and Hot Dogs (Primary); Beauty Care Products; Chemicals; Health Care; Household and Personal Products; Materials; Materials; Medicinal Chemicals and Botanical Products; Personal Products; Personal Products; Pharmaceutical Products; Pharmaceuticals; Pharmaceuticals; Pharmaceuticals, Biotechnology and Life Sciences; Skin Care Products; Specialty Chemicals</t>
  </si>
  <si>
    <t>Tianjin Jinran Public Utilities Company Limited (SEHK:1265)</t>
  </si>
  <si>
    <t>SEHK:1265</t>
  </si>
  <si>
    <t>The Stock Exchange of Hong Kong Ltd. (SEHK)</t>
  </si>
  <si>
    <t>Gas Utilities (Primary); Gas Utilities (Primary); Oil and Gas Distribution (Primary); Utilities (Primary); Utilities (Primary); Consumer Discretionary; Distributors; Distributors; Diversified Metals and Mining; Durable Goods Distribution; Energy; Energy; Household Durables Distribution; Materials; Materials; Metals and Mining; Natural Gas Pipelines; Nonresidential Building Operators and Lessors; Oil and Gas Storage and Transportation; Oil, Gas and Consumable Fuels; Real Estate; Real Estate; Real Estate Management and Development; Real Estate Operating Companies; Real Estate Operators And Lessors; Retailing</t>
  </si>
  <si>
    <t>Fountain Set (Holdings) Limited (SEHK:420)</t>
  </si>
  <si>
    <t>SEHK:420</t>
  </si>
  <si>
    <t>The Stock Exchange of Hong Kong Ltd. (SEHK)</t>
  </si>
  <si>
    <t>Consumer Discretionary (Primary); Consumer Durables and Apparel (Primary); Fabrics (Primary); Textile Mill Products (Primary); Textiles (Primary); Textiles, Apparel and Luxury Goods (Primary); Yarns (Primary); Apparel; Apparel and Textile Distribution; Apparel, Accessories and Luxury Goods; Capital Goods; Chemical Distribution; Distributors; Distributors; Durable Goods Distribution; Industrials; Retailing; Trading Companies and Distributors; Trading Companies and Distributors; Utilities; Utilities; Water Utilities; Water Utilities</t>
  </si>
  <si>
    <t>Singamas Container Holdings Limited (SEHK:716)</t>
  </si>
  <si>
    <t>SEHK:716</t>
  </si>
  <si>
    <t>The Stock Exchange of Hong Kong Ltd. (SEHK)</t>
  </si>
  <si>
    <t>Capital Goods (Primary); Industrial Machinery (Primary); Industrials (Primary); Machinery (Primary); Commercial and Professional Services; Commercial Repair Services; Commercial Services and Supplies; Diversified Metals and Mining; Diversified Support Services; Fabricated Structural Metal Products; General Management Services; Heavy Gauge Tanks; Human Resource and Employment Services; Human Resources and Personnel Management; Marine Ports and Services; Materials; Materials; Metals and Mining; Office Services and Supplies; Professional Services; Real Estate; Real Estate; Real Estate Management and Development; Real Estate Operating Companies; Real Estate Operators And Lessors; Road and Rail; Transportation; Transportation Infrastructure; Trucking; Warehousing and Storage</t>
  </si>
  <si>
    <t>China Starch Holdings Limited (SEHK:3838)</t>
  </si>
  <si>
    <t>SEHK:3838</t>
  </si>
  <si>
    <t>The Stock Exchange of Hong Kong Ltd. (SEHK)</t>
  </si>
  <si>
    <t>Consumer Staples (Primary); Food Products (Primary); Food, Beverage and Tobacco (Primary); Grain Mill Products (Primary); Packaged Foods and Meats (Primary); Sweeteners (Primary); Biochemical Polymers; Chemicals; Commodity Chemicals; Materials; Materials; Polymers</t>
  </si>
  <si>
    <t>APT Satellite Holdings Limited (SEHK:1045)</t>
  </si>
  <si>
    <t>SEHK:1045</t>
  </si>
  <si>
    <t>The Stock Exchange of Hong Kong Ltd. (SEHK)</t>
  </si>
  <si>
    <t>Alternative Carriers (Primary); Broadband Telecommunications Services (Primary); Communication Services (Primary); Digital Telecommunications Services (Primary); Diversified Telecommunication Services (Primary); Satellite Communication Services (Primary); Telecommunication Services (Primary); Cable and Satellite; Co-location/Data Centers; Commercial and Professional Services; Consulting Services; Industrials; Information Technology; Internet Services and Infrastructure; IT Services; Management Consulting Services; Media; Media and Entertainment; Professional Services; Real Estate; Real Estate; Real Estate Management and Development; Real Estate Operating Companies; Real Estate Operators And Lessors; Research and Consulting Services; Software and Services</t>
  </si>
  <si>
    <t>New Silkroad Culturaltainment Limited (SEHK:472)</t>
  </si>
  <si>
    <t>SEHK:472</t>
  </si>
  <si>
    <t>The Stock Exchange of Hong Kong Ltd. (SEHK)</t>
  </si>
  <si>
    <t>Beverages (Primary); Consumer Staples (Primary); Distillers and Vintners (Primary); Food, Beverage and Tobacco (Primary); Wine (Primary); Consumer Discretionary; Consumer Services; Food and Staples Retailing; Food and Staples Retailing; Food Distribution; Food Distributors; Hotels And Motels; Hotels, Resorts and Cruise Lines; Hotels, Restaurants and Leisure; Lodging; Real Estate; Real Estate; Real Estate Development; Real Estate Management and Development; Real Estate Operating Companies; Real Estate Operators And Lessors; Resorts; Tour Operators; Travel and Tourism Services</t>
  </si>
  <si>
    <t>Time Watch Investments Limited (SEHK:2033)</t>
  </si>
  <si>
    <t>SEHK:2033</t>
  </si>
  <si>
    <t>The Stock Exchange of Hong Kong Ltd. (SEHK)</t>
  </si>
  <si>
    <t>Apparel, Accessories and Luxury Goods (Primary); Consumer Discretionary (Primary); Consumer Durables and Apparel (Primary); Jewelry, Timepieces and Gemstone Products (Primary); Textiles, Apparel and Luxury Goods (Primary); Timepieces (Primary); Watches (Primary); Advertising; Apparel Retail; Commercial and Professional Services; Communication Services; Consulting Services; Distributors; Distributors; Durable Goods Distribution; Industrials; Internet and Direct Marketing Retail; Internet and Direct Marketing Retail; Jewelry, Timepieces and Gemstone Product Distribution; Marketing Services; Media; Media and Entertainment; Online Accessory Retail; Online Apparel and Accessory Retail; Online Specialty Retail; Professional Services; Real Estate; Real Estate; Real Estate Management and Development; Real Estate Operating Companies; Real Estate Operators And Lessors; Research and Consulting Services; Retailing; Specialty Retail; Watch and Timepiece Stores</t>
  </si>
  <si>
    <t>APAC Resources Limited (SEHK:1104)</t>
  </si>
  <si>
    <t>SEHK:1104</t>
  </si>
  <si>
    <t>The Stock Exchange of Hong Kong Ltd. (SEHK)</t>
  </si>
  <si>
    <t>Capital Goods (Primary); Industrials (Primary); Trading Companies and Distributors (Primary); Trading Companies and Distributors (Primary); Asset Management and Custody Banks; Capital Markets; Commercial and Professional Services; Consulting Services; Diversified Financials; Diversified Metals and Mining; Financials; Materials; Materials; Metals and Mining; Professional Services; Research and Consulting Services</t>
  </si>
  <si>
    <t>Wealthking Investments Limited (SEHK:1140)</t>
  </si>
  <si>
    <t>SEHK:1140</t>
  </si>
  <si>
    <t>The Stock Exchange of Hong Kong Ltd. (SEHK)</t>
  </si>
  <si>
    <t>Qingling Motors Co., Ltd. (SEHK:1122)</t>
  </si>
  <si>
    <t>SEHK:1122</t>
  </si>
  <si>
    <t>The Stock Exchange of Hong Kong Ltd. (SEHK)</t>
  </si>
  <si>
    <t>Automobile Manufacturers (Primary); Automobiles (Primary); Automobiles and Components (Primary); Consumer Discretionary (Primary); Passenger Motor Vehicles (Primary); Auto Components; Auto Parts and Equipment; Automotive Retail; Capital Goods; Construction Machinery and Heavy Trucks; Die Sets, Jigs and Industrial Molds; Heavy Duty Trucks; Industrial Machinery; Industrials; Machinery; Metalworking Machinery and Equipment; Motor Vehicle Accessories; Motor Vehicle Retail; Retailing; Specialty Retail</t>
  </si>
  <si>
    <t>Continental Aerospace Technologies Holding Limited (SEHK:232)</t>
  </si>
  <si>
    <t>SEHK:232</t>
  </si>
  <si>
    <t>The Stock Exchange of Hong Kong Ltd. (SEHK)</t>
  </si>
  <si>
    <t>Aerospace and Defense (Primary); Aerospace and Defense (Primary); Aircraft Engines and Engine Parts (Primary); Aircraft Systems, Components and Equipment (Primary); Capital Goods (Primary); Industrials (Primary); Aircraft Maintenance and Repair; Airport Services; Real Estate; Real Estate; Real Estate Development; Real Estate Management and Development; Transportation; Transportation Infrastructure</t>
  </si>
  <si>
    <t>Oshidori International Holdings Limited (SEHK:622)</t>
  </si>
  <si>
    <t>SEHK:622</t>
  </si>
  <si>
    <t>The Stock Exchange of Hong Kong Ltd. (SEHK)</t>
  </si>
  <si>
    <t>Consumer Finance (Primary); Consumer Finance (Primary); Diversified Financials (Primary); Financials (Primary); Asset Management and Custody Banks; Capital Markets; Commercial and Professional Services; Commercial Services and Supplies; Consulting Services; General Management Services; Industrials; Investment Banking; Investment Banking and Brokerage; Investment Brokerage Services; Motor Vehicle Rental and Leasing; Office Services and Supplies; Professional Services; Research and Consulting Services; Road and Rail; Securities and Commodities Markets Services; Security Brokers and Dealers; Security Underwriting Services; Transportation; Trucking</t>
  </si>
  <si>
    <t>Lippo China Resources Limited (SEHK:156)</t>
  </si>
  <si>
    <t>SEHK:156</t>
  </si>
  <si>
    <t>The Stock Exchange of Hong Kong Ltd. (SEHK)</t>
  </si>
  <si>
    <t>Consumer Staples (Primary); Food and Staples Retailing (Primary); Food and Staples Retailing (Primary); Food Distribution (Primary); Food Distributors (Primary); Groceries and Related Product Distribution (Primary); Asset Management and Custody Banks; Capital Markets; Commercial and Professional Services; Consulting Services; Consumer Discretionary; Consumer Services; Development Tools; Diversified Financial Services; Diversified Financials; Diversified Metal Ores; Diversified Metals and Mining; Diversified Real Estate Activities; Financials; Food Products; Food Retail; Food, Beverage and Tobacco; Hotels, Restaurants and Leisure; Industrials; Information Technology; Investment Banking and Brokerage; Materials; Materials; Metals and Mining; Packaged Foods and Meats; Professional Services; Real Estate; Real Estate; Real Estate Agents And Brokers; Real Estate Development; Real Estate Management and Development; Real Estate Management Services; Real Estate Operating Companies; Real Estate Operators And Lessors; Real Estate Services; Research and Consulting Services; Restaurants; Securities and Commodities Markets Services; Software; Software and Services; Software Development; Specialized Finance; Systems Software</t>
  </si>
  <si>
    <t>Asia Financial Holdings Limited (SEHK:662)</t>
  </si>
  <si>
    <t>SEHK:662</t>
  </si>
  <si>
    <t>The Stock Exchange of Hong Kong Ltd. (SEHK)</t>
  </si>
  <si>
    <t>Financials (Primary); Insurance (Primary); Insurance (Primary); Multi-line Insurance (Primary); Banks; Capital Markets; Diversified Financials; Health Care; Health Care Equipment and Services; Health Care Providers and Services; Health Care Services; Investment Banking and Brokerage; Life and Health Insurance; Life Insurance; Mortgage Bankers and Loan Correspondents; Property and Casualty Insurance; Real Estate; Real Estate; Real Estate Management and Development; Real Estate Operating Companies; Real Estate Operators And Lessors; Securities and Commodities Markets Services; Thrifts and Mortgage Finance; Thrifts and Mortgage Finance</t>
  </si>
  <si>
    <t>Chu Kong Shipping Enterprises (Group) Company Limited (SEHK:560)</t>
  </si>
  <si>
    <t>SEHK:560</t>
  </si>
  <si>
    <t>The Stock Exchange of Hong Kong Ltd. (SEHK)</t>
  </si>
  <si>
    <t>Cargo or Container Ships (Primary); Ferries (Primary); Industrials (Primary); Marine (Primary); Marine (Primary); Marine Transportation Of Freight (Primary); Marine Transportation Of Passengers (Primary); Transportation (Primary); Air Freight and Logistics; Air Freight and Logistics; Commercial and Professional Services; Commercial Services and Supplies; Consumer Discretionary; Consumer Services; Diversified Support Services; Energy; Energy; Hotels, Resorts and Cruise Lines; Hotels, Restaurants and Leisure; Information Technology; IT Consulting and Other Services; IT Services; Marine Ports and Services; Oil and Gas Refining and Marketing; Oil, Gas and Consumable Fuels; Real Estate; Real Estate; Real Estate Management and Development; Real Estate Operating Companies; Real Estate Operators And Lessors; Road and Rail; Road Transportation of Freight; Software and Services; Tour Operators; Transportation Infrastructure; Travel Agencies; Travel and Tourism Services; Trucking; Warehousing and Storage</t>
  </si>
  <si>
    <t>Asia Cement (China) Holdings Corporation (SEHK:743)</t>
  </si>
  <si>
    <t>SEHK:743</t>
  </si>
  <si>
    <t>The Stock Exchange of Hong Kong Ltd. (SEHK)</t>
  </si>
  <si>
    <t>Cement, Hydraulic (Primary); Concrete (Primary); Construction Materials (Primary); Construction Materials (Primary); Limestone (Primary); Materials (Primary); Materials (Primary); Ready-Mixed Concrete (Primary); Stone Materials (Primary); Industrials; Road and Rail; Transportation; Trucking</t>
  </si>
  <si>
    <t>Texwinca Holdings Limited (SEHK:321)</t>
  </si>
  <si>
    <t>SEHK:321</t>
  </si>
  <si>
    <t>The Stock Exchange of Hong Kong Ltd. (SEHK)</t>
  </si>
  <si>
    <t>Consumer Discretionary (Primary); Consumer Durables and Apparel (Primary); Fabrics (Primary); Textile Mill Products (Primary); Textiles (Primary); Textiles, Apparel and Luxury Goods (Primary); Yarns (Primary); Apparel and Textile Distribution; Apparel Retail; Capital Goods; Commercial and Professional Services; Commercial Services and Supplies; Distributors; Distributors; Diversified Financial Services; Diversified Financials; Durable Goods Distribution; Financials; General Management Services; Industrials; Investment Services and Holding Companies; Machinery Distribution; Multi-Sector Holdings; Office Services and Supplies; Patent Owners and Lessors; Real Estate; Real Estate; Real Estate Management and Development; Real Estate Operating Companies; Real Estate Operators And Lessors; Retailing; Specialty Retail; Trading Companies and Distributors; Trading Companies and Distributors</t>
  </si>
  <si>
    <t>Hung Hing Printing Group Limited (SEHK:450)</t>
  </si>
  <si>
    <t>SEHK:450</t>
  </si>
  <si>
    <t>The Stock Exchange of Hong Kong Ltd. (SEHK)</t>
  </si>
  <si>
    <t>Containers and Packaging (Primary); Converted Paper And Paperboard Products (Primary); Corrugated And Solid Fiber Boxes (Primary); Materials (Primary); Materials (Primary); Paper Packaging (Primary); Paperboard Containers And Boxes (Primary); Setup Paperboard Boxes (Primary); Book Printing; Capital Goods; Commercial and Professional Services; Commercial Printing; Commercial Services and Supplies; Communication Services; Consumer Discretionary; Diversified Support Services; Greeting Card Printing; Industrials; Internet and Direct Marketing Retail; Internet and Direct Marketing Retail; Media; Media and Entertainment; Paper and Forest Product Distribution; Printing Services; Publication Printing; Published Electronic Materials; Publishing; Retailing; Stationery and Business Form Printing; Trading Companies and Distributors; Trading Companies and Distributors; Typesetting</t>
  </si>
  <si>
    <t>C.banner International Holdings Limited (SEHK:1028)</t>
  </si>
  <si>
    <t>SEHK:1028</t>
  </si>
  <si>
    <t>The Stock Exchange of Hong Kong Ltd. (SEHK)</t>
  </si>
  <si>
    <t>Consumer Discretionary (Primary); Consumer Durables and Apparel (Primary); Footwear (Primary); Textiles, Apparel and Luxury Goods (Primary); Women's and Girls' Footwear (Primary); Apparel Retail; Hobbies, Games and Toy Stores; Leisure Equipment Stores; Retailing; Shoe Stores; Specialty Retail; Specialty Stores; Women's Shoe Stores</t>
  </si>
  <si>
    <t>BabyTree Group (SEHK:1761)</t>
  </si>
  <si>
    <t>SEHK:1761</t>
  </si>
  <si>
    <t>The Stock Exchange of Hong Kong Ltd. (SEHK)</t>
  </si>
  <si>
    <t>Communication Services (Primary); Interactive Media and Services (Primary); Interactive Media and Services (Primary); Media and Entertainment (Primary); Online Services (Primary); Social Media and Networking Platforms (Primary); Advertising; Consumer Discretionary; Diversified Financial Services; Diversified Financials; Financials; Internet and Direct Marketing Retail; Internet and Direct Marketing Retail; Marketing Services; Media; Retailing; Specialized Finance</t>
  </si>
  <si>
    <t>Mason Group Holdings Limited (SEHK:273)</t>
  </si>
  <si>
    <t>SEHK:273</t>
  </si>
  <si>
    <t>The Stock Exchange of Hong Kong Ltd. (SEHK)</t>
  </si>
  <si>
    <t>Capital Markets (Primary); Diversified Financials (Primary); Financials (Primary); Investment Banking (Primary); Investment Banking and Brokerage (Primary); Securities and Commodities Markets Services (Primary); Asset Management and Custody Banks; Consumer Discretionary; Consumer Finance; Consumer Finance; Consumer Staples; Diversified Financial Services; Food and Staples Retailing; Food and Staples Retailing; Food Products; Food Retail; Food, Beverage and Tobacco; Grocery Stores; Health Care; Health Care Equipment and Services; Health Care Providers and Services; Health Care Services; Health Food Stores; Household and Personal Products; Infant Food; Investment Advice; Investment Services and Holding Companies; Medical Laboratory Services; Multi-Sector Holdings; Packaged Foods and Meats; Patent Owners and Lessors; Personal Products; Personal Products; Prepared and Preserved Foods; Retailing; Specialized Finance; Specialty Retail; Specialty Stores; Vitamins and Nutritional Supplements</t>
  </si>
  <si>
    <t>Hengdeli Holdings Limited (SEHK:3389)</t>
  </si>
  <si>
    <t>SEHK:3389</t>
  </si>
  <si>
    <t>The Stock Exchange of Hong Kong Ltd. (SEHK)</t>
  </si>
  <si>
    <t>Consumer Discretionary (Primary); Retailing (Primary); Specialty Retail (Primary); Specialty Stores (Primary); Apparel Retail; Apparel, Accessories and Luxury Goods; Consumer Durables and Apparel; Containers and Packaging; Jewelry, Timepieces and Gemstone Products; Materials; Materials; Paper Packaging; Textiles, Apparel and Luxury Goods; Timepieces; Watch and Clock parts; Watch and Timepiece Stores; Watches</t>
  </si>
  <si>
    <t>Asiasec Properties Limited (SEHK:271)</t>
  </si>
  <si>
    <t>SEHK:271</t>
  </si>
  <si>
    <t>The Stock Exchange of Hong Kong Ltd. (SEHK)</t>
  </si>
  <si>
    <t>Nonresidential Building Operators and Lessors (Primary); Real Estate (Primary); Real Estate (Primary); Real Estate Management and Development (Primary); Real Estate Management Services (Primary); Real Estate Operating Companies (Primary); Real Estate Operators And Lessors (Primary); Residential Building Operators and Lessors (Primary); Diversified Financial Services; Diversified Financials; Financials; Specialized Finance</t>
  </si>
  <si>
    <t>Rizhao Port Jurong Co., Ltd. (SEHK:6117)</t>
  </si>
  <si>
    <t>SEHK:6117</t>
  </si>
  <si>
    <t>The Stock Exchange of Hong Kong Ltd. (SEHK)</t>
  </si>
  <si>
    <t>Industrials (Primary); Marine Cargo Services (Primary); Marine Ports and Services (Primary); Transportation (Primary); Transportation Infrastructure (Primary); Marine; Marine; Marine Transportation Of Freight; Marine Transportation Of Passengers</t>
  </si>
  <si>
    <t>Safety Godown Company, Limited (SEHK:237)</t>
  </si>
  <si>
    <t>SEHK:237</t>
  </si>
  <si>
    <t>The Stock Exchange of Hong Kong Ltd. (SEHK)</t>
  </si>
  <si>
    <t>Nonresidential Building Operators and Lessors (Primary); Real Estate (Primary); Real Estate (Primary); Real Estate Management and Development (Primary); Real Estate Operating Companies (Primary); Real Estate Operators And Lessors (Primary); Asset Management and Custody Banks; Capital Markets; Commercial and Professional Services; Commercial Services and Supplies; Diversified Financials; Diversified Support Services; Financials; Industrials; Investment Banking and Brokerage; Public Warehousing and Storage; Securities and Commodities Markets Services; Warehousing and Storage</t>
  </si>
  <si>
    <t>Get Nice Holdings Limited (SEHK:64)</t>
  </si>
  <si>
    <t>SEHK:64</t>
  </si>
  <si>
    <t>The Stock Exchange of Hong Kong Ltd. (SEHK)</t>
  </si>
  <si>
    <t>Capital Markets (Primary); Commodity Contract Services (Primary); Diversified Financials (Primary); Financials (Primary); Investment Banking (Primary); Investment Banking and Brokerage (Primary); Private Placement Advisory Services (Primary); Securities and Commodities Markets Services (Primary); Security Brokers and Dealers (Primary); Security Underwriting Services (Primary); Asset Management and Custody Banks; Banks; Business Credit Agencies; Consumer Finance; Consumer Finance; Credit Agencies; Diversified Financial Services; Personal Credit Agencies; Personal Loan Services; Real Estate; Real Estate; Real Estate Agents And Brokers; Real Estate Development; Real Estate Management and Development; Real Estate Operating Companies; Real Estate Operators And Lessors; Real Estate Services; Specialized Finance; Thrifts and Mortgage Finance; Thrifts and Mortgage Finance</t>
  </si>
  <si>
    <t>Goldlion Holdings Limited (SEHK:533)</t>
  </si>
  <si>
    <t>SEHK:533</t>
  </si>
  <si>
    <t>The Stock Exchange of Hong Kong Ltd. (SEHK)</t>
  </si>
  <si>
    <t>Accessory Stores (Primary); Apparel Retail (Primary); Consumer Discretionary (Primary); Luggage and Leather Goods Stores (Primary); Retailing (Primary); Specialty Retail (Primary); Accessories; Apparel; Apparel, Accessories and Luxury Goods; Consumer Durables and Apparel; Diversified Financial Services; Diversified Financials; Financials; Internet and Direct Marketing Retail; Internet and Direct Marketing Retail; Investment Services and Holding Companies; Leather and Leather Products; Multi-Sector Holdings; Online Accessory Retail; Online Apparel and Accessory Retail; Online Apparel Retail; Online Luggage and Leather Goods Retail; Online Specialty Retail; Patent Owners and Lessors; Real Estate; Real Estate; Real Estate Development; Real Estate Management and Development; Real Estate Management Services; Real Estate Operating Companies; Real Estate Operators And Lessors; Textile Mill Products; Textiles; Textiles, Apparel and Luxury Goods</t>
  </si>
  <si>
    <t>China Strategic Holdings Limited (SEHK:235)</t>
  </si>
  <si>
    <t>SEHK:235</t>
  </si>
  <si>
    <t>The Stock Exchange of Hong Kong Ltd. (SEHK)</t>
  </si>
  <si>
    <t>Capital Goods (Primary); Industrials (Primary); Trading Companies and Distributors (Primary); Trading Companies and Distributors (Primary); Asset Management and Custody Banks; Capital Markets; Commercial and Professional Services; Commercial Electronics Distribution; Commercial Services and Supplies; Consumer Finance; Consumer Finance; Diversified Financial Services; Diversified Financials; Electronic Equipment, Instruments and Components; Financials; General Management Services; Information Technology; Investment Banking; Investment Banking and Brokerage; Office Services and Supplies; Securities and Commodities Markets Services; Security Brokers; Security Brokers and Dealers; Security Underwriting Services; Specialized Finance; Technology Distributors; Technology Hardware and Equipment</t>
  </si>
  <si>
    <t>China Merchants China Direct Investments Limited (SEHK:133)</t>
  </si>
  <si>
    <t>SEHK:133</t>
  </si>
  <si>
    <t>The Stock Exchange of Hong Kong Ltd. (SEHK)</t>
  </si>
  <si>
    <t>Diversified Financial Services (Primary); Diversified Financials (Primary); Financials (Primary); Multi-Sector Holdings (Primary); Asset Management and Custody Banks; Capital Markets; Investment Funds</t>
  </si>
  <si>
    <t>Yuxing InfoTech Investment Holdings Limited (SEHK:8005)</t>
  </si>
  <si>
    <t>SEHK:8005</t>
  </si>
  <si>
    <t>The Stock Exchange of Hong Kong Ltd. (SEHK)</t>
  </si>
  <si>
    <t>Audio Equipment (Primary); Consumer Discretionary (Primary); Consumer Durables and Apparel (Primary); Consumer Electronics (Primary); Household Durables (Primary); Video Equipment (Primary); Asset Management and Custody Banks; Cable Network Equipment; Capital Goods; Capital Markets; Commercial and Professional Services; Commercial Electronics Distribution; Communications Equipment; Communications Equipment; Diversified Financials; Electronic Equipment, Instruments and Components; Financials; Industrials; Information Technology; Information Technology (IT) Consulting; Investment Banking and Brokerage; IT Consulting and Other Services; IT Services; Networking Equipment; Professional Services; Real Estate; Real Estate; Real Estate Management and Development; Real Estate Operating Companies; Real Estate Operators And Lessors; Research and Consulting Services; Securities and Commodities Markets Services; Services Outsourcing; Software and Services; Technology Distributors; Technology Hardware and Equipment; Trading Companies and Distributors; Trading Companies and Distributors</t>
  </si>
  <si>
    <t>Summit Ascent Holdings Limited (SEHK:102)</t>
  </si>
  <si>
    <t>SEHK:102</t>
  </si>
  <si>
    <t>The Stock Exchange of Hong Kong Ltd. (SEHK)</t>
  </si>
  <si>
    <t>Casinos and Gaming (Primary); Consumer Discretionary (Primary); Consumer Services (Primary); Gaming Operations (Primary); Hotels, Restaurants and Leisure (Primary); Apparel Retail; Beauty Care Services; Beauty, Hair and Nail Salons; Beverage and Tobacco Bars; Bus Transportation; Commercial and Professional Services; Commercial Services and Supplies; Diversified Consumer Services; General Management Services; Hotels And Motels; Hotels, Resorts and Cruise Lines; Industrials; Lodging; Office Services and Supplies; Pubs, Bars and Taverns; Resorts; Restaurants; Retailing; Road and Rail; Road Transportation of Passengers; Specialized Consumer Services; Specialty Retail; Transportation; Trucking; Watch and Timepiece Stores</t>
  </si>
  <si>
    <t>Tian Ge Interactive Holdings Limited (SEHK:1980)</t>
  </si>
  <si>
    <t>SEHK:1980</t>
  </si>
  <si>
    <t>The Stock Exchange of Hong Kong Ltd. (SEHK)</t>
  </si>
  <si>
    <t>Communication Services (Primary); Interactive Media and Services (Primary); Interactive Media and Services (Primary); Media and Entertainment (Primary); Online Services (Primary); Social Media and Networking Platforms (Primary); Advertising; Application Software; Asset Management and Custody Banks; Capital Markets; Computer and Mobile Games; Consumer Digital Lending; Consumer Finance; Consumer Finance; Development Consulting; Diversified Financials; Entertainment; Entertainment Software; Financials; Information Technology; Information Technology (IT) Consulting; Interactive Home Entertainment; Internet Software; IT Consulting and Other Services; IT Services; Media; Personal Credit Agencies; Services Outsourcing; Software; Software and Services</t>
  </si>
  <si>
    <t>China Ting Group Holdings Limited (SEHK:3398)</t>
  </si>
  <si>
    <t>SEHK:3398</t>
  </si>
  <si>
    <t>The Stock Exchange of Hong Kong Ltd. (SEHK)</t>
  </si>
  <si>
    <t>Apparel (Primary); Apparel, Accessories and Luxury Goods (Primary); Consumer Discretionary (Primary); Consumer Durables and Apparel (Primary); Textiles, Apparel and Luxury Goods (Primary); Apparel and Textile Distribution; Apparel Retail; Distributors; Distributors; Diversified Financial Services; Diversified Financials; Durable Goods Distribution; Dyeing and Finishing Textiles; Fabrics; Financials; Internet and Direct Marketing Retail; Internet and Direct Marketing Retail; Investment Services and Holding Companies; Multi-Sector Holdings; Online Apparel and Accessory Retail; Online Apparel Retail; Online Specialty Retail; Patent Owners and Lessors; Real Estate; Real Estate; Real Estate Management and Development; Real Estate Operating Companies; Real Estate Operators And Lessors; Retailing; Specialty Retail; Textile Mill Products; Textile Mills; Textiles</t>
  </si>
  <si>
    <t>Playmates Holdings Limited (SEHK:635)</t>
  </si>
  <si>
    <t>SEHK:635</t>
  </si>
  <si>
    <t>The Stock Exchange of Hong Kong Ltd. (SEHK)</t>
  </si>
  <si>
    <t>Consumer Discretionary (Primary); Consumer Durables and Apparel (Primary); Hobbies, Toys and Games (Primary); Leisure Products (Primary); Leisure Products (Primary); Sporting and Recreational Goods (Primary); Asset Management and Custody Banks; Capital Markets; Diversified Financials; Financials; Nonresidential Building Operators and Lessors; Real Estate; Real Estate; Real Estate Management and Development; Real Estate Management Services; Real Estate Operating Companies; Real Estate Operators And Lessors; Residential Building Operators and Lessors</t>
  </si>
  <si>
    <t>Ajisen (China) Holdings Limited (SEHK:538)</t>
  </si>
  <si>
    <t>SEHK:538</t>
  </si>
  <si>
    <t>The Stock Exchange of Hong Kong Ltd. (SEHK)</t>
  </si>
  <si>
    <t>Consumer Discretionary (Primary); Consumer Services (Primary); Fast-Food Restaurants (Primary); Hotels, Restaurants and Leisure (Primary); Limited Service Restaurants (Primary); Restaurants (Primary); Asset Management and Custody Banks; Capital Markets; Consumer Staples; Diversified Financials; Financials; Food and Staples Retailing; Food and Staples Retailing; Food Distribution; Food Distributors; Food Products; Food, Beverage and Tobacco; Groceries and Related Product Distribution; Packaged Foods and Meats; Prepared and Preserved Foods; Real Estate; Real Estate; Real Estate Management and Development; Real Estate Operating Companies; Real Estate Operators And Lessors</t>
  </si>
  <si>
    <t>Wing On Company International Limited (SEHK:289)</t>
  </si>
  <si>
    <t>SEHK:289</t>
  </si>
  <si>
    <t>The Stock Exchange of Hong Kong Ltd. (SEHK)</t>
  </si>
  <si>
    <t>Consumer Discretionary (Primary); Department Stores (Primary); Multiline Retail (Primary); Retailing (Primary); Capital Markets; Diversified Financial Services; Diversified Financials; Financials; Information Technology; Internet and Direct Marketing Retail; Internet and Direct Marketing Retail; Investment Banking and Brokerage; Investment Services and Holding Companies; IT Consulting and Other Services; IT Services; Multi-Sector Holdings; Nonresidential Building Operators and Lessors; Online Specialty Retail; Patent Owners and Lessors; Real Estate; Real Estate; Real Estate Management and Development; Real Estate Management Services; Real Estate Operating Companies; Real Estate Operators And Lessors; Securities and Commodities Markets Services; Security Brokers; Security Brokers and Dealers; Software and Services; Trusts</t>
  </si>
  <si>
    <t>Huisen Household International Group Limited (SEHK:2127)</t>
  </si>
  <si>
    <t>SEHK:2127</t>
  </si>
  <si>
    <t>The Stock Exchange of Hong Kong Ltd. (SEHK)</t>
  </si>
  <si>
    <t>Consumer Discretionary (Primary); Consumer Durables and Apparel (Primary); Home Furnishings (Primary); Household Durables (Primary); Metal Household Furniture (Primary); Metal Tables (Primary); Outdoor Furniture (Primary); Upholstery (Primary); Wood Household Furniture (Primary); Wood Household Furniture, Upholstered (Primary); Wood Tables (Primary); Bookcases; Classroom and Institutional Furniture; Commercial and Professional Services; Commercial Services and Supplies; Desks; Industrials; Office Furnishings; Office Furnishings and Equipment; Office Services and Supplies; Wood Office Furniture</t>
  </si>
  <si>
    <t>GDH Guangnan (Holdings) Limited (SEHK:1203)</t>
  </si>
  <si>
    <t>SEHK:1203</t>
  </si>
  <si>
    <t>The Stock Exchange of Hong Kong Ltd. (SEHK)</t>
  </si>
  <si>
    <t>Cold-Rolled Steel Sheet, Strip, And Bars (Primary); Materials (Primary); Materials (Primary); Metals and Mining (Primary); Steel (Primary); Steel Nails, Spikes, And Wire (Primary); Steel Wire Drawing, Nails and Spikes (Primary); Steel Works, Blast Furnaces, And Finishing Mills (Primary); Steel Works, Blast Furnaces, And Rolling Mills (Primary); Agricultural Products; Animal Feed; Consumer Staples; Factory Outlet Center Operators and Lessors; Food and Staples Retailing; Food and Staples Retailing; Food Distribution; Food Distributors; Food Products; Food, Beverage and Tobacco; Grain And Field Beans; Groceries and Related Product Distribution; Meat Processing; Meat Slaughtering; Meats, Meat Processing And Meat Related Products; Nonresidential Building Operators and Lessors; Office Building Operators and Lessors; Packaged Foods and Meats; Real Estate; Real Estate; Real Estate Management and Development; Real Estate Operating Companies; Real Estate Operators And Lessors</t>
  </si>
  <si>
    <t>DaChan Food (Asia) Limited (SEHK:3999)</t>
  </si>
  <si>
    <t>SEHK:3999</t>
  </si>
  <si>
    <t>The Stock Exchange of Hong Kong Ltd. (SEHK)</t>
  </si>
  <si>
    <t>Animal Feed (Primary); Consumer Staples (Primary); Dairy Products (Primary); Dairy Products and Eggs (Primary); Eggs and Egg Products (Primary); Food Products (Primary); Food, Beverage and Tobacco (Primary); Frozen Foods (Primary); Livestock And Animal Specialties (Primary); Livestock Feed (Primary); Meats, Meat Processing And Meat Related Products (Primary); Packaged Foods and Meats (Primary); Poultry Processing (Primary); Prepared and Preserved Foods (Primary); Seafood, Seafood Processing and Seafood Products (Primary); Food and Staples Retailing; Food and Staples Retailing; Food Retail; Health Care; Nonresidential Building Operators and Lessors; Pharmaceuticals; Pharmaceuticals; Pharmaceuticals, Biotechnology and Life Sciences; Real Estate; Real Estate; Real Estate Management and Development; Real Estate Operating Companies; Real Estate Operators And Lessors; Veterinary Drugs</t>
  </si>
  <si>
    <t>Luks Group (Vietnam Holdings) Company Limited (SEHK:366)</t>
  </si>
  <si>
    <t>SEHK:366</t>
  </si>
  <si>
    <t>The Stock Exchange of Hong Kong Ltd. (SEHK)</t>
  </si>
  <si>
    <t>Cement, Hydraulic (Primary); Concrete (Primary); Construction Materials (Primary); Construction Materials (Primary); Materials (Primary); Materials (Primary); Commercial Electronics Distribution; Consumer Discretionary; Consumer Services; Electronic Equipment, Instruments and Components; Forest Products; Hotels; Hotels And Motels; Hotels, Resorts and Cruise Lines; Hotels, Restaurants and Leisure; Industrial Property Operators and Lessors; Information Technology; Lodging; Lumber Products; Nonresidential Building Operators and Lessors; Office Building Operators and Lessors; Paper and Forest Products; Real Estate; Real Estate; Real Estate Development; Real Estate Management and Development; Real Estate Management Services; Real Estate Operating Companies; Real Estate Operators And Lessors; Residential Building Operators and Lessors; Technology Distributors; Technology Hardware and Equipment; Veneer, Plywood And Structural Wood Products</t>
  </si>
  <si>
    <t>Wai Kee Holdings Limited (SEHK:610)</t>
  </si>
  <si>
    <t>SEHK:610</t>
  </si>
  <si>
    <t>The Stock Exchange of Hong Kong Ltd. (SEHK)</t>
  </si>
  <si>
    <t>Capital Goods (Primary); Commercial Construction and Engineering (Primary); Commercial Construction, General Contractors and Operative Builders (Primary); Construction and Engineering (Primary); Construction and Engineering (Primary); Construction Support Services (Primary); Engineering and Surveying Services (Primary); Engineering Services (Primary); Heavy Construction (Primary); Industrials (Primary); Specialty Contract Work (Primary); Asphalt Paving and Roofing Materials; Asset Management and Custody Banks; Building Products; Building Products; Capital Markets; Concrete; Construction Material Distribution; Construction Materials; Construction Materials; Diversified Financial Services; Diversified Financials; Financials; Highways and Railtracks; Investment Advice; Investment Banking and Brokerage; Marine Ports and Services; Materials; Materials; Real Estate; Real Estate; Real Estate Development; Real Estate Management and Development; Real Estate Operating Companies; Real Estate Operators And Lessors; Roofing, Siding, and Insulation Materials; Securities and Commodities Markets Services; Security Brokers; Security Brokers and Dealers; Sewage Treatment Systems; Specialized Finance; Trading Companies and Distributors; Trading Companies and Distributors; Transportation; Transportation Infrastructure; Utilities; Utilities; Water Utilities; Water Utilities</t>
  </si>
  <si>
    <t>Liu Chong Hing Investment Limited (SEHK:194)</t>
  </si>
  <si>
    <t>SEHK:194</t>
  </si>
  <si>
    <t>The Stock Exchange of Hong Kong Ltd. (SEHK)</t>
  </si>
  <si>
    <t>Nonresidential Building Operators and Lessors (Primary); Office Building Operators and Lessors (Primary); Real Estate (Primary); Real Estate (Primary); Real Estate Management and Development (Primary); Real Estate Management Services (Primary); Real Estate Operating Companies (Primary); Real Estate Operators And Lessors (Primary); Residential Building Operators and Lessors (Primary); Shopping Mall Operators and Lessors (Primary); Capital Markets; Consumer Discretionary; Consumer Services; Diversified Consumer Services; Diversified Financial Services; Diversified Financials; Financials; Hotels; Hotels And Motels; Hotels, Resorts and Cruise Lines; Hotels, Restaurants and Leisure; Investment Banking and Brokerage; Lodging; Real Estate Development; Residential Design Services ; Residential Interior Services ; Securities and Commodities Markets Services; Security Brokers; Security Brokers and Dealers; Specialized Consumer Services; Specialized Finance</t>
  </si>
  <si>
    <t>Nanyang Holdings Limited (SEHK:212)</t>
  </si>
  <si>
    <t>SEHK:212</t>
  </si>
  <si>
    <t>The Stock Exchange of Hong Kong Ltd. (SEHK)</t>
  </si>
  <si>
    <t>Industrial Property Operators and Lessors (Primary); Nonresidential Building Operators and Lessors (Primary); Office Building Operators and Lessors (Primary); Real Estate (Primary); Real Estate (Primary); Real Estate Management and Development (Primary); Real Estate Operating Companies (Primary); Real Estate Operators And Lessors (Primary); Asset Management and Custody Banks; Capital Markets; Diversified Financials; Financials; Investment Banking and Brokerage; Securities and Commodities Markets Services; Security Brokers; Security Brokers and Dealers</t>
  </si>
  <si>
    <t>Emperor Watch &amp; Jewellery Limited (SEHK:887)</t>
  </si>
  <si>
    <t>SEHK:887</t>
  </si>
  <si>
    <t>The Stock Exchange of Hong Kong Ltd. (SEHK)</t>
  </si>
  <si>
    <t>Apparel Retail (Primary); Consumer Discretionary (Primary); Jewelry Stores (Primary); Retailing (Primary); Specialty Retail (Primary); Watch and Timepiece Stores (Primary); Internet and Direct Marketing Retail; Internet and Direct Marketing Retail; Online Apparel and Accessory Retail; Online Jewelry Retail; Online Specialty Retail</t>
  </si>
  <si>
    <t>China Dongxiang (Group) Co., Ltd. (SEHK:3818)</t>
  </si>
  <si>
    <t>SEHK:3818</t>
  </si>
  <si>
    <t>The Stock Exchange of Hong Kong Ltd. (SEHK)</t>
  </si>
  <si>
    <t>Apparel (Primary); Apparel, Accessories and Luxury Goods (Primary); Boys' Apparel (Primary); Consumer Discretionary (Primary); Consumer Durables and Apparel (Primary); Girls' Apparel (Primary); Specialty Apparel (Primary); Textiles, Apparel and Luxury Goods (Primary); Apparel and Textile Distribution; Apparel Retail; Asset Management and Custody Banks; Capital Markets; Consumer Services; Distributors; Distributors; Diversified Financials; Durable Goods Distribution; Financials; Footwear; Hotels, Resorts and Cruise Lines; Hotels, Restaurants and Leisure; Internet and Direct Marketing Retail; Internet and Direct Marketing Retail; Leisure Products; Leisure Products; Online Accessory Retail; Online Apparel and Accessory Retail; Online Apparel Retail; Online Shoe Retail; Online Specialty Retail; Real Estate; Real Estate; Real Estate Development; Real Estate Management and Development; Real Estate Operating Companies; Real Estate Operators And Lessors; Retailing; Shoe Stores; Specialty Retail; Sporting and Recreational Goods; Travel and Tourism Services</t>
  </si>
  <si>
    <t>YuanShengTai Dairy Farm Limited (SEHK:1431)</t>
  </si>
  <si>
    <t>SEHK:1431</t>
  </si>
  <si>
    <t>The Stock Exchange of Hong Kong Ltd. (SEHK)</t>
  </si>
  <si>
    <t>Agricultural Products (Primary); Consumer Staples (Primary); Food Products (Primary); Food, Beverage and Tobacco (Primary); Dairy Products; Dairy Products and Eggs; Milk; Packaged Foods and Meats</t>
  </si>
  <si>
    <t>Emperor Entertainment Hotel Limited (SEHK:296)</t>
  </si>
  <si>
    <t>SEHK:296</t>
  </si>
  <si>
    <t>The Stock Exchange of Hong Kong Ltd. (SEHK)</t>
  </si>
  <si>
    <t>Casinos (Primary); Casinos and Gaming (Primary); Consumer Discretionary (Primary); Consumer Services (Primary); Hotels, Restaurants and Leisure (Primary); Advertising; Catering Services; Communication Services; Diversified Financial Services; Diversified Financials; Financials; Hotels; Hotels And Motels; Hotels, Resorts and Cruise Lines; Lodging; Marketing Services; Media; Media and Entertainment; Public Relations Services; Restaurants; Specialized Finance; Travel Agencies; Travel and Tourism Services</t>
  </si>
  <si>
    <t>Chuang's China Investments Limited (SEHK:298)</t>
  </si>
  <si>
    <t>SEHK:298</t>
  </si>
  <si>
    <t>The Stock Exchange of Hong Kong Ltd. (SEHK)</t>
  </si>
  <si>
    <t>Cemetery Sub Dividers And Developers (Primary); Land Sub Dividers And Developers (Primary); Real Estate (Primary); Real Estate (Primary); Real Estate Development (Primary); Real Estate Management and Development (Primary); Asset Management and Custody Banks; Capital Goods; Capital Markets; Cemeteries; Cemeteries and Funeral Home Services; Construction Machinery and Heavy Trucks; Consumer Discretionary; Consumer Services; Distributors; Distributors; Diversified Consumer Services; Diversified Financial Services; Diversified Financials; Durable Goods Distribution; Financials; Hotels; Hotels And Motels; Hotels, Resorts and Cruise Lines; Hotels, Restaurants and Leisure; Household Durables Distribution; Industrials; Investment Banking and Brokerage; Lodging; Machinery; Marine Transportation Equipment; Real Estate Operating Companies; Real Estate Operators And Lessors; Retailing; Securities and Commodities Markets Services; Security Brokers and Dealers; Ship and Boat Building; Specialized Consumer Services; Specialized Finance</t>
  </si>
  <si>
    <t>China New Town Development Company Limited (SEHK:1278)</t>
  </si>
  <si>
    <t>SEHK:1278</t>
  </si>
  <si>
    <t>The Stock Exchange of Hong Kong Ltd. (SEHK)</t>
  </si>
  <si>
    <t>Land Sub Dividers And Developers (Primary); Land Sub Dividers and Developers, except Cemetery (Primary); Real Estate (Primary); Real Estate (Primary); Real Estate Development (Primary); Real Estate Management and Development (Primary); Asset Management and Custody Banks; Capital Goods; Capital Markets; Commercial and Professional Services; Construction and Engineering; Construction and Engineering; Construction Support Services; Consulting Services; Diversified Financials; Financials; Industrials; Professional Services; Real Estate Management Services; Real Estate Operating Companies; Real Estate Operators And Lessors; Real Estate Services; Research and Consulting Services</t>
  </si>
  <si>
    <t>CRCC High-Tech Equipment Corporation Limited (SEHK:1786)</t>
  </si>
  <si>
    <t>SEHK:1786</t>
  </si>
  <si>
    <t>The Stock Exchange of Hong Kong Ltd. (SEHK)</t>
  </si>
  <si>
    <t>Capital Goods (Primary); Construction Machinery and Heavy Trucks (Primary); Industrials (Primary); Locomotives and Electronic Trolleys (Primary); Machinery (Primary); Railroad Equipment (Primary); Railroad Support Equipment and Systems (Primary); Railway and Tramway Cars (Primary); Railway Track Maintenance Equipment (Primary); Commercial and Professional Services; Commercial Services and Supplies; Diversified Support Services; Railroad Switching and Terminal Establishments; Railroads; Road and Rail; Services Incidental to Railroad Transportation; Transportation</t>
  </si>
  <si>
    <t>Tianjin Development Holdings Limited (SEHK:882)</t>
  </si>
  <si>
    <t>SEHK:882</t>
  </si>
  <si>
    <t>The Stock Exchange of Hong Kong Ltd. (SEHK)</t>
  </si>
  <si>
    <t>Multi-Utilities (Primary); Multi-Utilities (Primary); Utilities (Primary); Utilities (Primary); Building Product and Home Supply Stores; Building Product Distribution; Business Credit Agencies; Capital Goods; Commercial and Professional Services; Commercial Services and Supplies; Consulting Services; Consumer Discretionary; Consumer Services; Containers and Packaging; Credit Agencies; Diversified Financial Services; Diversified Financials; Diversified Support Services; Electric Power Distribution; Electric Utilities; Electric Utilities; Electrical Equipment; Elevators and Moving Stairways; Escalators; Finance Leasing; Financials; Health Care; Heavy Electrical Equipment; Home Improvement Retail; Hotels; Hotels And Motels; Hotels, Resorts and Cruise Lines; Hotels, Restaurants and Leisure; Industrial Machinery; Industrials; Lifting Equipment; Lodging; Machinery; Marine Ports and Services; Material Handling Machinery and Equipment; Materials; Materials; Paper Packaging; Pharmaceutical Products; Pharmaceuticals; Pharmaceuticals; Pharmaceuticals, Biotechnology and Life Sciences; Professional Services; Pumps and Pumping Equipment; Research and Consulting Services; Retailing; Specialized Finance; Specialty Retail; Trading Companies and Distributors; Trading Companies and Distributors; Transportation; Transportation Infrastructure; Water Supply; Water Utilities; Water Utilities</t>
  </si>
  <si>
    <t>Weiqiao Textile Company Limited (SEHK:2698)</t>
  </si>
  <si>
    <t>SEHK:2698</t>
  </si>
  <si>
    <t>The Stock Exchange of Hong Kong Ltd. (SEHK)</t>
  </si>
  <si>
    <t>Consumer Discretionary (Primary); Consumer Durables and Apparel (Primary); Cotton Yarn (Primary); Fabrics (Primary); Polyester Yarn (Primary); Textile Mill Products (Primary); Textiles (Primary); Textiles, Apparel and Luxury Goods (Primary); Yarns (Primary); Apparel and Textile Distribution; Distributors; Distributors; Durable Goods Distribution; Electric Utilities; Electric Utilities; Retailing; Utilities; Utilities; Water Utilities; Water Utilities</t>
  </si>
  <si>
    <t>G-Resources Group Limited (SEHK:1051)</t>
  </si>
  <si>
    <t>SEHK:1051</t>
  </si>
  <si>
    <t>The Stock Exchange of Hong Kong Ltd. (SEHK)</t>
  </si>
  <si>
    <t>Diversified Financial Services (Primary); Diversified Financials (Primary); Financials (Primary); Other Diversified Financial Services (Primary); Asset Management and Custody Banks; Capital Markets; Investment Banking and Brokerage; Real Estate; Real Estate; Real Estate Management and Development; Real Estate Operating Companies; Real Estate Operators And Lessors; Securities and Commodities Markets Services; Security Brokers; Security Brokers and Dealers; Specialized Finance</t>
  </si>
  <si>
    <t>Screening Aggregates</t>
  </si>
  <si>
    <t>Company Screening Aggregates</t>
  </si>
  <si>
    <t xml:space="preserve"> </t>
  </si>
  <si>
    <t>Total</t>
  </si>
  <si>
    <t>Average</t>
  </si>
  <si>
    <t>Minimum</t>
  </si>
  <si>
    <t>Maximum</t>
  </si>
  <si>
    <t>Standard Deviation</t>
  </si>
  <si>
    <t>Market Cap. Weighted Avg.</t>
  </si>
  <si>
    <t>N/A</t>
  </si>
  <si>
    <t>Screening Criteria</t>
  </si>
  <si>
    <r>
      <t xml:space="preserve">1) </t>
    </r>
    <r>
      <rPr>
        <b/>
        <sz val="8"/>
        <color indexed="8"/>
        <rFont val="Arial"/>
      </rPr>
      <t xml:space="preserve">Exchanges (All Listings): </t>
    </r>
    <r>
      <rPr>
        <sz val="8"/>
        <color indexed="8"/>
        <rFont val="Arial"/>
      </rPr>
      <t>(SEHK) The Stock Exchange of Hong Kong Ltd.</t>
    </r>
  </si>
  <si>
    <r>
      <t xml:space="preserve">2) </t>
    </r>
    <r>
      <rPr>
        <b/>
        <sz val="8"/>
        <color indexed="8"/>
        <rFont val="Arial"/>
      </rPr>
      <t xml:space="preserve">Quick Ratio [Latest Annual]: </t>
    </r>
    <r>
      <rPr>
        <sz val="8"/>
        <color indexed="8"/>
        <rFont val="Arial"/>
      </rPr>
      <t>is greater than 1</t>
    </r>
  </si>
  <si>
    <r>
      <t xml:space="preserve">3) </t>
    </r>
    <r>
      <rPr>
        <b/>
        <sz val="8"/>
        <color indexed="8"/>
        <rFont val="Arial"/>
      </rPr>
      <t xml:space="preserve">Net Debt [Latest Annual] (HKDmm, Historical rate): </t>
    </r>
    <r>
      <rPr>
        <sz val="8"/>
        <color indexed="8"/>
        <rFont val="Arial"/>
      </rPr>
      <t>is less than 0 (Unreported data set to 0)</t>
    </r>
  </si>
  <si>
    <r>
      <t xml:space="preserve">4) </t>
    </r>
    <r>
      <rPr>
        <b/>
        <sz val="8"/>
        <color indexed="8"/>
        <rFont val="Arial"/>
      </rPr>
      <t xml:space="preserve">Market Capitalization [Latest] (HKDmm, Historical rate): </t>
    </r>
    <r>
      <rPr>
        <sz val="8"/>
        <color indexed="8"/>
        <rFont val="Arial"/>
      </rPr>
      <t>is less than 20000</t>
    </r>
  </si>
  <si>
    <r>
      <t xml:space="preserve">5) </t>
    </r>
    <r>
      <rPr>
        <b/>
        <sz val="8"/>
        <color indexed="8"/>
        <rFont val="Arial"/>
      </rPr>
      <t xml:space="preserve">Market Capitalization [Latest] (HKDmm, Historical rate): </t>
    </r>
    <r>
      <rPr>
        <sz val="8"/>
        <color indexed="8"/>
        <rFont val="Arial"/>
      </rPr>
      <t>is greater than 500</t>
    </r>
  </si>
  <si>
    <r>
      <t xml:space="preserve">6) </t>
    </r>
    <r>
      <rPr>
        <b/>
        <sz val="8"/>
        <color indexed="8"/>
        <rFont val="Arial"/>
      </rPr>
      <t xml:space="preserve">Total Liabilities/Total Assets % [Latest Annual]: </t>
    </r>
    <r>
      <rPr>
        <sz val="8"/>
        <color indexed="8"/>
        <rFont val="Arial"/>
      </rPr>
      <t>is less than 40</t>
    </r>
  </si>
  <si>
    <r>
      <t xml:space="preserve">7) </t>
    </r>
    <r>
      <rPr>
        <b/>
        <sz val="8"/>
        <color indexed="8"/>
        <rFont val="Arial"/>
      </rPr>
      <t xml:space="preserve">P/BV [Latest] (x): </t>
    </r>
    <r>
      <rPr>
        <sz val="8"/>
        <color indexed="8"/>
        <rFont val="Arial"/>
      </rPr>
      <t>is less than 2</t>
    </r>
  </si>
  <si>
    <r>
      <t xml:space="preserve">8) </t>
    </r>
    <r>
      <rPr>
        <b/>
        <sz val="8"/>
        <color indexed="8"/>
        <rFont val="Arial"/>
      </rPr>
      <t>Industry Classifications: NOT (</t>
    </r>
    <r>
      <rPr>
        <sz val="8"/>
        <color indexed="8"/>
        <rFont val="Arial"/>
      </rPr>
      <t>Health Care (Primary)</t>
    </r>
    <r>
      <rPr>
        <b/>
        <sz val="8"/>
        <color indexed="8"/>
        <rFont val="Arial"/>
      </rPr>
      <t xml:space="preserve"> OR </t>
    </r>
    <r>
      <rPr>
        <sz val="8"/>
        <color indexed="8"/>
        <rFont val="Arial"/>
      </rPr>
      <t>Information Technology (Primary)</t>
    </r>
    <r>
      <rPr>
        <b/>
        <sz val="8"/>
        <color indexed="8"/>
        <rFont val="Arial"/>
      </rPr>
      <t>)</t>
    </r>
  </si>
  <si>
    <t>'6663.HK','1689.HK','1458.HK','1425.HK','1448.HK','2150.HK','6616.HK','1945.HK','1475.HK','1586.HK','0580.HK','1935.HK','9899.HK','9699.HK',,'6820.HK','8032.HK','0265.HK','1483.HK','1995.HK','9986.HK','2101.HK','2265.HK','1971.HK','6626.HK','6100.HK','1925.HK','1543.HK','9983.HK','6858.HK','1970.HK','0799.HK','6668.HK','0189.HK','0606.HK','0709.HK','0543.HK','3658.HK','1303.HK','1651.HK','8479.HK','2180.HK','1357.HK','2119.HK','6822.HK','0398.HK','0837.HK','0777.HK','2327.HK','6677.HK','6989.HK','1234.HK','0609.HK','2175.HK','9836.HK','0029.HK','0166.HK','6988.HK','1516.HK','1277.HK','1316.HK','1060.HK','3798.HK','1412.HK','1022.HK','9982.HK','0806.HK','1361.HK','2660.HK','1230.HK','6608.HK','1328.HK',,'2218.HK','6896.HK','0697.HK','0721.HK','1301.HK','6913.HK','3319.HK','0336.HK','1836.HK','1837.HK','2801.HK','0018.HK','0687.HK','0195.HK','0255.HK','0411.HK','0639.HK',,'3686.HK','0302.HK','1057.HK','1731.HK','0206.HK','0869.HK','1896.HK','0128.HK','2232.HK','2205.HK','1502.HK','1126.HK','6909.HK','6601.HK','0677.HK','9666.HK','0335.HK','9990.HK','2686.HK','1981.HK','3913.HK','0800.HK','0093.HK','8137.HK','0468.HK','1868.HK','0423.HK','1753.HK','0032.HK','2125.HK','3339.HK','1170.HK','1221.HK','0215.HK','6919.HK','2100.HK','1127.HK','0701.HK','3700.HK','0556.HK','0393.HK','3983.HK','0105.HK','2008.HK','0026.HK','0439.HK','0071.HK','1469.HK','0278.HK','2779.HK','0517.HK','0050.HK','0934.HK','0088.HK','0158.HK','0929.HK','0730.HK','0057.HK','0266.HK','0769.HK','0829.HK','1265.HK','0420.HK','0716.HK','3838.HK','1045.HK','0472.HK','2033.HK','1104.HK','1140.HK','1122.HK','0232.HK','0622.HK','0156.HK','0662.HK','0560.HK','0743.HK','0321.HK','0450.HK','1028.HK','1761.HK','0273.HK','3389.HK','0271.HK','6117.HK','0237.HK','0064.HK','0533.HK','0235.HK','0133.HK','8005.HK','0102.HK','1980.HK','3398.HK','0635.HK','0538.HK','0289.HK','2127.HK','1203.HK','3999.HK','0366.HK','0610.HK','0194.HK','0212.HK','0887.HK','3818.HK','1431.HK','0296.HK','0298.HK','1278.HK','1786.HK','0882.HK','2698.HK','1051.HK'</t>
  </si>
  <si>
    <t>交易所</t>
  </si>
  <si>
    <t>代码</t>
  </si>
  <si>
    <t>公司</t>
  </si>
  <si>
    <t>行业</t>
  </si>
  <si>
    <t>市值 最近时间 (HKD)</t>
  </si>
  <si>
    <t>关注度</t>
  </si>
  <si>
    <t>理杏仁Url</t>
  </si>
  <si>
    <t>hk</t>
  </si>
  <si>
    <t>腾讯控股</t>
  </si>
  <si>
    <t>电子商贸及互联网服务</t>
  </si>
  <si>
    <t>www.lixinger.com/analytics/company/hk/00700/700/detail</t>
  </si>
  <si>
    <t>阿里巴巴-SW</t>
  </si>
  <si>
    <t>www.lixinger.com/analytics/company/hk/09988/9988/detail</t>
  </si>
  <si>
    <t>工商银行</t>
  </si>
  <si>
    <t>银行</t>
  </si>
  <si>
    <t>www.lixinger.com/analytics/company/hk/01398/1398/detail</t>
  </si>
  <si>
    <t>建设银行</t>
  </si>
  <si>
    <t>www.lixinger.com/analytics/company/hk/00939/939/detail</t>
  </si>
  <si>
    <t>招商银行</t>
  </si>
  <si>
    <t>www.lixinger.com/analytics/company/hk/03968/3968/detail</t>
  </si>
  <si>
    <t>中国移动</t>
  </si>
  <si>
    <t>电讯服务</t>
  </si>
  <si>
    <t>www.lixinger.com/analytics/company/hk/00941/941/detail</t>
  </si>
  <si>
    <t>美团-W</t>
  </si>
  <si>
    <t>www.lixinger.com/analytics/company/hk/03690/3690/detail</t>
  </si>
  <si>
    <t>友邦保险</t>
  </si>
  <si>
    <t>保险</t>
  </si>
  <si>
    <t>www.lixinger.com/analytics/company/hk/01299/1299/detail</t>
  </si>
  <si>
    <t>汇丰控股</t>
  </si>
  <si>
    <t>www.lixinger.com/analytics/company/hk/00005/5/detail</t>
  </si>
  <si>
    <t>中国平安</t>
  </si>
  <si>
    <t>www.lixinger.com/analytics/company/hk/02318/2318/detail</t>
  </si>
  <si>
    <t>农业银行</t>
  </si>
  <si>
    <t>www.lixinger.com/analytics/company/hk/01288/1288/detail</t>
  </si>
  <si>
    <t>中国银行</t>
  </si>
  <si>
    <t>www.lixinger.com/analytics/company/hk/03988/3988/detail</t>
  </si>
  <si>
    <t>京东集团-SW</t>
  </si>
  <si>
    <t>www.lixinger.com/analytics/company/hk/09618/9618/detail</t>
  </si>
  <si>
    <t>中国石油股份</t>
  </si>
  <si>
    <t>油气生产商</t>
  </si>
  <si>
    <t>www.lixinger.com/analytics/company/hk/00857/857/detail</t>
  </si>
  <si>
    <t>比亚迪股份</t>
  </si>
  <si>
    <t>汽车</t>
  </si>
  <si>
    <t>www.lixinger.com/analytics/company/hk/01211/1211/detail</t>
  </si>
  <si>
    <t>迅销有限公司-预托证券</t>
  </si>
  <si>
    <t>服装</t>
  </si>
  <si>
    <t>www.lixinger.com/analytics/company/hk/06288/6288/detail</t>
  </si>
  <si>
    <t>农夫山泉</t>
  </si>
  <si>
    <t>非酒精饮料</t>
  </si>
  <si>
    <t>www.lixinger.com/analytics/company/hk/09633/9633/detail</t>
  </si>
  <si>
    <t>中国海洋石油</t>
  </si>
  <si>
    <t>www.lixinger.com/analytics/company/hk/00883/883/detail</t>
  </si>
  <si>
    <t>中国中免</t>
  </si>
  <si>
    <t>旅游及观光</t>
  </si>
  <si>
    <t>www.lixinger.com/analytics/company/hk/01880/1880/detail</t>
  </si>
  <si>
    <t>中国石油化工股份</t>
  </si>
  <si>
    <t>www.lixinger.com/analytics/company/hk/00386/386/detail</t>
  </si>
  <si>
    <t>邮储银行</t>
  </si>
  <si>
    <t>www.lixinger.com/analytics/company/hk/01658/1658/detail</t>
  </si>
  <si>
    <t>中国神华</t>
  </si>
  <si>
    <t>煤炭</t>
  </si>
  <si>
    <t>www.lixinger.com/analytics/company/hk/01088/1088/detail</t>
  </si>
  <si>
    <t>香港交易所</t>
  </si>
  <si>
    <t>其他金融</t>
  </si>
  <si>
    <t>www.lixinger.com/analytics/company/hk/00388/388/detail</t>
  </si>
  <si>
    <t>网易-S</t>
  </si>
  <si>
    <t>软件开发</t>
  </si>
  <si>
    <t>www.lixinger.com/analytics/company/hk/09999/9999/detail</t>
  </si>
  <si>
    <t>中国人寿</t>
  </si>
  <si>
    <t>www.lixinger.com/analytics/company/hk/02628/2628/detail</t>
  </si>
  <si>
    <t>交通银行</t>
  </si>
  <si>
    <t>www.lixinger.com/analytics/company/hk/03328/3328/detail</t>
  </si>
  <si>
    <t>百威亚太</t>
  </si>
  <si>
    <t>酒精饮料</t>
  </si>
  <si>
    <t>www.lixinger.com/analytics/company/hk/01876/1876/detail</t>
  </si>
  <si>
    <t>百度集团-SW</t>
  </si>
  <si>
    <t>www.lixinger.com/analytics/company/hk/09888/9888/detail</t>
  </si>
  <si>
    <t>快手-W</t>
  </si>
  <si>
    <t>www.lixinger.com/analytics/company/hk/01024/1024/detail</t>
  </si>
  <si>
    <t>新鸿基地产</t>
  </si>
  <si>
    <t>地产发展商</t>
  </si>
  <si>
    <t>www.lixinger.com/analytics/company/hk/00016/16/detail</t>
  </si>
  <si>
    <t>保诚</t>
  </si>
  <si>
    <t>www.lixinger.com/analytics/company/hk/02378/2378/detail</t>
  </si>
  <si>
    <t>紫金矿业</t>
  </si>
  <si>
    <t>黄金及贵金属</t>
  </si>
  <si>
    <t>www.lixinger.com/analytics/company/hk/02899/2899/detail</t>
  </si>
  <si>
    <t>中国电信</t>
  </si>
  <si>
    <t>www.lixinger.com/analytics/company/hk/00728/728/detail</t>
  </si>
  <si>
    <t>中银香港</t>
  </si>
  <si>
    <t>www.lixinger.com/analytics/company/hk/02388/2388/detail</t>
  </si>
  <si>
    <t>安踏体育</t>
  </si>
  <si>
    <t>www.lixinger.com/analytics/company/hk/02020/2020/detail</t>
  </si>
  <si>
    <t>小米集团-W</t>
  </si>
  <si>
    <t>电讯设备</t>
  </si>
  <si>
    <t>www.lixinger.com/analytics/company/hk/01810/1810/detail</t>
  </si>
  <si>
    <t>药明生物</t>
  </si>
  <si>
    <t>生物技术</t>
  </si>
  <si>
    <t>www.lixinger.com/analytics/company/hk/02269/2269/detail</t>
  </si>
  <si>
    <t>宏利金融-S</t>
  </si>
  <si>
    <t>www.lixinger.com/analytics/company/hk/00945/945/detail</t>
  </si>
  <si>
    <t>华润置地</t>
  </si>
  <si>
    <t>www.lixinger.com/analytics/company/hk/01109/1109/detail</t>
  </si>
  <si>
    <t>港铁公司</t>
  </si>
  <si>
    <t>公共运输</t>
  </si>
  <si>
    <t>www.lixinger.com/analytics/company/hk/00066/66/detail</t>
  </si>
  <si>
    <t>药明康德</t>
  </si>
  <si>
    <t>www.lixinger.com/analytics/company/hk/02359/2359/detail</t>
  </si>
  <si>
    <t>海尔智家</t>
  </si>
  <si>
    <t>家庭电器</t>
  </si>
  <si>
    <t>www.lixinger.com/analytics/company/hk/06690/6690/detail</t>
  </si>
  <si>
    <t>恒生银行</t>
  </si>
  <si>
    <t>www.lixinger.com/analytics/company/hk/00011/11/detail</t>
  </si>
  <si>
    <t>中信股份</t>
  </si>
  <si>
    <t>综合企业</t>
  </si>
  <si>
    <t>www.lixinger.com/analytics/company/hk/00267/267/detail</t>
  </si>
  <si>
    <t>银河娱乐</t>
  </si>
  <si>
    <t>赌场及博彩</t>
  </si>
  <si>
    <t>www.lixinger.com/analytics/company/hk/00027/27/detail</t>
  </si>
  <si>
    <t>中信证券</t>
  </si>
  <si>
    <t>投资及资产管理</t>
  </si>
  <si>
    <t>www.lixinger.com/analytics/company/hk/06030/6030/detail</t>
  </si>
  <si>
    <t>中国海外发展</t>
  </si>
  <si>
    <t>www.lixinger.com/analytics/company/hk/00688/688/detail</t>
  </si>
  <si>
    <t>京东健康</t>
  </si>
  <si>
    <t>药品</t>
  </si>
  <si>
    <t>www.lixinger.com/analytics/company/hk/06618/6618/detail</t>
  </si>
  <si>
    <t>金沙中国有限公司</t>
  </si>
  <si>
    <t>www.lixinger.com/analytics/company/hk/01928/1928/detail</t>
  </si>
  <si>
    <t>中通快递-SW</t>
  </si>
  <si>
    <t>航空货运及物流</t>
  </si>
  <si>
    <t>www.lixinger.com/analytics/company/hk/02057/2057/detail</t>
  </si>
  <si>
    <t>百济神州</t>
  </si>
  <si>
    <t>www.lixinger.com/analytics/company/hk/06160/6160/detail</t>
  </si>
  <si>
    <t>李宁</t>
  </si>
  <si>
    <t>www.lixinger.com/analytics/company/hk/02331/2331/detail</t>
  </si>
  <si>
    <t>百胜中国</t>
  </si>
  <si>
    <t>餐饮</t>
  </si>
  <si>
    <t>www.lixinger.com/analytics/company/hk/09987/9987/detail</t>
  </si>
  <si>
    <t>长和</t>
  </si>
  <si>
    <t>www.lixinger.com/analytics/company/hk/00001/1/detail</t>
  </si>
  <si>
    <t>万科企业</t>
  </si>
  <si>
    <t>www.lixinger.com/analytics/company/hk/02202/2202/detail</t>
  </si>
  <si>
    <t>华润啤酒</t>
  </si>
  <si>
    <t>www.lixinger.com/analytics/company/hk/00291/291/detail</t>
  </si>
  <si>
    <t>理想汽车-W</t>
  </si>
  <si>
    <t>www.lixinger.com/analytics/company/hk/02015/2015/detail</t>
  </si>
  <si>
    <t>长实集团</t>
  </si>
  <si>
    <t>www.lixinger.com/analytics/company/hk/01113/1113/detail</t>
  </si>
  <si>
    <t>携程集团-S</t>
  </si>
  <si>
    <t>www.lixinger.com/analytics/company/hk/09961/9961/detail</t>
  </si>
  <si>
    <t>中信银行</t>
  </si>
  <si>
    <t>www.lixinger.com/analytics/company/hk/00998/998/detail</t>
  </si>
  <si>
    <t>渣打集团</t>
  </si>
  <si>
    <t>www.lixinger.com/analytics/company/hk/02888/2888/detail</t>
  </si>
  <si>
    <t>中国太保</t>
  </si>
  <si>
    <t>www.lixinger.com/analytics/company/hk/02601/2601/detail</t>
  </si>
  <si>
    <t>周大福</t>
  </si>
  <si>
    <t>其他零售商</t>
  </si>
  <si>
    <t>www.lixinger.com/analytics/company/hk/01929/1929/detail</t>
  </si>
  <si>
    <t>中国财险</t>
  </si>
  <si>
    <t>www.lixinger.com/analytics/company/hk/02328/2328/detail</t>
  </si>
  <si>
    <t>创科实业</t>
  </si>
  <si>
    <t>www.lixinger.com/analytics/company/hk/00669/669/detail</t>
  </si>
  <si>
    <t>中国联通</t>
  </si>
  <si>
    <t>www.lixinger.com/analytics/company/hk/00762/762/detail</t>
  </si>
  <si>
    <t>龙湖集团</t>
  </si>
  <si>
    <t>www.lixinger.com/analytics/company/hk/00960/960/detail</t>
  </si>
  <si>
    <t>中国铁塔</t>
  </si>
  <si>
    <t>卫星及无线通讯</t>
  </si>
  <si>
    <t>www.lixinger.com/analytics/company/hk/00788/788/detail</t>
  </si>
  <si>
    <t>海螺水泥</t>
  </si>
  <si>
    <t>建筑材料</t>
  </si>
  <si>
    <t>www.lixinger.com/analytics/company/hk/00914/914/detail</t>
  </si>
  <si>
    <t>蒙牛乳业</t>
  </si>
  <si>
    <t>乳制品</t>
  </si>
  <si>
    <t>www.lixinger.com/analytics/company/hk/02319/2319/detail</t>
  </si>
  <si>
    <t>中电控股</t>
  </si>
  <si>
    <t>电力</t>
  </si>
  <si>
    <t>www.lixinger.com/analytics/company/hk/00002/2/detail</t>
  </si>
  <si>
    <t>贝壳-W</t>
  </si>
  <si>
    <t>地产代理</t>
  </si>
  <si>
    <t>www.lixinger.com/analytics/company/hk/02423/2423/detail</t>
  </si>
  <si>
    <t>九龙仓置业</t>
  </si>
  <si>
    <t>地产投资</t>
  </si>
  <si>
    <t>www.lixinger.com/analytics/company/hk/01997/1997/detail</t>
  </si>
  <si>
    <t>香港中华煤气</t>
  </si>
  <si>
    <t>燃气供应</t>
  </si>
  <si>
    <t>www.lixinger.com/analytics/company/hk/00003/3/detail</t>
  </si>
  <si>
    <t>蔚来-SW</t>
  </si>
  <si>
    <t>www.lixinger.com/analytics/company/hk/09866/9866/detail</t>
  </si>
  <si>
    <t>恒基地产</t>
  </si>
  <si>
    <t>www.lixinger.com/analytics/company/hk/00012/12/detail</t>
  </si>
  <si>
    <t>申洲国际</t>
  </si>
  <si>
    <t>www.lixinger.com/analytics/company/hk/02313/2313/detail</t>
  </si>
  <si>
    <t>中芯国际</t>
  </si>
  <si>
    <t>半导体</t>
  </si>
  <si>
    <t>www.lixinger.com/analytics/company/hk/00981/981/detail</t>
  </si>
  <si>
    <t>中国光大银行</t>
  </si>
  <si>
    <t>www.lixinger.com/analytics/company/hk/06818/6818/detail</t>
  </si>
  <si>
    <t>新奥能源</t>
  </si>
  <si>
    <t>www.lixinger.com/analytics/company/hk/02688/2688/detail</t>
  </si>
  <si>
    <t>中远海控</t>
  </si>
  <si>
    <t>航运及港口</t>
  </si>
  <si>
    <t>www.lixinger.com/analytics/company/hk/01919/1919/detail</t>
  </si>
  <si>
    <t>海底捞</t>
  </si>
  <si>
    <t>www.lixinger.com/analytics/company/hk/06862/6862/detail</t>
  </si>
  <si>
    <t>领展房产基金</t>
  </si>
  <si>
    <t>www.lixinger.com/analytics/company/hk/00823/823/detail</t>
  </si>
  <si>
    <t>太古地产</t>
  </si>
  <si>
    <t>www.lixinger.com/analytics/company/hk/01972/1972/detail</t>
  </si>
  <si>
    <t>民生银行</t>
  </si>
  <si>
    <t>www.lixinger.com/analytics/company/hk/01988/1988/detail</t>
  </si>
  <si>
    <t>吉利汽车</t>
  </si>
  <si>
    <t>www.lixinger.com/analytics/company/hk/00175/175/detail</t>
  </si>
  <si>
    <t>赣锋锂业</t>
  </si>
  <si>
    <t>其他金属及矿物</t>
  </si>
  <si>
    <t>www.lixinger.com/analytics/company/hk/01772/1772/detail</t>
  </si>
  <si>
    <t>兖矿能源</t>
  </si>
  <si>
    <t>www.lixinger.com/analytics/company/hk/01171/1171/detail</t>
  </si>
  <si>
    <t>普拉达</t>
  </si>
  <si>
    <t>其他服饰配件</t>
  </si>
  <si>
    <t>www.lixinger.com/analytics/company/hk/01913/1913/detail</t>
  </si>
  <si>
    <t>中国人民保险集团</t>
  </si>
  <si>
    <t>www.lixinger.com/analytics/company/hk/01339/1339/detail</t>
  </si>
  <si>
    <t>华住集团-S</t>
  </si>
  <si>
    <t>酒店及度假村</t>
  </si>
  <si>
    <t>www.lixinger.com/analytics/company/hk/01179/1179/detail</t>
  </si>
  <si>
    <t>青岛啤酒股份</t>
  </si>
  <si>
    <t>www.lixinger.com/analytics/company/hk/00168/168/detail</t>
  </si>
  <si>
    <t>舜宇光学科技</t>
  </si>
  <si>
    <t>电子零件</t>
  </si>
  <si>
    <t>www.lixinger.com/analytics/company/hk/02382/2382/detail</t>
  </si>
  <si>
    <t>中国中铁</t>
  </si>
  <si>
    <t>重型基建</t>
  </si>
  <si>
    <t>www.lixinger.com/analytics/company/hk/00390/390/detail</t>
  </si>
  <si>
    <t>中国国航</t>
  </si>
  <si>
    <t>航空服务</t>
  </si>
  <si>
    <t>www.lixinger.com/analytics/company/hk/00753/753/detail</t>
  </si>
  <si>
    <t>长江基建集团</t>
  </si>
  <si>
    <t>www.lixinger.com/analytics/company/hk/01038/1038/detail</t>
  </si>
  <si>
    <t>京东物流</t>
  </si>
  <si>
    <t>采购及供应链管理</t>
  </si>
  <si>
    <t>www.lixinger.com/analytics/company/hk/02618/2618/detail</t>
  </si>
  <si>
    <t>中升控股</t>
  </si>
  <si>
    <t>汽车零售商</t>
  </si>
  <si>
    <t>www.lixinger.com/analytics/company/hk/00881/881/detail</t>
  </si>
  <si>
    <t>石药集团</t>
  </si>
  <si>
    <t>www.lixinger.com/analytics/company/hk/01093/1093/detail</t>
  </si>
  <si>
    <t>哔哩哔哩-W</t>
  </si>
  <si>
    <t>www.lixinger.com/analytics/company/hk/09626/9626/detail</t>
  </si>
  <si>
    <t>太古股份公司A</t>
  </si>
  <si>
    <t>www.lixinger.com/analytics/company/hk/00019/19/detail</t>
  </si>
  <si>
    <t>中国南方航空股份</t>
  </si>
  <si>
    <t>www.lixinger.com/analytics/company/hk/01055/1055/detail</t>
  </si>
  <si>
    <t>中广核电力</t>
  </si>
  <si>
    <t>www.lixinger.com/analytics/company/hk/01816/1816/detail</t>
  </si>
  <si>
    <t>天齐锂业</t>
  </si>
  <si>
    <t>www.lixinger.com/analytics/company/hk/09696/9696/detail</t>
  </si>
  <si>
    <t>华润万象生活</t>
  </si>
  <si>
    <t>物业服务及管理</t>
  </si>
  <si>
    <t>www.lixinger.com/analytics/company/hk/01209/1209/detail</t>
  </si>
  <si>
    <t>长城汽车</t>
  </si>
  <si>
    <t>www.lixinger.com/analytics/company/hk/02333/2333/detail</t>
  </si>
  <si>
    <t>潍柴动力</t>
  </si>
  <si>
    <t>商业用车及货车</t>
  </si>
  <si>
    <t>www.lixinger.com/analytics/company/hk/02338/2338/detail</t>
  </si>
  <si>
    <t>东方海外国际</t>
  </si>
  <si>
    <t>www.lixinger.com/analytics/company/hk/00316/316/detail</t>
  </si>
  <si>
    <t>电能实业</t>
  </si>
  <si>
    <t>www.lixinger.com/analytics/company/hk/00006/6/detail</t>
  </si>
  <si>
    <t>中国中车</t>
  </si>
  <si>
    <t>www.lixinger.com/analytics/company/hk/01766/1766/detail</t>
  </si>
  <si>
    <t>阿里健康</t>
  </si>
  <si>
    <t>www.lixinger.com/analytics/company/hk/00241/241/detail</t>
  </si>
  <si>
    <t>翰森制药</t>
  </si>
  <si>
    <t>www.lixinger.com/analytics/company/hk/03692/3692/detail</t>
  </si>
  <si>
    <t>福耀玻璃</t>
  </si>
  <si>
    <t>汽车零件</t>
  </si>
  <si>
    <t>www.lixinger.com/analytics/company/hk/03606/3606/detail</t>
  </si>
  <si>
    <t>中国生物制药</t>
  </si>
  <si>
    <t>www.lixinger.com/analytics/company/hk/01177/1177/detail</t>
  </si>
  <si>
    <t>龙源电力</t>
  </si>
  <si>
    <t>非传统 / 可再生能源</t>
  </si>
  <si>
    <t>www.lixinger.com/analytics/company/hk/00916/916/detail</t>
  </si>
  <si>
    <t>广发证券</t>
  </si>
  <si>
    <t>证券及经纪</t>
  </si>
  <si>
    <t>www.lixinger.com/analytics/company/hk/01776/1776/detail</t>
  </si>
  <si>
    <t>中煤能源</t>
  </si>
  <si>
    <t>www.lixinger.com/analytics/company/hk/01898/1898/detail</t>
  </si>
  <si>
    <t>中兴通讯</t>
  </si>
  <si>
    <t>www.lixinger.com/analytics/company/hk/00763/763/detail</t>
  </si>
  <si>
    <t>信和置业</t>
  </si>
  <si>
    <t>www.lixinger.com/analytics/company/hk/00083/83/detail</t>
  </si>
  <si>
    <t>洛阳钼业</t>
  </si>
  <si>
    <t>www.lixinger.com/analytics/company/hk/03993/3993/detail</t>
  </si>
  <si>
    <t>泰格医药</t>
  </si>
  <si>
    <t>www.lixinger.com/analytics/company/hk/03347/3347/detail</t>
  </si>
  <si>
    <t>华润电力</t>
  </si>
  <si>
    <t>www.lixinger.com/analytics/company/hk/00836/836/detail</t>
  </si>
  <si>
    <t>信义光能</t>
  </si>
  <si>
    <t>新能源物料</t>
  </si>
  <si>
    <t>www.lixinger.com/analytics/company/hk/00968/968/detail</t>
  </si>
  <si>
    <t>康师傅控股</t>
  </si>
  <si>
    <t>www.lixinger.com/analytics/company/hk/00322/322/detail</t>
  </si>
  <si>
    <t>华泰证券</t>
  </si>
  <si>
    <t>www.lixinger.com/analytics/company/hk/06886/6886/detail</t>
  </si>
  <si>
    <t>联想集团</t>
  </si>
  <si>
    <t>电脑及周边器材</t>
  </si>
  <si>
    <t>www.lixinger.com/analytics/company/hk/00992/992/detail</t>
  </si>
  <si>
    <t>国泰君安</t>
  </si>
  <si>
    <t>www.lixinger.com/analytics/company/hk/02611/2611/detail</t>
  </si>
  <si>
    <t>太古股份公司B</t>
  </si>
  <si>
    <t>www.lixinger.com/analytics/company/hk/00087/87/detail</t>
  </si>
  <si>
    <t>碧桂园</t>
  </si>
  <si>
    <t>www.lixinger.com/analytics/company/hk/02007/2007/detail</t>
  </si>
  <si>
    <t>ESR</t>
  </si>
  <si>
    <t>www.lixinger.com/analytics/company/hk/01821/1821/detail</t>
  </si>
  <si>
    <t>香港电讯-SS</t>
  </si>
  <si>
    <t>www.lixinger.com/analytics/company/hk/06823/6823/detail</t>
  </si>
  <si>
    <t>商汤-W</t>
  </si>
  <si>
    <t>www.lixinger.com/analytics/company/hk/00020/20/detail</t>
  </si>
  <si>
    <t>思摩尔国际</t>
  </si>
  <si>
    <t>消费电子产品</t>
  </si>
  <si>
    <t>www.lixinger.com/analytics/company/hk/06969/6969/detail</t>
  </si>
  <si>
    <t>中金公司</t>
  </si>
  <si>
    <t>www.lixinger.com/analytics/company/hk/03908/3908/detail</t>
  </si>
  <si>
    <t>小鹏汽车-W</t>
  </si>
  <si>
    <t>www.lixinger.com/analytics/company/hk/09868/9868/detail</t>
  </si>
  <si>
    <t>中国宏桥</t>
  </si>
  <si>
    <t>铝</t>
  </si>
  <si>
    <t>www.lixinger.com/analytics/company/hk/01378/1378/detail</t>
  </si>
  <si>
    <t>恒隆地产</t>
  </si>
  <si>
    <t>www.lixinger.com/analytics/company/hk/00101/101/detail</t>
  </si>
  <si>
    <t>九龙仓集团</t>
  </si>
  <si>
    <t>www.lixinger.com/analytics/company/hk/00004/4/detail</t>
  </si>
  <si>
    <t>华润燃气</t>
  </si>
  <si>
    <t>www.lixinger.com/analytics/company/hk/01193/1193/detail</t>
  </si>
  <si>
    <t>复星医药</t>
  </si>
  <si>
    <t>www.lixinger.com/analytics/company/hk/02196/2196/detail</t>
  </si>
  <si>
    <t>腾讯音乐-SW</t>
  </si>
  <si>
    <t>影视娱乐</t>
  </si>
  <si>
    <t>www.lixinger.com/analytics/company/hk/01698/1698/detail</t>
  </si>
  <si>
    <t>山东黄金</t>
  </si>
  <si>
    <t>www.lixinger.com/analytics/company/hk/01787/1787/detail</t>
  </si>
  <si>
    <t>招商证券</t>
  </si>
  <si>
    <t>www.lixinger.com/analytics/company/hk/06099/6099/detail</t>
  </si>
  <si>
    <t>康龙化成</t>
  </si>
  <si>
    <t>www.lixinger.com/analytics/company/hk/03759/3759/detail</t>
  </si>
  <si>
    <t>中国铁建</t>
  </si>
  <si>
    <t>www.lixinger.com/analytics/company/hk/01186/1186/detail</t>
  </si>
  <si>
    <t>碧桂园服务</t>
  </si>
  <si>
    <t>www.lixinger.com/analytics/company/hk/06098/6098/detail</t>
  </si>
  <si>
    <t>华能国际电力股份</t>
  </si>
  <si>
    <t>www.lixinger.com/analytics/company/hk/00902/902/detail</t>
  </si>
  <si>
    <t>国药控股</t>
  </si>
  <si>
    <t>www.lixinger.com/analytics/company/hk/01099/1099/detail</t>
  </si>
  <si>
    <t>金蝶国际</t>
  </si>
  <si>
    <t>系统开发及资讯科技顾问</t>
  </si>
  <si>
    <t>www.lixinger.com/analytics/company/hk/00268/268/detail</t>
  </si>
  <si>
    <t>中国旺旺</t>
  </si>
  <si>
    <t>包装食品</t>
  </si>
  <si>
    <t>www.lixinger.com/analytics/company/hk/00151/151/detail</t>
  </si>
  <si>
    <t>海通证券</t>
  </si>
  <si>
    <t>www.lixinger.com/analytics/company/hk/06837/6837/detail</t>
  </si>
  <si>
    <t>中国燃气</t>
  </si>
  <si>
    <t>www.lixinger.com/analytics/company/hk/00384/384/detail</t>
  </si>
  <si>
    <t>中国交通建设</t>
  </si>
  <si>
    <t>www.lixinger.com/analytics/company/hk/01800/1800/detail</t>
  </si>
  <si>
    <t>阳光保险</t>
  </si>
  <si>
    <t>www.lixinger.com/analytics/company/hk/06963/6963/detail</t>
  </si>
  <si>
    <t>中国飞鹤</t>
  </si>
  <si>
    <t>www.lixinger.com/analytics/company/hk/06186/6186/detail</t>
  </si>
  <si>
    <t>新华保险</t>
  </si>
  <si>
    <t>www.lixinger.com/analytics/company/hk/01336/1336/detail</t>
  </si>
  <si>
    <t>万物云</t>
  </si>
  <si>
    <t>www.lixinger.com/analytics/company/hk/02602/2602/detail</t>
  </si>
  <si>
    <t>中国东方航空股份</t>
  </si>
  <si>
    <t>www.lixinger.com/analytics/company/hk/00670/670/detail</t>
  </si>
  <si>
    <t>信义玻璃</t>
  </si>
  <si>
    <t>工业零件及器材</t>
  </si>
  <si>
    <t>www.lixinger.com/analytics/company/hk/00868/868/detail</t>
  </si>
  <si>
    <t>俄铝</t>
  </si>
  <si>
    <t>www.lixinger.com/analytics/company/hk/00486/486/detail</t>
  </si>
  <si>
    <t>万洲国际</t>
  </si>
  <si>
    <t>禽畜肉类</t>
  </si>
  <si>
    <t>www.lixinger.com/analytics/company/hk/00288/288/detail</t>
  </si>
  <si>
    <t>威高股份</t>
  </si>
  <si>
    <t>医疗保健设备</t>
  </si>
  <si>
    <t>www.lixinger.com/analytics/company/hk/01066/1066/detail</t>
  </si>
  <si>
    <t>浙商银行</t>
  </si>
  <si>
    <t>www.lixinger.com/analytics/company/hk/02016/2016/detail</t>
  </si>
  <si>
    <t>中国铝业</t>
  </si>
  <si>
    <t>www.lixinger.com/analytics/company/hk/02600/2600/detail</t>
  </si>
  <si>
    <t>比亚迪电子</t>
  </si>
  <si>
    <t>www.lixinger.com/analytics/company/hk/00285/285/detail</t>
  </si>
  <si>
    <t>新世界发展</t>
  </si>
  <si>
    <t>www.lixinger.com/analytics/company/hk/00017/17/detail</t>
  </si>
  <si>
    <t>金斯瑞生物科技</t>
  </si>
  <si>
    <t>www.lixinger.com/analytics/company/hk/01548/1548/detail</t>
  </si>
  <si>
    <t>广汽集团</t>
  </si>
  <si>
    <t>www.lixinger.com/analytics/company/hk/02238/2238/detail</t>
  </si>
  <si>
    <t>中国建材</t>
  </si>
  <si>
    <t>www.lixinger.com/analytics/company/hk/03323/3323/detail</t>
  </si>
  <si>
    <t>时代电气</t>
  </si>
  <si>
    <t>www.lixinger.com/analytics/company/hk/03898/3898/detail</t>
  </si>
  <si>
    <t>国泰航空</t>
  </si>
  <si>
    <t>www.lixinger.com/analytics/company/hk/00293/293/detail</t>
  </si>
  <si>
    <t>复星国际</t>
  </si>
  <si>
    <t>www.lixinger.com/analytics/company/hk/00656/656/detail</t>
  </si>
  <si>
    <t>粤海投资</t>
  </si>
  <si>
    <t>水务</t>
  </si>
  <si>
    <t>www.lixinger.com/analytics/company/hk/00270/270/detail</t>
  </si>
  <si>
    <t>信达生物</t>
  </si>
  <si>
    <t>www.lixinger.com/analytics/company/hk/01801/1801/detail</t>
  </si>
  <si>
    <t>协鑫科技</t>
  </si>
  <si>
    <t>www.lixinger.com/analytics/company/hk/03800/3800/detail</t>
  </si>
  <si>
    <t>中信建投证券</t>
  </si>
  <si>
    <t>www.lixinger.com/analytics/company/hk/06066/6066/detail</t>
  </si>
  <si>
    <t>盛京银行</t>
  </si>
  <si>
    <t>www.lixinger.com/analytics/company/hk/02066/2066/detail</t>
  </si>
  <si>
    <t>中国民航信息网络</t>
  </si>
  <si>
    <t>www.lixinger.com/analytics/company/hk/00696/696/detail</t>
  </si>
  <si>
    <t>上海医药</t>
  </si>
  <si>
    <t>www.lixinger.com/analytics/company/hk/02607/2607/detail</t>
  </si>
  <si>
    <t>新东方在线</t>
  </si>
  <si>
    <t>教育</t>
  </si>
  <si>
    <t>www.lixinger.com/analytics/company/hk/01797/1797/detail</t>
  </si>
  <si>
    <t>东莞农商银行</t>
  </si>
  <si>
    <t>www.lixinger.com/analytics/company/hk/09889/9889/detail</t>
  </si>
  <si>
    <t>昆仑能源</t>
  </si>
  <si>
    <t>www.lixinger.com/analytics/company/hk/00135/135/detail</t>
  </si>
  <si>
    <t>达利食品</t>
  </si>
  <si>
    <t>www.lixinger.com/analytics/company/hk/03799/3799/detail</t>
  </si>
  <si>
    <t>永利澳门</t>
  </si>
  <si>
    <t>www.lixinger.com/analytics/company/hk/01128/1128/detail</t>
  </si>
  <si>
    <t>新东方-S</t>
  </si>
  <si>
    <t>www.lixinger.com/analytics/company/hk/09901/9901/detail</t>
  </si>
  <si>
    <t>恒安国际</t>
  </si>
  <si>
    <t>个人护理</t>
  </si>
  <si>
    <t>www.lixinger.com/analytics/company/hk/01044/1044/detail</t>
  </si>
  <si>
    <t>海丰国际</t>
  </si>
  <si>
    <t>www.lixinger.com/analytics/company/hk/01308/1308/detail</t>
  </si>
  <si>
    <t>中银航空租赁</t>
  </si>
  <si>
    <t>www.lixinger.com/analytics/company/hk/02588/2588/detail</t>
  </si>
  <si>
    <t>港灯-SS</t>
  </si>
  <si>
    <t>www.lixinger.com/analytics/company/hk/02638/2638/detail</t>
  </si>
  <si>
    <t>招商局港口</t>
  </si>
  <si>
    <t>www.lixinger.com/analytics/company/hk/00144/144/detail</t>
  </si>
  <si>
    <t>中海油田服务</t>
  </si>
  <si>
    <t>油气设备与服务</t>
  </si>
  <si>
    <t>www.lixinger.com/analytics/company/hk/02883/2883/detail</t>
  </si>
  <si>
    <t>中国电力</t>
  </si>
  <si>
    <t>www.lixinger.com/analytics/company/hk/02380/2380/detail</t>
  </si>
  <si>
    <t>尖沙咀置业</t>
  </si>
  <si>
    <t>www.lixinger.com/analytics/company/hk/00247/247/detail</t>
  </si>
  <si>
    <t>东方电气</t>
  </si>
  <si>
    <t>环保工程</t>
  </si>
  <si>
    <t>www.lixinger.com/analytics/company/hk/01072/1072/detail</t>
  </si>
  <si>
    <t>雅迪控股</t>
  </si>
  <si>
    <t>www.lixinger.com/analytics/company/hk/01585/1585/detail</t>
  </si>
  <si>
    <t>同程旅行</t>
  </si>
  <si>
    <t>www.lixinger.com/analytics/company/hk/00780/780/detail</t>
  </si>
  <si>
    <t>中国建筑国际</t>
  </si>
  <si>
    <t>www.lixinger.com/analytics/company/hk/03311/3311/detail</t>
  </si>
  <si>
    <t>凯莱英</t>
  </si>
  <si>
    <t>www.lixinger.com/analytics/company/hk/06821/6821/detail</t>
  </si>
  <si>
    <t>中国信达</t>
  </si>
  <si>
    <t>www.lixinger.com/analytics/company/hk/01359/1359/detail</t>
  </si>
  <si>
    <t>华润医药</t>
  </si>
  <si>
    <t>www.lixinger.com/analytics/company/hk/03320/3320/detail</t>
  </si>
  <si>
    <t>江西铜业股份</t>
  </si>
  <si>
    <t>铜</t>
  </si>
  <si>
    <t>www.lixinger.com/analytics/company/hk/00358/358/detail</t>
  </si>
  <si>
    <t>兖煤澳大利亚</t>
  </si>
  <si>
    <t>www.lixinger.com/analytics/company/hk/03668/3668/detail</t>
  </si>
  <si>
    <t>福莱特玻璃</t>
  </si>
  <si>
    <t>www.lixinger.com/analytics/company/hk/06865/6865/detail</t>
  </si>
  <si>
    <t>波司登</t>
  </si>
  <si>
    <t>www.lixinger.com/analytics/company/hk/03998/3998/detail</t>
  </si>
  <si>
    <t>微创医疗</t>
  </si>
  <si>
    <t>www.lixinger.com/analytics/company/hk/00853/853/detail</t>
  </si>
  <si>
    <t>康方生物-B</t>
  </si>
  <si>
    <t>www.lixinger.com/analytics/company/hk/09926/9926/detail</t>
  </si>
  <si>
    <t>洪九果品</t>
  </si>
  <si>
    <t>农产品</t>
  </si>
  <si>
    <t>www.lixinger.com/analytics/company/hk/06689/6689/detail</t>
  </si>
  <si>
    <t>滔搏</t>
  </si>
  <si>
    <t>服装零售商</t>
  </si>
  <si>
    <t>www.lixinger.com/analytics/company/hk/06110/6110/detail</t>
  </si>
  <si>
    <t>中国银河</t>
  </si>
  <si>
    <t>www.lixinger.com/analytics/company/hk/06881/6881/detail</t>
  </si>
  <si>
    <t>东风集团股份</t>
  </si>
  <si>
    <t>www.lixinger.com/analytics/company/hk/00489/489/detail</t>
  </si>
  <si>
    <t>金山软件</t>
  </si>
  <si>
    <t>www.lixinger.com/analytics/company/hk/03888/3888/detail</t>
  </si>
  <si>
    <t>君实生物</t>
  </si>
  <si>
    <t>www.lixinger.com/analytics/company/hk/01877/1877/detail</t>
  </si>
  <si>
    <t>中国能源建设</t>
  </si>
  <si>
    <t>www.lixinger.com/analytics/company/hk/03996/3996/detail</t>
  </si>
  <si>
    <t>贵州银行</t>
  </si>
  <si>
    <t>www.lixinger.com/analytics/company/hk/06199/6199/detail</t>
  </si>
  <si>
    <t>建发国际集团</t>
  </si>
  <si>
    <t>www.lixinger.com/analytics/company/hk/01908/1908/detail</t>
  </si>
  <si>
    <t>白云山</t>
  </si>
  <si>
    <t>中医药</t>
  </si>
  <si>
    <t>www.lixinger.com/analytics/company/hk/00874/874/detail</t>
  </si>
  <si>
    <t>美高梅中国</t>
  </si>
  <si>
    <t>www.lixinger.com/analytics/company/hk/02282/2282/detail</t>
  </si>
  <si>
    <t>微博-SW</t>
  </si>
  <si>
    <t>www.lixinger.com/analytics/company/hk/09898/9898/detail</t>
  </si>
  <si>
    <t>申万宏源</t>
  </si>
  <si>
    <t>www.lixinger.com/analytics/company/hk/06806/6806/detail</t>
  </si>
  <si>
    <t>欧舒丹</t>
  </si>
  <si>
    <t>www.lixinger.com/analytics/company/hk/00973/973/detail</t>
  </si>
  <si>
    <t>中国中冶</t>
  </si>
  <si>
    <t>www.lixinger.com/analytics/company/hk/01618/1618/detail</t>
  </si>
  <si>
    <t>海吉亚医疗</t>
  </si>
  <si>
    <t>医疗及医学美容服务</t>
  </si>
  <si>
    <t>www.lixinger.com/analytics/company/hk/06078/6078/detail</t>
  </si>
  <si>
    <t>华虹半导体</t>
  </si>
  <si>
    <t>www.lixinger.com/analytics/company/hk/01347/1347/detail</t>
  </si>
  <si>
    <t>江苏宁沪高速公路</t>
  </si>
  <si>
    <t>铁路及公路</t>
  </si>
  <si>
    <t>www.lixinger.com/analytics/company/hk/00177/177/detail</t>
  </si>
  <si>
    <t>中创新航</t>
  </si>
  <si>
    <t>www.lixinger.com/analytics/company/hk/03931/3931/detail</t>
  </si>
  <si>
    <t>中国太平</t>
  </si>
  <si>
    <t>www.lixinger.com/analytics/company/hk/00966/966/detail</t>
  </si>
  <si>
    <t>山高控股</t>
  </si>
  <si>
    <t>www.lixinger.com/analytics/company/hk/00412/412/detail</t>
  </si>
  <si>
    <t>巨子生物</t>
  </si>
  <si>
    <t>www.lixinger.com/analytics/company/hk/02367/2367/detail</t>
  </si>
  <si>
    <t>玖龙纸业</t>
  </si>
  <si>
    <t>纸及纸制品</t>
  </si>
  <si>
    <t>www.lixinger.com/analytics/company/hk/02689/2689/detail</t>
  </si>
  <si>
    <t>徽商银行</t>
  </si>
  <si>
    <t>www.lixinger.com/analytics/company/hk/03698/3698/detail</t>
  </si>
  <si>
    <t>海天国际</t>
  </si>
  <si>
    <t>www.lixinger.com/analytics/company/hk/01882/1882/detail</t>
  </si>
  <si>
    <t>统一企业中国</t>
  </si>
  <si>
    <t>www.lixinger.com/analytics/company/hk/00220/220/detail</t>
  </si>
  <si>
    <t>澳博控股</t>
  </si>
  <si>
    <t>www.lixinger.com/analytics/company/hk/00880/880/detail</t>
  </si>
  <si>
    <t>零跑汽车</t>
  </si>
  <si>
    <t>www.lixinger.com/analytics/company/hk/09863/9863/detail</t>
  </si>
  <si>
    <t>中国华融</t>
  </si>
  <si>
    <t>www.lixinger.com/analytics/company/hk/02799/2799/detail</t>
  </si>
  <si>
    <t>伊泰煤炭</t>
  </si>
  <si>
    <t>www.lixinger.com/analytics/company/hk/03948/3948/detail</t>
  </si>
  <si>
    <t>中联重科</t>
  </si>
  <si>
    <t>重机械</t>
  </si>
  <si>
    <t>www.lixinger.com/analytics/company/hk/01157/1157/detail</t>
  </si>
  <si>
    <t>华电国际电力股份</t>
  </si>
  <si>
    <t>www.lixinger.com/analytics/company/hk/01071/1071/detail</t>
  </si>
  <si>
    <t>阅文集团</t>
  </si>
  <si>
    <t>出版</t>
  </si>
  <si>
    <t>www.lixinger.com/analytics/company/hk/00772/772/detail</t>
  </si>
  <si>
    <t>北京控股</t>
  </si>
  <si>
    <t>www.lixinger.com/analytics/company/hk/00392/392/detail</t>
  </si>
  <si>
    <t>荣昌生物-B</t>
  </si>
  <si>
    <t>www.lixinger.com/analytics/company/hk/09995/9995/detail</t>
  </si>
  <si>
    <t>中集集团</t>
  </si>
  <si>
    <t>www.lixinger.com/analytics/company/hk/02039/2039/detail</t>
  </si>
  <si>
    <t>众安在线</t>
  </si>
  <si>
    <t>www.lixinger.com/analytics/company/hk/06060/6060/detail</t>
  </si>
  <si>
    <t>东方证券</t>
  </si>
  <si>
    <t>www.lixinger.com/analytics/company/hk/03958/3958/detail</t>
  </si>
  <si>
    <t>金风科技</t>
  </si>
  <si>
    <t>www.lixinger.com/analytics/company/hk/02208/2208/detail</t>
  </si>
  <si>
    <t>金界控股</t>
  </si>
  <si>
    <t>www.lixinger.com/analytics/company/hk/03918/3918/detail</t>
  </si>
  <si>
    <t>JS环球生活</t>
  </si>
  <si>
    <t>www.lixinger.com/analytics/company/hk/01691/1691/detail</t>
  </si>
  <si>
    <t>万国数据-SW</t>
  </si>
  <si>
    <t>www.lixinger.com/analytics/company/hk/09698/9698/detail</t>
  </si>
  <si>
    <t>九毛九</t>
  </si>
  <si>
    <t>www.lixinger.com/analytics/company/hk/09922/9922/detail</t>
  </si>
  <si>
    <t>中国重汽</t>
  </si>
  <si>
    <t>www.lixinger.com/analytics/company/hk/03808/3808/detail</t>
  </si>
  <si>
    <t>汽车之家-S</t>
  </si>
  <si>
    <t>www.lixinger.com/analytics/company/hk/02518/2518/detail</t>
  </si>
  <si>
    <t>海螺创业</t>
  </si>
  <si>
    <t>www.lixinger.com/analytics/company/hk/00586/586/detail</t>
  </si>
  <si>
    <t>蓝月亮集团</t>
  </si>
  <si>
    <t>家具</t>
  </si>
  <si>
    <t>www.lixinger.com/analytics/company/hk/06993/6993/detail</t>
  </si>
  <si>
    <t>敏华控股</t>
  </si>
  <si>
    <t>www.lixinger.com/analytics/company/hk/01999/1999/detail</t>
  </si>
  <si>
    <t>重庆农村商业银行</t>
  </si>
  <si>
    <t>www.lixinger.com/analytics/company/hk/03618/3618/detail</t>
  </si>
  <si>
    <t>康哲药业</t>
  </si>
  <si>
    <t>www.lixinger.com/analytics/company/hk/00867/867/detail</t>
  </si>
  <si>
    <t>越秀地产</t>
  </si>
  <si>
    <t>www.lixinger.com/analytics/company/hk/00123/123/detail</t>
  </si>
  <si>
    <t>广州农商银行</t>
  </si>
  <si>
    <t>www.lixinger.com/analytics/company/hk/01551/1551/detail</t>
  </si>
  <si>
    <t>中远海能</t>
  </si>
  <si>
    <t>www.lixinger.com/analytics/company/hk/01138/1138/detail</t>
  </si>
  <si>
    <t>招金矿业</t>
  </si>
  <si>
    <t>www.lixinger.com/analytics/company/hk/01818/1818/detail</t>
  </si>
  <si>
    <t>泡泡玛特</t>
  </si>
  <si>
    <t>玩具及消闲用品</t>
  </si>
  <si>
    <t>www.lixinger.com/analytics/company/hk/09992/9992/detail</t>
  </si>
  <si>
    <t>新秀丽</t>
  </si>
  <si>
    <t>www.lixinger.com/analytics/company/hk/01910/1910/detail</t>
  </si>
  <si>
    <t>颐海国际</t>
  </si>
  <si>
    <t>食品添加剂</t>
  </si>
  <si>
    <t>www.lixinger.com/analytics/company/hk/01579/1579/detail</t>
  </si>
  <si>
    <t>微创机器人-B</t>
  </si>
  <si>
    <t>www.lixinger.com/analytics/company/hk/02252/2252/detail</t>
  </si>
  <si>
    <t>华润水泥控股</t>
  </si>
  <si>
    <t>www.lixinger.com/analytics/company/hk/01313/1313/detail</t>
  </si>
  <si>
    <t>先声药业</t>
  </si>
  <si>
    <t>www.lixinger.com/analytics/company/hk/02096/2096/detail</t>
  </si>
  <si>
    <t>中海物业</t>
  </si>
  <si>
    <t>www.lixinger.com/analytics/company/hk/02669/2669/detail</t>
  </si>
  <si>
    <t>绿城中国</t>
  </si>
  <si>
    <t>www.lixinger.com/analytics/company/hk/03900/3900/detail</t>
  </si>
  <si>
    <t>渤海银行</t>
  </si>
  <si>
    <t>www.lixinger.com/analytics/company/hk/09668/9668/detail</t>
  </si>
  <si>
    <t>维达国际</t>
  </si>
  <si>
    <t>www.lixinger.com/analytics/company/hk/03331/3331/detail</t>
  </si>
  <si>
    <t>艾美疫苗</t>
  </si>
  <si>
    <t>www.lixinger.com/analytics/company/hk/06660/6660/detail</t>
  </si>
  <si>
    <t>建滔集团</t>
  </si>
  <si>
    <t>www.lixinger.com/analytics/company/hk/00148/148/detail</t>
  </si>
  <si>
    <t>上海电气</t>
  </si>
  <si>
    <t>www.lixinger.com/analytics/company/hk/02727/2727/detail</t>
  </si>
  <si>
    <t>中航科工</t>
  </si>
  <si>
    <t>航空航天与国防</t>
  </si>
  <si>
    <t>www.lixinger.com/analytics/company/hk/02357/2357/detail</t>
  </si>
  <si>
    <t>电讯盈科</t>
  </si>
  <si>
    <t>www.lixinger.com/analytics/company/hk/00008/8/detail</t>
  </si>
  <si>
    <t>中国通号</t>
  </si>
  <si>
    <t>www.lixinger.com/analytics/company/hk/03969/3969/detail</t>
  </si>
  <si>
    <t>保利物业</t>
  </si>
  <si>
    <t>www.lixinger.com/analytics/company/hk/06049/6049/detail</t>
  </si>
  <si>
    <t>建滔积层板</t>
  </si>
  <si>
    <t>www.lixinger.com/analytics/company/hk/01888/1888/detail</t>
  </si>
  <si>
    <t>名创优品</t>
  </si>
  <si>
    <t>多元化零售商</t>
  </si>
  <si>
    <t>www.lixinger.com/analytics/company/hk/09896/9896/detail</t>
  </si>
  <si>
    <t>希慎兴业</t>
  </si>
  <si>
    <t>www.lixinger.com/analytics/company/hk/00014/14/detail</t>
  </si>
  <si>
    <t>浙江沪杭甬</t>
  </si>
  <si>
    <t>www.lixinger.com/analytics/company/hk/00576/576/detail</t>
  </si>
  <si>
    <t>新创建集团</t>
  </si>
  <si>
    <t>www.lixinger.com/analytics/company/hk/00659/659/detail</t>
  </si>
  <si>
    <t>北京首都机场股份</t>
  </si>
  <si>
    <t>www.lixinger.com/analytics/company/hk/00694/694/detail</t>
  </si>
  <si>
    <t>上海复旦</t>
  </si>
  <si>
    <t>www.lixinger.com/analytics/company/hk/01385/1385/detail</t>
  </si>
  <si>
    <t>远东宏信</t>
  </si>
  <si>
    <t>信贷</t>
  </si>
  <si>
    <t>www.lixinger.com/analytics/company/hk/03360/3360/detail</t>
  </si>
  <si>
    <t>360数科-S</t>
  </si>
  <si>
    <t>www.lixinger.com/analytics/company/hk/03660/3660/detail</t>
  </si>
  <si>
    <t>高鑫零售</t>
  </si>
  <si>
    <t>超市及便利店</t>
  </si>
  <si>
    <t>www.lixinger.com/analytics/company/hk/06808/6808/detail</t>
  </si>
  <si>
    <t>中国联塑</t>
  </si>
  <si>
    <t>www.lixinger.com/analytics/company/hk/02128/2128/detail</t>
  </si>
  <si>
    <t>嘉里建设</t>
  </si>
  <si>
    <t>www.lixinger.com/analytics/company/hk/00683/683/detail</t>
  </si>
  <si>
    <t>东亚银行</t>
  </si>
  <si>
    <t>www.lixinger.com/analytics/company/hk/00023/23/detail</t>
  </si>
  <si>
    <t>诺诚健华-B</t>
  </si>
  <si>
    <t>www.lixinger.com/analytics/company/hk/09969/9969/detail</t>
  </si>
  <si>
    <t>嘉里物流</t>
  </si>
  <si>
    <t>www.lixinger.com/analytics/company/hk/00636/636/detail</t>
  </si>
  <si>
    <t>三一国际</t>
  </si>
  <si>
    <t>www.lixinger.com/analytics/company/hk/00631/631/detail</t>
  </si>
  <si>
    <t>青岛港</t>
  </si>
  <si>
    <t>www.lixinger.com/analytics/company/hk/06198/6198/detail</t>
  </si>
  <si>
    <t>卫龙</t>
  </si>
  <si>
    <t>www.lixinger.com/analytics/company/hk/09985/9985/detail</t>
  </si>
  <si>
    <t>敏实集团</t>
  </si>
  <si>
    <t>www.lixinger.com/analytics/company/hk/00425/425/detail</t>
  </si>
  <si>
    <t>华晨中国</t>
  </si>
  <si>
    <t>www.lixinger.com/analytics/company/hk/01114/1114/detail</t>
  </si>
  <si>
    <t>力勤资源</t>
  </si>
  <si>
    <t>www.lixinger.com/analytics/company/hk/02245/2245/detail</t>
  </si>
  <si>
    <t>大唐发电</t>
  </si>
  <si>
    <t>www.lixinger.com/analytics/company/hk/00991/991/detail</t>
  </si>
  <si>
    <t>平安好医生</t>
  </si>
  <si>
    <t>www.lixinger.com/analytics/company/hk/01833/1833/detail</t>
  </si>
  <si>
    <t>再鼎医药</t>
  </si>
  <si>
    <t>www.lixinger.com/analytics/company/hk/09688/9688/detail</t>
  </si>
  <si>
    <t>丽珠医药</t>
  </si>
  <si>
    <t>www.lixinger.com/analytics/company/hk/01513/1513/detail</t>
  </si>
  <si>
    <t>光大证券</t>
  </si>
  <si>
    <t>www.lixinger.com/analytics/company/hk/06178/6178/detail</t>
  </si>
  <si>
    <t>中教控股</t>
  </si>
  <si>
    <t>www.lixinger.com/analytics/company/hk/00839/839/detail</t>
  </si>
  <si>
    <t>健世科技-B</t>
  </si>
  <si>
    <t>www.lixinger.com/analytics/company/hk/09877/9877/detail</t>
  </si>
  <si>
    <t>香格里拉(亚洲)</t>
  </si>
  <si>
    <t>www.lixinger.com/analytics/company/hk/00069/69/detail</t>
  </si>
  <si>
    <t>中原银行</t>
  </si>
  <si>
    <t>www.lixinger.com/analytics/company/hk/01216/1216/detail</t>
  </si>
  <si>
    <t>九江银行</t>
  </si>
  <si>
    <t>www.lixinger.com/analytics/company/hk/06190/6190/detail</t>
  </si>
  <si>
    <t>中国金茂</t>
  </si>
  <si>
    <t>www.lixinger.com/analytics/company/hk/00817/817/detail</t>
  </si>
  <si>
    <t>ASMPT</t>
  </si>
  <si>
    <t>www.lixinger.com/analytics/company/hk/00522/522/detail</t>
  </si>
  <si>
    <t>特步国际</t>
  </si>
  <si>
    <t>鞋类</t>
  </si>
  <si>
    <t>www.lixinger.com/analytics/company/hk/01368/1368/detail</t>
  </si>
  <si>
    <t>合生创展集团</t>
  </si>
  <si>
    <t>www.lixinger.com/analytics/company/hk/00754/754/detail</t>
  </si>
  <si>
    <t>昭衍新药</t>
  </si>
  <si>
    <t>www.lixinger.com/analytics/company/hk/06127/6127/detail</t>
  </si>
  <si>
    <t>美东汽车</t>
  </si>
  <si>
    <t>www.lixinger.com/analytics/company/hk/01268/1268/detail</t>
  </si>
  <si>
    <t>国浩集团</t>
  </si>
  <si>
    <t>www.lixinger.com/analytics/company/hk/00053/53/detail</t>
  </si>
  <si>
    <t>中国软件国际</t>
  </si>
  <si>
    <t>www.lixinger.com/analytics/company/hk/00354/354/detail</t>
  </si>
  <si>
    <t>中国再保险</t>
  </si>
  <si>
    <t>www.lixinger.com/analytics/company/hk/01508/1508/detail</t>
  </si>
  <si>
    <t>光大环境</t>
  </si>
  <si>
    <t>www.lixinger.com/analytics/company/hk/00257/257/detail</t>
  </si>
  <si>
    <t>和黄医药</t>
  </si>
  <si>
    <t>www.lixinger.com/analytics/company/hk/00013/13/detail</t>
  </si>
  <si>
    <t>中远海运港口</t>
  </si>
  <si>
    <t>www.lixinger.com/analytics/company/hk/01199/1199/detail</t>
  </si>
  <si>
    <t>瑞声科技</t>
  </si>
  <si>
    <t>www.lixinger.com/analytics/company/hk/02018/2018/detail</t>
  </si>
  <si>
    <t>中国通信服务</t>
  </si>
  <si>
    <t>www.lixinger.com/analytics/company/hk/00552/552/detail</t>
  </si>
  <si>
    <t>汇通达网络</t>
  </si>
  <si>
    <t>www.lixinger.com/analytics/company/hk/09878/9878/detail</t>
  </si>
  <si>
    <t>鞍钢股份</t>
  </si>
  <si>
    <t>钢铁</t>
  </si>
  <si>
    <t>www.lixinger.com/analytics/company/hk/00347/347/detail</t>
  </si>
  <si>
    <t>新城发展</t>
  </si>
  <si>
    <t>www.lixinger.com/analytics/company/hk/01030/1030/detail</t>
  </si>
  <si>
    <t>新特能源</t>
  </si>
  <si>
    <t>www.lixinger.com/analytics/company/hk/01799/1799/detail</t>
  </si>
  <si>
    <t>海伦司</t>
  </si>
  <si>
    <t>www.lixinger.com/analytics/company/hk/09869/9869/detail</t>
  </si>
  <si>
    <t>联想控股</t>
  </si>
  <si>
    <t>www.lixinger.com/analytics/company/hk/03396/3396/detail</t>
  </si>
  <si>
    <t>北控水务集团</t>
  </si>
  <si>
    <t>www.lixinger.com/analytics/company/hk/00371/371/detail</t>
  </si>
  <si>
    <t>联合能源集团</t>
  </si>
  <si>
    <t>www.lixinger.com/analytics/company/hk/00467/467/detail</t>
  </si>
  <si>
    <t>三生制药</t>
  </si>
  <si>
    <t>www.lixinger.com/analytics/company/hk/01530/1530/detail</t>
  </si>
  <si>
    <t>时代天使</t>
  </si>
  <si>
    <t>www.lixinger.com/analytics/company/hk/06699/6699/detail</t>
  </si>
  <si>
    <t>中国儒意</t>
  </si>
  <si>
    <t>www.lixinger.com/analytics/company/hk/00136/136/detail</t>
  </si>
  <si>
    <t>东岳集团</t>
  </si>
  <si>
    <t>特殊化工用品</t>
  </si>
  <si>
    <t>www.lixinger.com/analytics/company/hk/00189/189/detail</t>
  </si>
  <si>
    <t>泉峰控股</t>
  </si>
  <si>
    <t>www.lixinger.com/analytics/company/hk/02285/2285/detail</t>
  </si>
  <si>
    <t>信义能源</t>
  </si>
  <si>
    <t>www.lixinger.com/analytics/company/hk/03868/3868/detail</t>
  </si>
  <si>
    <t>恒隆集团</t>
  </si>
  <si>
    <t>www.lixinger.com/analytics/company/hk/00010/10/detail</t>
  </si>
  <si>
    <t>锦州银行</t>
  </si>
  <si>
    <t>www.lixinger.com/analytics/company/hk/00416/416/detail</t>
  </si>
  <si>
    <t>金力永磁</t>
  </si>
  <si>
    <t>www.lixinger.com/analytics/company/hk/06680/6680/detail</t>
  </si>
  <si>
    <t>锦欣生殖</t>
  </si>
  <si>
    <t>www.lixinger.com/analytics/company/hk/01951/1951/detail</t>
  </si>
  <si>
    <t>星空华文</t>
  </si>
  <si>
    <t>www.lixinger.com/analytics/company/hk/06698/6698/detail</t>
  </si>
  <si>
    <t>中国外运</t>
  </si>
  <si>
    <t>www.lixinger.com/analytics/company/hk/00598/598/detail</t>
  </si>
  <si>
    <t>冠君产业信托</t>
  </si>
  <si>
    <t>www.lixinger.com/analytics/company/hk/02778/2778/detail</t>
  </si>
  <si>
    <t>华新水泥</t>
  </si>
  <si>
    <t>www.lixinger.com/analytics/company/hk/06655/6655/detail</t>
  </si>
  <si>
    <t>中国中药</t>
  </si>
  <si>
    <t>www.lixinger.com/analytics/company/hk/00570/570/detail</t>
  </si>
  <si>
    <t>青岛银行</t>
  </si>
  <si>
    <t>www.lixinger.com/analytics/company/hk/03866/3866/detail</t>
  </si>
  <si>
    <t>微盟集团</t>
  </si>
  <si>
    <t>广告及宣传</t>
  </si>
  <si>
    <t>www.lixinger.com/analytics/company/hk/02013/2013/detail</t>
  </si>
  <si>
    <t>深圳国际</t>
  </si>
  <si>
    <t>www.lixinger.com/analytics/company/hk/00152/152/detail</t>
  </si>
  <si>
    <t>中国天瑞水泥</t>
  </si>
  <si>
    <t>www.lixinger.com/analytics/company/hk/01252/1252/detail</t>
  </si>
  <si>
    <t>中环控股</t>
  </si>
  <si>
    <t>楼宇建造</t>
  </si>
  <si>
    <t>www.lixinger.com/analytics/company/hk/01735/1735/detail</t>
  </si>
  <si>
    <t>五矿资源</t>
  </si>
  <si>
    <t>www.lixinger.com/analytics/company/hk/01208/1208/detail</t>
  </si>
  <si>
    <t>裕元集团</t>
  </si>
  <si>
    <t>www.lixinger.com/analytics/company/hk/00551/551/detail</t>
  </si>
  <si>
    <t>维他奶国际</t>
  </si>
  <si>
    <t>www.lixinger.com/analytics/company/hk/00345/345/detail</t>
  </si>
  <si>
    <t>绿城服务</t>
  </si>
  <si>
    <t>www.lixinger.com/analytics/company/hk/02869/2869/detail</t>
  </si>
  <si>
    <t>大唐新能源</t>
  </si>
  <si>
    <t>www.lixinger.com/analytics/company/hk/01798/1798/detail</t>
  </si>
  <si>
    <t>北京汽车</t>
  </si>
  <si>
    <t>www.lixinger.com/analytics/company/hk/01958/1958/detail</t>
  </si>
  <si>
    <t>云音乐</t>
  </si>
  <si>
    <t>www.lixinger.com/analytics/company/hk/09899/9899/detail</t>
  </si>
  <si>
    <t>中裕能源</t>
  </si>
  <si>
    <t>www.lixinger.com/analytics/company/hk/03633/3633/detail</t>
  </si>
  <si>
    <t>辽港股份</t>
  </si>
  <si>
    <t>www.lixinger.com/analytics/company/hk/02880/2880/detail</t>
  </si>
  <si>
    <t>康希诺生物</t>
  </si>
  <si>
    <t>www.lixinger.com/analytics/company/hk/06185/6185/detail</t>
  </si>
  <si>
    <t>美的置业</t>
  </si>
  <si>
    <t>www.lixinger.com/analytics/company/hk/03990/3990/detail</t>
  </si>
  <si>
    <t>友联租赁</t>
  </si>
  <si>
    <t>www.lixinger.com/analytics/company/hk/01563/1563/detail</t>
  </si>
  <si>
    <t>远大医药</t>
  </si>
  <si>
    <t>www.lixinger.com/analytics/company/hk/00512/512/detail</t>
  </si>
  <si>
    <t>阿里影业</t>
  </si>
  <si>
    <t>www.lixinger.com/analytics/company/hk/01060/1060/detail</t>
  </si>
  <si>
    <t>京能清洁能源</t>
  </si>
  <si>
    <t>www.lixinger.com/analytics/company/hk/00579/579/detail</t>
  </si>
  <si>
    <t>金辉控股</t>
  </si>
  <si>
    <t>www.lixinger.com/analytics/company/hk/09993/9993/detail</t>
  </si>
  <si>
    <t>中集安瑞科</t>
  </si>
  <si>
    <t>www.lixinger.com/analytics/company/hk/03899/3899/detail</t>
  </si>
  <si>
    <t>福寿园</t>
  </si>
  <si>
    <t>其他支援服务</t>
  </si>
  <si>
    <t>www.lixinger.com/analytics/company/hk/01448/1448/detail</t>
  </si>
  <si>
    <t>中石化炼化工程</t>
  </si>
  <si>
    <t>www.lixinger.com/analytics/company/hk/02386/2386/detail</t>
  </si>
  <si>
    <t>叮当健康</t>
  </si>
  <si>
    <t>www.lixinger.com/analytics/company/hk/09886/9886/detail</t>
  </si>
  <si>
    <t>康诺亚-B</t>
  </si>
  <si>
    <t>www.lixinger.com/analytics/company/hk/02162/2162/detail</t>
  </si>
  <si>
    <t>甘肃银行</t>
  </si>
  <si>
    <t>www.lixinger.com/analytics/company/hk/02139/2139/detail</t>
  </si>
  <si>
    <t>鸿腾精密</t>
  </si>
  <si>
    <t>www.lixinger.com/analytics/company/hk/06088/6088/detail</t>
  </si>
  <si>
    <t>理文造纸</t>
  </si>
  <si>
    <t>www.lixinger.com/analytics/company/hk/02314/2314/detail</t>
  </si>
  <si>
    <t>深圳高速公路股份</t>
  </si>
  <si>
    <t>www.lixinger.com/analytics/company/hk/00548/548/detail</t>
  </si>
  <si>
    <t>上海石油化工股份</t>
  </si>
  <si>
    <t>www.lixinger.com/analytics/company/hk/00338/338/detail</t>
  </si>
  <si>
    <t>中国有色矿业</t>
  </si>
  <si>
    <t>www.lixinger.com/analytics/company/hk/01258/1258/detail</t>
  </si>
  <si>
    <t>金阳新能源</t>
  </si>
  <si>
    <t>www.lixinger.com/analytics/company/hk/01121/1121/detail</t>
  </si>
  <si>
    <t>石四药集团</t>
  </si>
  <si>
    <t>www.lixinger.com/analytics/company/hk/02005/2005/detail</t>
  </si>
  <si>
    <t>马鞍山钢铁股份</t>
  </si>
  <si>
    <t>www.lixinger.com/analytics/company/hk/00323/323/detail</t>
  </si>
  <si>
    <t>明源云</t>
  </si>
  <si>
    <t>www.lixinger.com/analytics/company/hk/00909/909/detail</t>
  </si>
  <si>
    <t>复星旅游文化</t>
  </si>
  <si>
    <t>www.lixinger.com/analytics/company/hk/01992/1992/detail</t>
  </si>
  <si>
    <t>重庆银行</t>
  </si>
  <si>
    <t>www.lixinger.com/analytics/company/hk/01963/1963/detail</t>
  </si>
  <si>
    <t>思派健康</t>
  </si>
  <si>
    <t>www.lixinger.com/analytics/company/hk/00314/314/detail</t>
  </si>
  <si>
    <t>中远海发</t>
  </si>
  <si>
    <t>www.lixinger.com/analytics/company/hk/02866/2866/detail</t>
  </si>
  <si>
    <t>六福集团</t>
  </si>
  <si>
    <t>www.lixinger.com/analytics/company/hk/00590/590/detail</t>
  </si>
  <si>
    <t>雅生活服务</t>
  </si>
  <si>
    <t>www.lixinger.com/analytics/company/hk/03319/3319/detail</t>
  </si>
  <si>
    <t>首程控股</t>
  </si>
  <si>
    <t>www.lixinger.com/analytics/company/hk/00697/697/detail</t>
  </si>
  <si>
    <t>大酒店</t>
  </si>
  <si>
    <t>www.lixinger.com/analytics/company/hk/00045/45/detail</t>
  </si>
  <si>
    <t>太平洋航运</t>
  </si>
  <si>
    <t>www.lixinger.com/analytics/company/hk/02343/2343/detail</t>
  </si>
  <si>
    <t>新天绿色能源</t>
  </si>
  <si>
    <t>www.lixinger.com/analytics/company/hk/00956/956/detail</t>
  </si>
  <si>
    <t>海信家电</t>
  </si>
  <si>
    <t>www.lixinger.com/analytics/company/hk/00921/921/detail</t>
  </si>
  <si>
    <t>中国旭阳集团</t>
  </si>
  <si>
    <t>www.lixinger.com/analytics/company/hk/01907/1907/detail</t>
  </si>
  <si>
    <t>新濠国际发展</t>
  </si>
  <si>
    <t>www.lixinger.com/analytics/company/hk/00200/200/detail</t>
  </si>
  <si>
    <t>奈雪的茶</t>
  </si>
  <si>
    <t>www.lixinger.com/analytics/company/hk/02150/2150/detail</t>
  </si>
  <si>
    <t>周黑鸭</t>
  </si>
  <si>
    <t>www.lixinger.com/analytics/company/hk/01458/1458/detail</t>
  </si>
  <si>
    <t>微创脑科学</t>
  </si>
  <si>
    <t>www.lixinger.com/analytics/company/hk/02172/2172/detail</t>
  </si>
  <si>
    <t>融创服务</t>
  </si>
  <si>
    <t>www.lixinger.com/analytics/company/hk/01516/1516/detail</t>
  </si>
  <si>
    <t>耐世特</t>
  </si>
  <si>
    <t>www.lixinger.com/analytics/company/hk/01316/1316/detail</t>
  </si>
  <si>
    <t>绿叶制药</t>
  </si>
  <si>
    <t>www.lixinger.com/analytics/company/hk/02186/2186/detail</t>
  </si>
  <si>
    <t>中国东方教育</t>
  </si>
  <si>
    <t>www.lixinger.com/analytics/company/hk/00667/667/detail</t>
  </si>
  <si>
    <t>国银金租</t>
  </si>
  <si>
    <t>www.lixinger.com/analytics/company/hk/01606/1606/detail</t>
  </si>
  <si>
    <t>华宝国际</t>
  </si>
  <si>
    <t>www.lixinger.com/analytics/company/hk/00336/336/detail</t>
  </si>
  <si>
    <t>海昌海洋公园</t>
  </si>
  <si>
    <t>消闲及文娱设施</t>
  </si>
  <si>
    <t>www.lixinger.com/analytics/company/hk/02255/2255/detail</t>
  </si>
  <si>
    <t>鹰君</t>
  </si>
  <si>
    <t>www.lixinger.com/analytics/company/hk/00041/41/detail</t>
  </si>
  <si>
    <t>伟禄集团</t>
  </si>
  <si>
    <t>www.lixinger.com/analytics/company/hk/01196/1196/detail</t>
  </si>
  <si>
    <t>伟易达集团</t>
  </si>
  <si>
    <t>www.lixinger.com/analytics/company/hk/00303/303/detail</t>
  </si>
  <si>
    <t>创新奇智</t>
  </si>
  <si>
    <t>www.lixinger.com/analytics/company/hk/02121/2121/detail</t>
  </si>
  <si>
    <t>首钢资源</t>
  </si>
  <si>
    <t>www.lixinger.com/analytics/company/hk/00639/639/detail</t>
  </si>
  <si>
    <t>港华智慧能源</t>
  </si>
  <si>
    <t>www.lixinger.com/analytics/company/hk/01083/1083/detail</t>
  </si>
  <si>
    <t>亚信科技</t>
  </si>
  <si>
    <t>www.lixinger.com/analytics/company/hk/01675/1675/detail</t>
  </si>
  <si>
    <t>郑煤机</t>
  </si>
  <si>
    <t>www.lixinger.com/analytics/company/hk/00564/564/detail</t>
  </si>
  <si>
    <t>置富产业信托</t>
  </si>
  <si>
    <t>www.lixinger.com/analytics/company/hk/00778/778/detail</t>
  </si>
  <si>
    <t>乐普生物-B</t>
  </si>
  <si>
    <t>www.lixinger.com/analytics/company/hk/02157/2157/detail</t>
  </si>
  <si>
    <t>中国海外宏洋集团</t>
  </si>
  <si>
    <t>www.lixinger.com/analytics/company/hk/00081/81/detail</t>
  </si>
  <si>
    <t>瑞科生物-B</t>
  </si>
  <si>
    <t>www.lixinger.com/analytics/company/hk/02179/2179/detail</t>
  </si>
  <si>
    <t>绿城管理控股</t>
  </si>
  <si>
    <t>www.lixinger.com/analytics/company/hk/09979/9979/detail</t>
  </si>
  <si>
    <t>阜丰集团</t>
  </si>
  <si>
    <t>www.lixinger.com/analytics/company/hk/00546/546/detail</t>
  </si>
  <si>
    <t>深圳控股</t>
  </si>
  <si>
    <t>www.lixinger.com/analytics/company/hk/00604/604/detail</t>
  </si>
  <si>
    <t>先健科技</t>
  </si>
  <si>
    <t>www.lixinger.com/analytics/company/hk/01302/1302/detail</t>
  </si>
  <si>
    <t>上美股份</t>
  </si>
  <si>
    <t>www.lixinger.com/analytics/company/hk/02145/2145/detail</t>
  </si>
  <si>
    <t>中广核新能源</t>
  </si>
  <si>
    <t>www.lixinger.com/analytics/company/hk/01811/1811/detail</t>
  </si>
  <si>
    <t>天津银行</t>
  </si>
  <si>
    <t>www.lixinger.com/analytics/company/hk/01578/1578/detail</t>
  </si>
  <si>
    <t>固生堂</t>
  </si>
  <si>
    <t>www.lixinger.com/analytics/company/hk/02273/2273/detail</t>
  </si>
  <si>
    <t>京东方精电</t>
  </si>
  <si>
    <t>www.lixinger.com/analytics/company/hk/00710/710/detail</t>
  </si>
  <si>
    <t>国联证券</t>
  </si>
  <si>
    <t>www.lixinger.com/analytics/company/hk/01456/1456/detail</t>
  </si>
  <si>
    <t>美兰空港</t>
  </si>
  <si>
    <t>www.lixinger.com/analytics/company/hk/00357/357/detail</t>
  </si>
  <si>
    <t>永达汽车</t>
  </si>
  <si>
    <t>www.lixinger.com/analytics/company/hk/03669/3669/detail</t>
  </si>
  <si>
    <t>九台农商银行</t>
  </si>
  <si>
    <t>www.lixinger.com/analytics/company/hk/06122/6122/detail</t>
  </si>
  <si>
    <t>金隅集团</t>
  </si>
  <si>
    <t>www.lixinger.com/analytics/company/hk/02009/2009/detail</t>
  </si>
  <si>
    <t>红星美凯龙</t>
  </si>
  <si>
    <t>www.lixinger.com/analytics/company/hk/01528/1528/detail</t>
  </si>
  <si>
    <t>非凡中国</t>
  </si>
  <si>
    <t>www.lixinger.com/analytics/company/hk/08032/8032/detail</t>
  </si>
  <si>
    <t>中国水务</t>
  </si>
  <si>
    <t>www.lixinger.com/analytics/company/hk/00855/855/detail</t>
  </si>
  <si>
    <t>旭辉控股集团</t>
  </si>
  <si>
    <t>www.lixinger.com/analytics/company/hk/00884/884/detail</t>
  </si>
  <si>
    <t>爱康医疗</t>
  </si>
  <si>
    <t>www.lixinger.com/analytics/company/hk/01789/1789/detail</t>
  </si>
  <si>
    <t>康基医疗</t>
  </si>
  <si>
    <t>www.lixinger.com/analytics/company/hk/09997/9997/detail</t>
  </si>
  <si>
    <t>心动公司</t>
  </si>
  <si>
    <t>www.lixinger.com/analytics/company/hk/02400/2400/detail</t>
  </si>
  <si>
    <t>上海实业控股</t>
  </si>
  <si>
    <t>www.lixinger.com/analytics/company/hk/00363/363/detail</t>
  </si>
  <si>
    <t>中船防务</t>
  </si>
  <si>
    <t>www.lixinger.com/analytics/company/hk/00317/317/detail</t>
  </si>
  <si>
    <t>安徽皖通高速公路</t>
  </si>
  <si>
    <t>www.lixinger.com/analytics/company/hk/00995/995/detail</t>
  </si>
  <si>
    <t>荣晖国际</t>
  </si>
  <si>
    <t>www.lixinger.com/analytics/company/hk/00990/990/detail</t>
  </si>
  <si>
    <t>金地商置</t>
  </si>
  <si>
    <t>www.lixinger.com/analytics/company/hk/00535/535/detail</t>
  </si>
  <si>
    <t>H&amp;H国际控股</t>
  </si>
  <si>
    <t>www.lixinger.com/analytics/company/hk/01112/1112/detail</t>
  </si>
  <si>
    <t>猫眼娱乐</t>
  </si>
  <si>
    <t>www.lixinger.com/analytics/company/hk/01896/1896/detail</t>
  </si>
  <si>
    <t>长飞光纤光缆</t>
  </si>
  <si>
    <t>www.lixinger.com/analytics/company/hk/06869/6869/detail</t>
  </si>
  <si>
    <t>康宁杰瑞制药-B</t>
  </si>
  <si>
    <t>www.lixinger.com/analytics/company/hk/09966/9966/detail</t>
  </si>
  <si>
    <t>3DMEDICINES-B</t>
  </si>
  <si>
    <t>www.lixinger.com/analytics/company/hk/01244/1244/detail</t>
  </si>
  <si>
    <t>粤丰环保</t>
  </si>
  <si>
    <t>www.lixinger.com/analytics/company/hk/01381/1381/detail</t>
  </si>
  <si>
    <t>百奥赛图-B</t>
  </si>
  <si>
    <t>www.lixinger.com/analytics/company/hk/02315/2315/detail</t>
  </si>
  <si>
    <t>广深铁路股份</t>
  </si>
  <si>
    <t>www.lixinger.com/analytics/company/hk/00525/525/detail</t>
  </si>
  <si>
    <t>博安生物-B</t>
  </si>
  <si>
    <t>www.lixinger.com/analytics/company/hk/06955/6955/detail</t>
  </si>
  <si>
    <t>中石化油服</t>
  </si>
  <si>
    <t>www.lixinger.com/analytics/company/hk/01033/1033/detail</t>
  </si>
  <si>
    <t>中信国际电讯</t>
  </si>
  <si>
    <t>www.lixinger.com/analytics/company/hk/01883/1883/detail</t>
  </si>
  <si>
    <t>新意网集团</t>
  </si>
  <si>
    <t>www.lixinger.com/analytics/company/hk/01686/1686/detail</t>
  </si>
  <si>
    <t>云康集团</t>
  </si>
  <si>
    <t>www.lixinger.com/analytics/company/hk/02325/2325/detail</t>
  </si>
  <si>
    <t>中国光大控股</t>
  </si>
  <si>
    <t>www.lixinger.com/analytics/company/hk/00165/165/detail</t>
  </si>
  <si>
    <t>心泰医疗</t>
  </si>
  <si>
    <t>www.lixinger.com/analytics/company/hk/02291/2291/detail</t>
  </si>
  <si>
    <t>雅居乐集团</t>
  </si>
  <si>
    <t>www.lixinger.com/analytics/company/hk/03383/3383/detail</t>
  </si>
  <si>
    <t>第一太平</t>
  </si>
  <si>
    <t>www.lixinger.com/analytics/company/hk/00142/142/detail</t>
  </si>
  <si>
    <t>香港中旅</t>
  </si>
  <si>
    <t>www.lixinger.com/analytics/company/hk/00308/308/detail</t>
  </si>
  <si>
    <t>呷哺呷哺</t>
  </si>
  <si>
    <t>www.lixinger.com/analytics/company/hk/00520/520/detail</t>
  </si>
  <si>
    <t>医思健康</t>
  </si>
  <si>
    <t>www.lixinger.com/analytics/company/hk/02138/2138/detail</t>
  </si>
  <si>
    <t>同仁堂国药</t>
  </si>
  <si>
    <t>www.lixinger.com/analytics/company/hk/03613/3613/detail</t>
  </si>
  <si>
    <t>中集车辆</t>
  </si>
  <si>
    <t>www.lixinger.com/analytics/company/hk/01839/1839/detail</t>
  </si>
  <si>
    <t>天能动力</t>
  </si>
  <si>
    <t>www.lixinger.com/analytics/company/hk/00819/819/detail</t>
  </si>
  <si>
    <t>森松国际</t>
  </si>
  <si>
    <t>www.lixinger.com/analytics/company/hk/02155/2155/detail</t>
  </si>
  <si>
    <t>移卡</t>
  </si>
  <si>
    <t>www.lixinger.com/analytics/company/hk/09923/9923/detail</t>
  </si>
  <si>
    <t>郑州银行</t>
  </si>
  <si>
    <t>www.lixinger.com/analytics/company/hk/06196/6196/detail</t>
  </si>
  <si>
    <t>中国黄金国际</t>
  </si>
  <si>
    <t>www.lixinger.com/analytics/company/hk/02099/2099/detail</t>
  </si>
  <si>
    <t>联邦制药</t>
  </si>
  <si>
    <t>www.lixinger.com/analytics/company/hk/03933/3933/detail</t>
  </si>
  <si>
    <t>金科服务</t>
  </si>
  <si>
    <t>www.lixinger.com/analytics/company/hk/09666/9666/detail</t>
  </si>
  <si>
    <t>联易融科技-W</t>
  </si>
  <si>
    <t>www.lixinger.com/analytics/company/hk/09959/9959/detail</t>
  </si>
  <si>
    <t>越秀房产信托基金</t>
  </si>
  <si>
    <t>www.lixinger.com/analytics/company/hk/00405/405/detail</t>
  </si>
  <si>
    <t>科济药业-B</t>
  </si>
  <si>
    <t>www.lixinger.com/analytics/company/hk/02171/2171/detail</t>
  </si>
  <si>
    <t>德昌电机控股</t>
  </si>
  <si>
    <t>www.lixinger.com/analytics/company/hk/00179/179/detail</t>
  </si>
  <si>
    <t>高伟电子</t>
  </si>
  <si>
    <t>www.lixinger.com/analytics/company/hk/01415/1415/detail</t>
  </si>
  <si>
    <t>网龙</t>
  </si>
  <si>
    <t>www.lixinger.com/analytics/company/hk/00777/777/detail</t>
  </si>
  <si>
    <t>四环医药</t>
  </si>
  <si>
    <t>www.lixinger.com/analytics/company/hk/00460/460/detail</t>
  </si>
  <si>
    <t>环球医疗</t>
  </si>
  <si>
    <t>www.lixinger.com/analytics/company/hk/02666/2666/detail</t>
  </si>
  <si>
    <t>九龙建业</t>
  </si>
  <si>
    <t>www.lixinger.com/analytics/company/hk/00034/34/detail</t>
  </si>
  <si>
    <t>中粮家佳康</t>
  </si>
  <si>
    <t>www.lixinger.com/analytics/company/hk/01610/1610/detail</t>
  </si>
  <si>
    <t>创维集团</t>
  </si>
  <si>
    <t>www.lixinger.com/analytics/company/hk/00751/751/detail</t>
  </si>
  <si>
    <t>中海石油化学</t>
  </si>
  <si>
    <t>化肥及农用化合物</t>
  </si>
  <si>
    <t>www.lixinger.com/analytics/company/hk/03983/3983/detail</t>
  </si>
  <si>
    <t>信恳智能(二百)</t>
  </si>
  <si>
    <t>www.lixinger.com/analytics/company/hk/01967/1967/detail</t>
  </si>
  <si>
    <t>嘉华国际</t>
  </si>
  <si>
    <t>www.lixinger.com/analytics/company/hk/00173/173/detail</t>
  </si>
  <si>
    <t>大家乐集团</t>
  </si>
  <si>
    <t>www.lixinger.com/analytics/company/hk/00341/341/detail</t>
  </si>
  <si>
    <t>力劲科技</t>
  </si>
  <si>
    <t>www.lixinger.com/analytics/company/hk/00558/558/detail</t>
  </si>
  <si>
    <t>百宏实业</t>
  </si>
  <si>
    <t>纺织品及布料</t>
  </si>
  <si>
    <t>www.lixinger.com/analytics/company/hk/02299/2299/detail</t>
  </si>
  <si>
    <t>美丽华酒店</t>
  </si>
  <si>
    <t>www.lixinger.com/analytics/company/hk/00071/71/detail</t>
  </si>
  <si>
    <t>远洋集团</t>
  </si>
  <si>
    <t>www.lixinger.com/analytics/company/hk/03377/3377/detail</t>
  </si>
  <si>
    <t>泸州银行</t>
  </si>
  <si>
    <t>www.lixinger.com/analytics/company/hk/01983/1983/detail</t>
  </si>
  <si>
    <t>天工国际</t>
  </si>
  <si>
    <t>www.lixinger.com/analytics/company/hk/00826/826/detail</t>
  </si>
  <si>
    <t>优然牧业</t>
  </si>
  <si>
    <t>www.lixinger.com/analytics/company/hk/09858/9858/detail</t>
  </si>
  <si>
    <t>诺辉健康-B</t>
  </si>
  <si>
    <t>www.lixinger.com/analytics/company/hk/06606/6606/detail</t>
  </si>
  <si>
    <t>阜博集团</t>
  </si>
  <si>
    <t>www.lixinger.com/analytics/company/hk/03738/3738/detail</t>
  </si>
  <si>
    <t>恒投证券</t>
  </si>
  <si>
    <t>www.lixinger.com/analytics/company/hk/01476/1476/detail</t>
  </si>
  <si>
    <t>瑞安房地产</t>
  </si>
  <si>
    <t>www.lixinger.com/analytics/company/hk/00272/272/detail</t>
  </si>
  <si>
    <t>四海国际</t>
  </si>
  <si>
    <t>www.lixinger.com/analytics/company/hk/00120/120/detail</t>
  </si>
  <si>
    <t>大新银行集团</t>
  </si>
  <si>
    <t>www.lixinger.com/analytics/company/hk/02356/2356/detail</t>
  </si>
  <si>
    <t>佳明集团控股</t>
  </si>
  <si>
    <t>www.lixinger.com/analytics/company/hk/01271/1271/detail</t>
  </si>
  <si>
    <t>海普瑞</t>
  </si>
  <si>
    <t>www.lixinger.com/analytics/company/hk/09989/9989/detail</t>
  </si>
  <si>
    <t>涂鸦智能-W</t>
  </si>
  <si>
    <t>www.lixinger.com/analytics/company/hk/02391/2391/detail</t>
  </si>
  <si>
    <t>旭辉永升服务</t>
  </si>
  <si>
    <t>www.lixinger.com/analytics/company/hk/01995/1995/detail</t>
  </si>
  <si>
    <t>中烟香港</t>
  </si>
  <si>
    <t>烟草</t>
  </si>
  <si>
    <t>www.lixinger.com/analytics/company/hk/06055/6055/detail</t>
  </si>
  <si>
    <t>TCL电子</t>
  </si>
  <si>
    <t>www.lixinger.com/analytics/company/hk/01070/1070/detail</t>
  </si>
  <si>
    <t>现代牧业</t>
  </si>
  <si>
    <t>www.lixinger.com/analytics/company/hk/01117/1117/detail</t>
  </si>
  <si>
    <t>中国食品</t>
  </si>
  <si>
    <t>www.lixinger.com/analytics/company/hk/00506/506/detail</t>
  </si>
  <si>
    <t>新城悦服务</t>
  </si>
  <si>
    <t>www.lixinger.com/analytics/company/hk/01755/1755/detail</t>
  </si>
  <si>
    <t>普达特科技</t>
  </si>
  <si>
    <t>www.lixinger.com/analytics/company/hk/00650/650/detail</t>
  </si>
  <si>
    <t>诺亚控股</t>
  </si>
  <si>
    <t>www.lixinger.com/analytics/company/hk/06686/6686/detail</t>
  </si>
  <si>
    <t>高视医疗</t>
  </si>
  <si>
    <t>www.lixinger.com/analytics/company/hk/02407/2407/detail</t>
  </si>
  <si>
    <t>长江生命科技</t>
  </si>
  <si>
    <t>www.lixinger.com/analytics/company/hk/00775/775/detail</t>
  </si>
  <si>
    <t>重庆钢铁股份</t>
  </si>
  <si>
    <t>www.lixinger.com/analytics/company/hk/01053/1053/detail</t>
  </si>
  <si>
    <t>中渝置地</t>
  </si>
  <si>
    <t>www.lixinger.com/analytics/company/hk/01224/1224/detail</t>
  </si>
  <si>
    <t>晨鸣纸业</t>
  </si>
  <si>
    <t>www.lixinger.com/analytics/company/hk/01812/1812/detail</t>
  </si>
  <si>
    <t>澳优</t>
  </si>
  <si>
    <t>www.lixinger.com/analytics/company/hk/01717/1717/detail</t>
  </si>
  <si>
    <t>利福国际</t>
  </si>
  <si>
    <t>www.lixinger.com/analytics/company/hk/01212/1212/detail</t>
  </si>
  <si>
    <t>金鹰商贸集团</t>
  </si>
  <si>
    <t>www.lixinger.com/analytics/company/hk/03308/3308/detail</t>
  </si>
  <si>
    <t>华润医疗</t>
  </si>
  <si>
    <t>www.lixinger.com/analytics/company/hk/01515/1515/detail</t>
  </si>
  <si>
    <t>同仁堂科技</t>
  </si>
  <si>
    <t>www.lixinger.com/analytics/company/hk/01666/1666/detail</t>
  </si>
  <si>
    <t>智云健康</t>
  </si>
  <si>
    <t>www.lixinger.com/analytics/company/hk/09955/9955/detail</t>
  </si>
  <si>
    <t>百富环球</t>
  </si>
  <si>
    <t>www.lixinger.com/analytics/company/hk/00327/327/detail</t>
  </si>
  <si>
    <t>越秀交通基建</t>
  </si>
  <si>
    <t>www.lixinger.com/analytics/company/hk/01052/1052/detail</t>
  </si>
  <si>
    <t>飞天云动</t>
  </si>
  <si>
    <t>www.lixinger.com/analytics/company/hk/06610/6610/detail</t>
  </si>
  <si>
    <t>SOHO中国</t>
  </si>
  <si>
    <t>www.lixinger.com/analytics/company/hk/00410/410/detail</t>
  </si>
  <si>
    <t>中国船舶租赁</t>
  </si>
  <si>
    <t>www.lixinger.com/analytics/company/hk/03877/3877/detail</t>
  </si>
  <si>
    <t>金川国际</t>
  </si>
  <si>
    <t>www.lixinger.com/analytics/company/hk/02362/2362/detail</t>
  </si>
  <si>
    <t>富力地产</t>
  </si>
  <si>
    <t>www.lixinger.com/analytics/company/hk/02777/2777/detail</t>
  </si>
  <si>
    <t>中石化冠德</t>
  </si>
  <si>
    <t>www.lixinger.com/analytics/company/hk/00934/934/detail</t>
  </si>
  <si>
    <t>周生生</t>
  </si>
  <si>
    <t>www.lixinger.com/analytics/company/hk/00116/116/detail</t>
  </si>
  <si>
    <t>业聚医疗</t>
  </si>
  <si>
    <t>www.lixinger.com/analytics/company/hk/06929/6929/detail</t>
  </si>
  <si>
    <t>晶苑国际</t>
  </si>
  <si>
    <t>www.lixinger.com/analytics/company/hk/02232/2232/detail</t>
  </si>
  <si>
    <t>世茂服务</t>
  </si>
  <si>
    <t>www.lixinger.com/analytics/company/hk/00873/873/detail</t>
  </si>
  <si>
    <t>柠萌影视</t>
  </si>
  <si>
    <t>www.lixinger.com/analytics/company/hk/09857/9857/detail</t>
  </si>
  <si>
    <t>复宏汉霖</t>
  </si>
  <si>
    <t>www.lixinger.com/analytics/company/hk/02696/2696/detail</t>
  </si>
  <si>
    <t>亚盛医药-B</t>
  </si>
  <si>
    <t>www.lixinger.com/analytics/company/hk/06855/6855/detail</t>
  </si>
  <si>
    <t>国泰君安国际</t>
  </si>
  <si>
    <t>www.lixinger.com/analytics/company/hk/01788/1788/detail</t>
  </si>
  <si>
    <t>赢家时尚</t>
  </si>
  <si>
    <t>www.lixinger.com/analytics/company/hk/03709/3709/detail</t>
  </si>
  <si>
    <t>日清食品</t>
  </si>
  <si>
    <t>www.lixinger.com/analytics/company/hk/01475/1475/detail</t>
  </si>
  <si>
    <t>山水水泥</t>
  </si>
  <si>
    <t>www.lixinger.com/analytics/company/hk/00691/691/detail</t>
  </si>
  <si>
    <t>山高新能源</t>
  </si>
  <si>
    <t>www.lixinger.com/analytics/company/hk/01250/1250/detail</t>
  </si>
  <si>
    <t>顺丰同城</t>
  </si>
  <si>
    <t>www.lixinger.com/analytics/company/hk/09699/9699/detail</t>
  </si>
  <si>
    <t>361度</t>
  </si>
  <si>
    <t>www.lixinger.com/analytics/company/hk/01361/1361/detail</t>
  </si>
  <si>
    <t>龙光集团</t>
  </si>
  <si>
    <t>www.lixinger.com/analytics/company/hk/03380/3380/detail</t>
  </si>
  <si>
    <t>保利置业集团</t>
  </si>
  <si>
    <t>www.lixinger.com/analytics/company/hk/00119/119/detail</t>
  </si>
  <si>
    <t>法拉帝</t>
  </si>
  <si>
    <t>www.lixinger.com/analytics/company/hk/09638/9638/detail</t>
  </si>
  <si>
    <t>富智康集团</t>
  </si>
  <si>
    <t>www.lixinger.com/analytics/company/hk/02038/2038/detail</t>
  </si>
  <si>
    <t>知乎-W</t>
  </si>
  <si>
    <t>www.lixinger.com/analytics/company/hk/02390/2390/detail</t>
  </si>
  <si>
    <t>第七大道</t>
  </si>
  <si>
    <t>www.lixinger.com/analytics/company/hk/00797/797/detail</t>
  </si>
  <si>
    <t>中化化肥</t>
  </si>
  <si>
    <t>www.lixinger.com/analytics/company/hk/00297/297/detail</t>
  </si>
  <si>
    <t>宝龙地产</t>
  </si>
  <si>
    <t>www.lixinger.com/analytics/company/hk/01238/1238/detail</t>
  </si>
  <si>
    <t>伟仕佳杰</t>
  </si>
  <si>
    <t>www.lixinger.com/analytics/company/hk/00856/856/detail</t>
  </si>
  <si>
    <t>沛嘉医疗-B</t>
  </si>
  <si>
    <t>www.lixinger.com/analytics/company/hk/09996/9996/detail</t>
  </si>
  <si>
    <t>欧康维视生物-B</t>
  </si>
  <si>
    <t>www.lixinger.com/analytics/company/hk/01477/1477/detail</t>
  </si>
  <si>
    <t>ITPHOLDINGS</t>
  </si>
  <si>
    <t>www.lixinger.com/analytics/company/hk/08446/8446/detail</t>
  </si>
  <si>
    <t>心通医疗-B</t>
  </si>
  <si>
    <t>www.lixinger.com/analytics/company/hk/02160/2160/detail</t>
  </si>
  <si>
    <t>易鑫集团</t>
  </si>
  <si>
    <t>www.lixinger.com/analytics/company/hk/02858/2858/detail</t>
  </si>
  <si>
    <t>香港宽频</t>
  </si>
  <si>
    <t>www.lixinger.com/analytics/company/hk/01310/1310/detail</t>
  </si>
  <si>
    <t>新华文轩</t>
  </si>
  <si>
    <t>www.lixinger.com/analytics/company/hk/00811/811/detail</t>
  </si>
  <si>
    <t>汇量科技</t>
  </si>
  <si>
    <t>www.lixinger.com/analytics/company/hk/01860/1860/detail</t>
  </si>
  <si>
    <t>华南城</t>
  </si>
  <si>
    <t>www.lixinger.com/analytics/company/hk/01668/1668/detail</t>
  </si>
  <si>
    <t>美图公司</t>
  </si>
  <si>
    <t>www.lixinger.com/analytics/company/hk/01357/1357/detail</t>
  </si>
  <si>
    <t>联合集团</t>
  </si>
  <si>
    <t>www.lixinger.com/analytics/company/hk/00373/373/detail</t>
  </si>
  <si>
    <t>神威药业</t>
  </si>
  <si>
    <t>www.lixinger.com/analytics/company/hk/02877/2877/detail</t>
  </si>
  <si>
    <t>神州控股</t>
  </si>
  <si>
    <t>www.lixinger.com/analytics/company/hk/00861/861/detail</t>
  </si>
  <si>
    <t>绿景中国地产</t>
  </si>
  <si>
    <t>www.lixinger.com/analytics/company/hk/00095/95/detail</t>
  </si>
  <si>
    <t>汇贤产业信托</t>
  </si>
  <si>
    <t>www.lixinger.com/analytics/company/hk/87001/87001/detail</t>
  </si>
  <si>
    <t>医渡科技</t>
  </si>
  <si>
    <t>www.lixinger.com/analytics/company/hk/02158/2158/detail</t>
  </si>
  <si>
    <t>协合新能源</t>
  </si>
  <si>
    <t>www.lixinger.com/analytics/company/hk/00182/182/detail</t>
  </si>
  <si>
    <t>海通恒信</t>
  </si>
  <si>
    <t>www.lixinger.com/analytics/company/hk/01905/1905/detail</t>
  </si>
  <si>
    <t>启明医疗-B</t>
  </si>
  <si>
    <t>www.lixinger.com/analytics/company/hk/02500/2500/detail</t>
  </si>
  <si>
    <t>昊海生物科技</t>
  </si>
  <si>
    <t>www.lixinger.com/analytics/company/hk/06826/6826/detail</t>
  </si>
  <si>
    <t>合景泰富集团</t>
  </si>
  <si>
    <t>www.lixinger.com/analytics/company/hk/01813/1813/detail</t>
  </si>
  <si>
    <t>中国科培</t>
  </si>
  <si>
    <t>www.lixinger.com/analytics/company/hk/01890/1890/detail</t>
  </si>
  <si>
    <t>湾区发展</t>
  </si>
  <si>
    <t>www.lixinger.com/analytics/company/hk/00737/737/detail</t>
  </si>
  <si>
    <t>盛业</t>
  </si>
  <si>
    <t>www.lixinger.com/analytics/company/hk/06069/6069/detail</t>
  </si>
  <si>
    <t>希玛眼科</t>
  </si>
  <si>
    <t>www.lixinger.com/analytics/company/hk/03309/3309/detail</t>
  </si>
  <si>
    <t>秦港股份</t>
  </si>
  <si>
    <t>www.lixinger.com/analytics/company/hk/03369/3369/detail</t>
  </si>
  <si>
    <t>中广核矿业</t>
  </si>
  <si>
    <t>www.lixinger.com/analytics/company/hk/01164/1164/detail</t>
  </si>
  <si>
    <t>雍禾医疗</t>
  </si>
  <si>
    <t>www.lixinger.com/analytics/company/hk/02279/2279/detail</t>
  </si>
  <si>
    <t>哈尔滨电气</t>
  </si>
  <si>
    <t>www.lixinger.com/analytics/company/hk/01133/1133/detail</t>
  </si>
  <si>
    <t>晋商银行</t>
  </si>
  <si>
    <t>www.lixinger.com/analytics/company/hk/02558/2558/detail</t>
  </si>
  <si>
    <t>医脉通</t>
  </si>
  <si>
    <t>www.lixinger.com/analytics/company/hk/02192/2192/detail</t>
  </si>
  <si>
    <t>大新金融</t>
  </si>
  <si>
    <t>www.lixinger.com/analytics/company/hk/00440/440/detail</t>
  </si>
  <si>
    <t>天虹纺织</t>
  </si>
  <si>
    <t>www.lixinger.com/analytics/company/hk/02678/2678/detail</t>
  </si>
  <si>
    <t>海螺环保</t>
  </si>
  <si>
    <t>www.lixinger.com/analytics/company/hk/00587/587/detail</t>
  </si>
  <si>
    <t>特海国际</t>
  </si>
  <si>
    <t>www.lixinger.com/analytics/company/hk/09658/9658/detail</t>
  </si>
  <si>
    <t>方达控股</t>
  </si>
  <si>
    <t>www.lixinger.com/analytics/company/hk/01521/1521/detail</t>
  </si>
  <si>
    <t>春立医疗</t>
  </si>
  <si>
    <t>www.lixinger.com/analytics/company/hk/01858/1858/detail</t>
  </si>
  <si>
    <t>中国龙工</t>
  </si>
  <si>
    <t>www.lixinger.com/analytics/company/hk/03339/3339/detail</t>
  </si>
  <si>
    <t>京基金融国际</t>
  </si>
  <si>
    <t>www.lixinger.com/analytics/company/hk/01468/1468/detail</t>
  </si>
  <si>
    <t>亚洲水泥(中国)</t>
  </si>
  <si>
    <t>www.lixinger.com/analytics/company/hk/00743/743/detail</t>
  </si>
  <si>
    <t>赛生药业</t>
  </si>
  <si>
    <t>www.lixinger.com/analytics/company/hk/06600/6600/detail</t>
  </si>
  <si>
    <t>和记电讯香港</t>
  </si>
  <si>
    <t>www.lixinger.com/analytics/company/hk/00215/215/detail</t>
  </si>
  <si>
    <t>新高教集团</t>
  </si>
  <si>
    <t>www.lixinger.com/analytics/company/hk/02001/2001/detail</t>
  </si>
  <si>
    <t>海通国际</t>
  </si>
  <si>
    <t>www.lixinger.com/analytics/company/hk/00665/665/detail</t>
  </si>
  <si>
    <t>亚美能源</t>
  </si>
  <si>
    <t>www.lixinger.com/analytics/company/hk/02686/2686/detail</t>
  </si>
  <si>
    <t>珠光控股</t>
  </si>
  <si>
    <t>www.lixinger.com/analytics/company/hk/01176/1176/detail</t>
  </si>
  <si>
    <t>新鸿基公司</t>
  </si>
  <si>
    <t>www.lixinger.com/analytics/company/hk/00086/86/detail</t>
  </si>
  <si>
    <t>东阳光药</t>
  </si>
  <si>
    <t>www.lixinger.com/analytics/company/hk/01558/1558/detail</t>
  </si>
  <si>
    <t>中国高速传动</t>
  </si>
  <si>
    <t>www.lixinger.com/analytics/company/hk/00658/658/detail</t>
  </si>
  <si>
    <t>九兴控股</t>
  </si>
  <si>
    <t>www.lixinger.com/analytics/company/hk/01836/1836/detail</t>
  </si>
  <si>
    <t>江西银行</t>
  </si>
  <si>
    <t>www.lixinger.com/analytics/company/hk/01916/1916/detail</t>
  </si>
  <si>
    <t>天安</t>
  </si>
  <si>
    <t>www.lixinger.com/analytics/company/hk/00028/28/detail</t>
  </si>
  <si>
    <t>建发物业</t>
  </si>
  <si>
    <t>www.lixinger.com/analytics/company/hk/02156/2156/detail</t>
  </si>
  <si>
    <t>莎莎国际</t>
  </si>
  <si>
    <t>www.lixinger.com/analytics/company/hk/00178/178/detail</t>
  </si>
  <si>
    <t>基石药业-B</t>
  </si>
  <si>
    <t>www.lixinger.com/analytics/company/hk/02616/2616/detail</t>
  </si>
  <si>
    <t>云顶新耀-B</t>
  </si>
  <si>
    <t>www.lixinger.com/analytics/company/hk/01952/1952/detail</t>
  </si>
  <si>
    <t>越秀服务</t>
  </si>
  <si>
    <t>www.lixinger.com/analytics/company/hk/06626/6626/detail</t>
  </si>
  <si>
    <t>希望教育</t>
  </si>
  <si>
    <t>www.lixinger.com/analytics/company/hk/01765/1765/detail</t>
  </si>
  <si>
    <t>VESYNC</t>
  </si>
  <si>
    <t>www.lixinger.com/analytics/company/hk/02148/2148/detail</t>
  </si>
  <si>
    <t>阳光房地产基金</t>
  </si>
  <si>
    <t>www.lixinger.com/analytics/company/hk/00435/435/detail</t>
  </si>
  <si>
    <t>天立国际控股</t>
  </si>
  <si>
    <t>www.lixinger.com/analytics/company/hk/01773/1773/detail</t>
  </si>
  <si>
    <t>四川成渝高速公路</t>
  </si>
  <si>
    <t>www.lixinger.com/analytics/company/hk/00107/107/detail</t>
  </si>
  <si>
    <t>山东新华制药股份</t>
  </si>
  <si>
    <t>www.lixinger.com/analytics/company/hk/00719/719/detail</t>
  </si>
  <si>
    <t>天福</t>
  </si>
  <si>
    <t>www.lixinger.com/analytics/company/hk/06868/6868/detail</t>
  </si>
  <si>
    <t>惠理集团</t>
  </si>
  <si>
    <t>www.lixinger.com/analytics/company/hk/00806/806/detail</t>
  </si>
  <si>
    <t>理文化工</t>
  </si>
  <si>
    <t>www.lixinger.com/analytics/company/hk/00746/746/detail</t>
  </si>
  <si>
    <t>瑞尔集团</t>
  </si>
  <si>
    <t>www.lixinger.com/analytics/company/hk/06639/6639/detail</t>
  </si>
  <si>
    <t>滨江服务</t>
  </si>
  <si>
    <t>www.lixinger.com/analytics/company/hk/03316/3316/detail</t>
  </si>
  <si>
    <t>湾区发展-R</t>
  </si>
  <si>
    <t>www.lixinger.com/analytics/company/hk/80737/80737/detail</t>
  </si>
  <si>
    <t>腾盛博药-B</t>
  </si>
  <si>
    <t>www.lixinger.com/analytics/company/hk/02137/2137/detail</t>
  </si>
  <si>
    <t>安能物流</t>
  </si>
  <si>
    <t>www.lixinger.com/analytics/company/hk/09956/9956/detail</t>
  </si>
  <si>
    <t>创梦天地</t>
  </si>
  <si>
    <t>www.lixinger.com/analytics/company/hk/01119/1119/detail</t>
  </si>
  <si>
    <t>洛阳玻璃股份</t>
  </si>
  <si>
    <t>www.lixinger.com/analytics/company/hk/01108/1108/detail</t>
  </si>
  <si>
    <t>中国东方集团</t>
  </si>
  <si>
    <t>www.lixinger.com/analytics/company/hk/00581/581/detail</t>
  </si>
  <si>
    <t>先瑞达医疗-B</t>
  </si>
  <si>
    <t>www.lixinger.com/analytics/company/hk/06669/6669/detail</t>
  </si>
  <si>
    <t>MOGHOLDINGS</t>
  </si>
  <si>
    <t>www.lixinger.com/analytics/company/hk/01942/1942/detail</t>
  </si>
  <si>
    <t>百融云-W</t>
  </si>
  <si>
    <t>www.lixinger.com/analytics/company/hk/06608/6608/detail</t>
  </si>
  <si>
    <t>雅士利国际</t>
  </si>
  <si>
    <t>www.lixinger.com/analytics/company/hk/01230/1230/detail</t>
  </si>
  <si>
    <t>中州证券</t>
  </si>
  <si>
    <t>www.lixinger.com/analytics/company/hk/01375/1375/detail</t>
  </si>
  <si>
    <t>数码通电讯</t>
  </si>
  <si>
    <t>www.lixinger.com/analytics/company/hk/00315/315/detail</t>
  </si>
  <si>
    <t>载通</t>
  </si>
  <si>
    <t>www.lixinger.com/analytics/company/hk/00062/62/detail</t>
  </si>
  <si>
    <t>中铝国际</t>
  </si>
  <si>
    <t>www.lixinger.com/analytics/company/hk/02068/2068/detail</t>
  </si>
  <si>
    <t>力高集团</t>
  </si>
  <si>
    <t>www.lixinger.com/analytics/company/hk/01622/1622/detail</t>
  </si>
  <si>
    <t>海港企业</t>
  </si>
  <si>
    <t>www.lixinger.com/analytics/company/hk/00051/51/detail</t>
  </si>
  <si>
    <t>齐鲁高速</t>
  </si>
  <si>
    <t>www.lixinger.com/analytics/company/hk/01576/1576/detail</t>
  </si>
  <si>
    <t>完美医疗</t>
  </si>
  <si>
    <t>www.lixinger.com/analytics/company/hk/01830/1830/detail</t>
  </si>
  <si>
    <t>信德集团</t>
  </si>
  <si>
    <t>www.lixinger.com/analytics/company/hk/00242/242/detail</t>
  </si>
  <si>
    <t>冠城钟表珠宝</t>
  </si>
  <si>
    <t>珠宝钟表</t>
  </si>
  <si>
    <t>www.lixinger.com/analytics/company/hk/00256/256/detail</t>
  </si>
  <si>
    <t>丘钛科技</t>
  </si>
  <si>
    <t>www.lixinger.com/analytics/company/hk/01478/1478/detail</t>
  </si>
  <si>
    <t>澳能建设</t>
  </si>
  <si>
    <t>www.lixinger.com/analytics/company/hk/01183/1183/detail</t>
  </si>
  <si>
    <t>歌礼制药-B</t>
  </si>
  <si>
    <t>www.lixinger.com/analytics/company/hk/01672/1672/detail</t>
  </si>
  <si>
    <t>皇朝家居</t>
  </si>
  <si>
    <t>www.lixinger.com/analytics/company/hk/01198/1198/detail</t>
  </si>
  <si>
    <t>北京能源国际</t>
  </si>
  <si>
    <t>www.lixinger.com/analytics/company/hk/00686/686/detail</t>
  </si>
  <si>
    <t>天津创业环保股份</t>
  </si>
  <si>
    <t>www.lixinger.com/analytics/company/hk/01065/1065/detail</t>
  </si>
  <si>
    <t>圣诺医药-B</t>
  </si>
  <si>
    <t>www.lixinger.com/analytics/company/hk/02257/2257/detail</t>
  </si>
  <si>
    <t>远东发展</t>
  </si>
  <si>
    <t>www.lixinger.com/analytics/company/hk/00035/35/detail</t>
  </si>
  <si>
    <t>香港科技探索</t>
  </si>
  <si>
    <t>www.lixinger.com/analytics/company/hk/01137/1137/detail</t>
  </si>
  <si>
    <t>卓尔智联</t>
  </si>
  <si>
    <t>www.lixinger.com/analytics/company/hk/02098/2098/detail</t>
  </si>
  <si>
    <t>中手游</t>
  </si>
  <si>
    <t>www.lixinger.com/analytics/company/hk/00302/302/detail</t>
  </si>
  <si>
    <t>力量发展</t>
  </si>
  <si>
    <t>www.lixinger.com/analytics/company/hk/01277/1277/detail</t>
  </si>
  <si>
    <t>西部水泥</t>
  </si>
  <si>
    <t>www.lixinger.com/analytics/company/hk/02233/2233/detail</t>
  </si>
  <si>
    <t>中国心连心化肥</t>
  </si>
  <si>
    <t>www.lixinger.com/analytics/company/hk/01866/1866/detail</t>
  </si>
  <si>
    <t>中国投资基金公司</t>
  </si>
  <si>
    <t>www.lixinger.com/analytics/company/hk/00612/612/detail</t>
  </si>
  <si>
    <t>华人置业</t>
  </si>
  <si>
    <t>www.lixinger.com/analytics/company/hk/00127/127/detail</t>
  </si>
  <si>
    <t>江南布衣</t>
  </si>
  <si>
    <t>www.lixinger.com/analytics/company/hk/03306/3306/detail</t>
  </si>
  <si>
    <t>同道猎聘</t>
  </si>
  <si>
    <t>www.lixinger.com/analytics/company/hk/06100/6100/detail</t>
  </si>
  <si>
    <t>中粮包装</t>
  </si>
  <si>
    <t>印刷及包装</t>
  </si>
  <si>
    <t>www.lixinger.com/analytics/company/hk/00906/906/detail</t>
  </si>
  <si>
    <t>环球新材国际</t>
  </si>
  <si>
    <t>www.lixinger.com/analytics/company/hk/06616/6616/detail</t>
  </si>
  <si>
    <t>康德莱医械</t>
  </si>
  <si>
    <t>www.lixinger.com/analytics/company/hk/01501/1501/detail</t>
  </si>
  <si>
    <t>永泰地产</t>
  </si>
  <si>
    <t>www.lixinger.com/analytics/company/hk/00369/369/detail</t>
  </si>
  <si>
    <t>大悦城地产</t>
  </si>
  <si>
    <t>www.lixinger.com/analytics/company/hk/00207/207/detail</t>
  </si>
  <si>
    <t>中国同辐</t>
  </si>
  <si>
    <t>www.lixinger.com/analytics/company/hk/01763/1763/detail</t>
  </si>
  <si>
    <t>华兴资本控股</t>
  </si>
  <si>
    <t>www.lixinger.com/analytics/company/hk/01911/1911/detail</t>
  </si>
  <si>
    <t>翼辰实业</t>
  </si>
  <si>
    <t>www.lixinger.com/analytics/company/hk/01596/1596/detail</t>
  </si>
  <si>
    <t>卓越商企服务</t>
  </si>
  <si>
    <t>www.lixinger.com/analytics/company/hk/06989/6989/detail</t>
  </si>
  <si>
    <t>浪潮国际</t>
  </si>
  <si>
    <t>www.lixinger.com/analytics/company/hk/00596/596/detail</t>
  </si>
  <si>
    <t>开拓药业-B</t>
  </si>
  <si>
    <t>www.lixinger.com/analytics/company/hk/09939/9939/detail</t>
  </si>
  <si>
    <t>中国利郎</t>
  </si>
  <si>
    <t>www.lixinger.com/analytics/company/hk/01234/1234/detail</t>
  </si>
  <si>
    <t>富豪产业信托</t>
  </si>
  <si>
    <t>www.lixinger.com/analytics/company/hk/01881/1881/detail</t>
  </si>
  <si>
    <t>英恒科技</t>
  </si>
  <si>
    <t>www.lixinger.com/analytics/company/hk/01760/1760/detail</t>
  </si>
  <si>
    <t>复锐医疗科技</t>
  </si>
  <si>
    <t>www.lixinger.com/analytics/company/hk/01696/1696/detail</t>
  </si>
  <si>
    <t>中骏集团控股</t>
  </si>
  <si>
    <t>www.lixinger.com/analytics/company/hk/01966/1966/detail</t>
  </si>
  <si>
    <t>维珍妮</t>
  </si>
  <si>
    <t>www.lixinger.com/analytics/company/hk/02199/2199/detail</t>
  </si>
  <si>
    <t>第一拖拉机股份</t>
  </si>
  <si>
    <t>www.lixinger.com/analytics/company/hk/00038/38/detail</t>
  </si>
  <si>
    <t>归创通桥-B</t>
  </si>
  <si>
    <t>www.lixinger.com/analytics/company/hk/02190/2190/detail</t>
  </si>
  <si>
    <t>华众车载</t>
  </si>
  <si>
    <t>www.lixinger.com/analytics/company/hk/06830/6830/detail</t>
  </si>
  <si>
    <t>德林控股</t>
  </si>
  <si>
    <t>www.lixinger.com/analytics/company/hk/01709/1709/detail</t>
  </si>
  <si>
    <t>宝龙商业</t>
  </si>
  <si>
    <t>www.lixinger.com/analytics/company/hk/09909/9909/detail</t>
  </si>
  <si>
    <t>易大宗</t>
  </si>
  <si>
    <t>www.lixinger.com/analytics/company/hk/01733/1733/detail</t>
  </si>
  <si>
    <t>鹰普精密</t>
  </si>
  <si>
    <t>www.lixinger.com/analytics/company/hk/01286/1286/detail</t>
  </si>
  <si>
    <t>云锋金融</t>
  </si>
  <si>
    <t>www.lixinger.com/analytics/company/hk/00376/376/detail</t>
  </si>
  <si>
    <t>中国光大绿色环保</t>
  </si>
  <si>
    <t>www.lixinger.com/analytics/company/hk/01257/1257/detail</t>
  </si>
  <si>
    <t>中国春来</t>
  </si>
  <si>
    <t>www.lixinger.com/analytics/company/hk/01969/1969/detail</t>
  </si>
  <si>
    <t>DYNAMJAPAN</t>
  </si>
  <si>
    <t>www.lixinger.com/analytics/company/hk/06889/6889/detail</t>
  </si>
  <si>
    <t>欢喜传媒</t>
  </si>
  <si>
    <t>www.lixinger.com/analytics/company/hk/01003/1003/detail</t>
  </si>
  <si>
    <t>微泰医疗-B</t>
  </si>
  <si>
    <t>www.lixinger.com/analytics/company/hk/02235/2235/detail</t>
  </si>
  <si>
    <t>澳亚集团</t>
  </si>
  <si>
    <t>www.lixinger.com/analytics/company/hk/02425/2425/detail</t>
  </si>
  <si>
    <t>永安国际</t>
  </si>
  <si>
    <t>www.lixinger.com/analytics/company/hk/00289/289/detail</t>
  </si>
  <si>
    <t>港通控股</t>
  </si>
  <si>
    <t>www.lixinger.com/analytics/company/hk/00032/32/detail</t>
  </si>
  <si>
    <t>建业新生活</t>
  </si>
  <si>
    <t>www.lixinger.com/analytics/company/hk/09983/9983/detail</t>
  </si>
  <si>
    <t>凌雄科技</t>
  </si>
  <si>
    <t>www.lixinger.com/analytics/company/hk/02436/2436/detail</t>
  </si>
  <si>
    <t>宝胜国际</t>
  </si>
  <si>
    <t>www.lixinger.com/analytics/company/hk/03813/3813/detail</t>
  </si>
  <si>
    <t>信义储电</t>
  </si>
  <si>
    <t>www.lixinger.com/analytics/company/hk/08328/8328/detail</t>
  </si>
  <si>
    <t>国美零售</t>
  </si>
  <si>
    <t>家居装修零售商</t>
  </si>
  <si>
    <t>www.lixinger.com/analytics/company/hk/00493/493/detail</t>
  </si>
  <si>
    <t>加科思-B</t>
  </si>
  <si>
    <t>www.lixinger.com/analytics/company/hk/01167/1167/detail</t>
  </si>
  <si>
    <t>中国光大水务</t>
  </si>
  <si>
    <t>www.lixinger.com/analytics/company/hk/01857/1857/detail</t>
  </si>
  <si>
    <t>沧港铁路</t>
  </si>
  <si>
    <t>www.lixinger.com/analytics/company/hk/02169/2169/detail</t>
  </si>
  <si>
    <t>康沣生物-B</t>
  </si>
  <si>
    <t>www.lixinger.com/analytics/company/hk/06922/6922/detail</t>
  </si>
  <si>
    <t>中汇集团</t>
  </si>
  <si>
    <t>www.lixinger.com/analytics/company/hk/00382/382/detail</t>
  </si>
  <si>
    <t>信利国际</t>
  </si>
  <si>
    <t>www.lixinger.com/analytics/company/hk/00732/732/detail</t>
  </si>
  <si>
    <t>天伦燃气</t>
  </si>
  <si>
    <t>www.lixinger.com/analytics/company/hk/01600/1600/detail</t>
  </si>
  <si>
    <t>中国建筑兴业</t>
  </si>
  <si>
    <t>www.lixinger.com/analytics/company/hk/00830/830/detail</t>
  </si>
  <si>
    <t>中国有赞</t>
  </si>
  <si>
    <t>www.lixinger.com/analytics/company/hk/08083/8083/detail</t>
  </si>
  <si>
    <t>华领医药-B</t>
  </si>
  <si>
    <t>www.lixinger.com/analytics/company/hk/02552/2552/detail</t>
  </si>
  <si>
    <t>中骏商管</t>
  </si>
  <si>
    <t>www.lixinger.com/analytics/company/hk/00606/606/detail</t>
  </si>
  <si>
    <t>金利丰金融</t>
  </si>
  <si>
    <t>www.lixinger.com/analytics/company/hk/01031/1031/detail</t>
  </si>
  <si>
    <t>浦林成山</t>
  </si>
  <si>
    <t>www.lixinger.com/analytics/company/hk/01809/1809/detail</t>
  </si>
  <si>
    <t>京信通信</t>
  </si>
  <si>
    <t>www.lixinger.com/analytics/company/hk/02342/2342/detail</t>
  </si>
  <si>
    <t>远大住工</t>
  </si>
  <si>
    <t>www.lixinger.com/analytics/company/hk/02163/2163/detail</t>
  </si>
  <si>
    <t>乐享集团</t>
  </si>
  <si>
    <t>www.lixinger.com/analytics/company/hk/06988/6988/detail</t>
  </si>
  <si>
    <t>慕尚集团控股</t>
  </si>
  <si>
    <t>www.lixinger.com/analytics/company/hk/01817/1817/detail</t>
  </si>
  <si>
    <t>互太纺织</t>
  </si>
  <si>
    <t>www.lixinger.com/analytics/company/hk/01382/1382/detail</t>
  </si>
  <si>
    <t>三宝科技</t>
  </si>
  <si>
    <t>www.lixinger.com/analytics/company/hk/01708/1708/detail</t>
  </si>
  <si>
    <t>华科资本</t>
  </si>
  <si>
    <t>www.lixinger.com/analytics/company/hk/01140/1140/detail</t>
  </si>
  <si>
    <t>金茂服务</t>
  </si>
  <si>
    <t>www.lixinger.com/analytics/company/hk/00816/816/detail</t>
  </si>
  <si>
    <t>中远海运国际</t>
  </si>
  <si>
    <t>www.lixinger.com/analytics/company/hk/00517/517/detail</t>
  </si>
  <si>
    <t>朗廷-SS</t>
  </si>
  <si>
    <t>www.lixinger.com/analytics/company/hk/01270/1270/detail</t>
  </si>
  <si>
    <t>兴发铝业</t>
  </si>
  <si>
    <t>www.lixinger.com/analytics/company/hk/00098/98/detail</t>
  </si>
  <si>
    <t>香港兴业国际</t>
  </si>
  <si>
    <t>www.lixinger.com/analytics/company/hk/00480/480/detail</t>
  </si>
  <si>
    <t>陈唱国际</t>
  </si>
  <si>
    <t>www.lixinger.com/analytics/company/hk/00693/693/detail</t>
  </si>
  <si>
    <t>春泉产业信托</t>
  </si>
  <si>
    <t>www.lixinger.com/analytics/company/hk/01426/1426/detail</t>
  </si>
  <si>
    <t>青瓷游戏</t>
  </si>
  <si>
    <t>www.lixinger.com/analytics/company/hk/06633/6633/detail</t>
  </si>
  <si>
    <t>哈尔滨银行</t>
  </si>
  <si>
    <t>www.lixinger.com/analytics/company/hk/06138/6138/detail</t>
  </si>
  <si>
    <t>合景悠活</t>
  </si>
  <si>
    <t>www.lixinger.com/analytics/company/hk/03913/3913/detail</t>
  </si>
  <si>
    <t>绿色动力环保</t>
  </si>
  <si>
    <t>www.lixinger.com/analytics/company/hk/01330/1330/detail</t>
  </si>
  <si>
    <t>谭仔国际</t>
  </si>
  <si>
    <t>www.lixinger.com/analytics/company/hk/02217/2217/detail</t>
  </si>
  <si>
    <t>达力普控股</t>
  </si>
  <si>
    <t>www.lixinger.com/analytics/company/hk/01921/1921/detail</t>
  </si>
  <si>
    <t>天津港发展</t>
  </si>
  <si>
    <t>www.lixinger.com/analytics/company/hk/03382/3382/detail</t>
  </si>
  <si>
    <t>洪桥集团</t>
  </si>
  <si>
    <t>www.lixinger.com/analytics/company/hk/08137/8137/detail</t>
  </si>
  <si>
    <t>德琪医药-B</t>
  </si>
  <si>
    <t>www.lixinger.com/analytics/company/hk/06996/6996/detail</t>
  </si>
  <si>
    <t>IGG</t>
  </si>
  <si>
    <t>www.lixinger.com/analytics/company/hk/00799/799/detail</t>
  </si>
  <si>
    <t>大众公用</t>
  </si>
  <si>
    <t>www.lixinger.com/analytics/company/hk/01635/1635/detail</t>
  </si>
  <si>
    <t>维亚生物</t>
  </si>
  <si>
    <t>www.lixinger.com/analytics/company/hk/01873/1873/detail</t>
  </si>
  <si>
    <t>C-LINKSQ</t>
  </si>
  <si>
    <t>www.lixinger.com/analytics/company/hk/01463/1463/detail</t>
  </si>
  <si>
    <t>耀才证券金融</t>
  </si>
  <si>
    <t>www.lixinger.com/analytics/company/hk/01428/1428/detail</t>
  </si>
  <si>
    <t>三叶草生物-B</t>
  </si>
  <si>
    <t>www.lixinger.com/analytics/company/hk/02197/2197/detail</t>
  </si>
  <si>
    <t>亚洲金融</t>
  </si>
  <si>
    <t>www.lixinger.com/analytics/company/hk/00662/662/detail</t>
  </si>
  <si>
    <t>康臣药业</t>
  </si>
  <si>
    <t>www.lixinger.com/analytics/company/hk/01681/1681/detail</t>
  </si>
  <si>
    <t>南京熊猫电子股份</t>
  </si>
  <si>
    <t>www.lixinger.com/analytics/company/hk/00553/553/detail</t>
  </si>
  <si>
    <t>中信资源</t>
  </si>
  <si>
    <t>www.lixinger.com/analytics/company/hk/01205/1205/detail</t>
  </si>
  <si>
    <t>凯联国际酒店</t>
  </si>
  <si>
    <t>www.lixinger.com/analytics/company/hk/00105/105/detail</t>
  </si>
  <si>
    <t>中华汽车</t>
  </si>
  <si>
    <t>www.lixinger.com/analytics/company/hk/00026/26/detail</t>
  </si>
  <si>
    <t>祖龙娱乐</t>
  </si>
  <si>
    <t>www.lixinger.com/analytics/company/hk/09990/9990/detail</t>
  </si>
  <si>
    <t>成都高速</t>
  </si>
  <si>
    <t>www.lixinger.com/analytics/company/hk/01785/1785/detail</t>
  </si>
  <si>
    <t>香港潮商集团</t>
  </si>
  <si>
    <t>www.lixinger.com/analytics/company/hk/02322/2322/detail</t>
  </si>
  <si>
    <t>中国飞机租赁</t>
  </si>
  <si>
    <t>www.lixinger.com/analytics/company/hk/01848/1848/detail</t>
  </si>
  <si>
    <t>汤臣集团</t>
  </si>
  <si>
    <t>www.lixinger.com/analytics/company/hk/00258/258/detail</t>
  </si>
  <si>
    <t>中庆股份</t>
  </si>
  <si>
    <t>www.lixinger.com/analytics/company/hk/01855/1855/detail</t>
  </si>
  <si>
    <t>朝聚眼科</t>
  </si>
  <si>
    <t>www.lixinger.com/analytics/company/hk/02219/2219/detail</t>
  </si>
  <si>
    <t>中国互联网投资</t>
  </si>
  <si>
    <t>www.lixinger.com/analytics/company/hk/00810/810/detail</t>
  </si>
  <si>
    <t>上实城市开发</t>
  </si>
  <si>
    <t>www.lixinger.com/analytics/company/hk/00563/563/detail</t>
  </si>
  <si>
    <t>国锐地产</t>
  </si>
  <si>
    <t>www.lixinger.com/analytics/company/hk/00108/108/detail</t>
  </si>
  <si>
    <t>时代中国控股</t>
  </si>
  <si>
    <t>www.lixinger.com/analytics/company/hk/01233/1233/detail</t>
  </si>
  <si>
    <t>华音国际控股</t>
  </si>
  <si>
    <t>www.lixinger.com/analytics/company/hk/00989/989/detail</t>
  </si>
  <si>
    <t>众诚能源</t>
  </si>
  <si>
    <t>www.lixinger.com/analytics/company/hk/02337/2337/detail</t>
  </si>
  <si>
    <t>泓富产业信托</t>
  </si>
  <si>
    <t>www.lixinger.com/analytics/company/hk/00808/808/detail</t>
  </si>
  <si>
    <t>北京北辰实业股份</t>
  </si>
  <si>
    <t>www.lixinger.com/analytics/company/hk/00588/588/detail</t>
  </si>
  <si>
    <t>中国波顿</t>
  </si>
  <si>
    <t>www.lixinger.com/analytics/company/hk/03318/3318/detail</t>
  </si>
  <si>
    <t>禹洲集团</t>
  </si>
  <si>
    <t>www.lixinger.com/analytics/company/hk/01628/1628/detail</t>
  </si>
  <si>
    <t>绿新亲水胶体</t>
  </si>
  <si>
    <t>www.lixinger.com/analytics/company/hk/01084/1084/detail</t>
  </si>
  <si>
    <t>中电光谷</t>
  </si>
  <si>
    <t>www.lixinger.com/analytics/company/hk/00798/798/detail</t>
  </si>
  <si>
    <t>嘉利国际</t>
  </si>
  <si>
    <t>www.lixinger.com/analytics/company/hk/01050/1050/detail</t>
  </si>
  <si>
    <t>恒宇集团</t>
  </si>
  <si>
    <t>www.lixinger.com/analytics/company/hk/02448/2448/detail</t>
  </si>
  <si>
    <t>路劲</t>
  </si>
  <si>
    <t>www.lixinger.com/analytics/company/hk/01098/1098/detail</t>
  </si>
  <si>
    <t>美因基因</t>
  </si>
  <si>
    <t>www.lixinger.com/analytics/company/hk/06667/6667/detail</t>
  </si>
  <si>
    <t>亿都(国际控股)</t>
  </si>
  <si>
    <t>www.lixinger.com/analytics/company/hk/00259/259/detail</t>
  </si>
  <si>
    <t>富汇国际集团控股</t>
  </si>
  <si>
    <t>www.lixinger.com/analytics/company/hk/01034/1034/detail</t>
  </si>
  <si>
    <t>大唐环境</t>
  </si>
  <si>
    <t>www.lixinger.com/analytics/company/hk/01272/1272/detail</t>
  </si>
  <si>
    <t>丰盛控股</t>
  </si>
  <si>
    <t>www.lixinger.com/analytics/company/hk/00607/607/detail</t>
  </si>
  <si>
    <t>德信服务集团</t>
  </si>
  <si>
    <t>www.lixinger.com/analytics/company/hk/02215/2215/detail</t>
  </si>
  <si>
    <t>五菱汽车</t>
  </si>
  <si>
    <t>www.lixinger.com/analytics/company/hk/00305/305/detail</t>
  </si>
  <si>
    <t>香港小轮(集团)</t>
  </si>
  <si>
    <t>www.lixinger.com/analytics/company/hk/00050/50/detail</t>
  </si>
  <si>
    <t>上海先锋控股</t>
  </si>
  <si>
    <t>www.lixinger.com/analytics/company/hk/01345/1345/detail</t>
  </si>
  <si>
    <t>子不语</t>
  </si>
  <si>
    <t>www.lixinger.com/analytics/company/hk/02420/2420/detail</t>
  </si>
  <si>
    <t>亚博科技控股</t>
  </si>
  <si>
    <t>www.lixinger.com/analytics/company/hk/08279/8279/detail</t>
  </si>
  <si>
    <t>富豪酒店</t>
  </si>
  <si>
    <t>www.lixinger.com/analytics/company/hk/00078/78/detail</t>
  </si>
  <si>
    <t>赛晶科技</t>
  </si>
  <si>
    <t>www.lixinger.com/analytics/company/hk/00580/580/detail</t>
  </si>
  <si>
    <t>远洋服务</t>
  </si>
  <si>
    <t>www.lixinger.com/analytics/company/hk/06677/6677/detail</t>
  </si>
  <si>
    <t>新疆新鑫矿业</t>
  </si>
  <si>
    <t>www.lixinger.com/analytics/company/hk/03833/3833/detail</t>
  </si>
  <si>
    <t>中梁控股</t>
  </si>
  <si>
    <t>www.lixinger.com/analytics/company/hk/02772/2772/detail</t>
  </si>
  <si>
    <t>今海国际</t>
  </si>
  <si>
    <t>www.lixinger.com/analytics/company/hk/02225/2225/detail</t>
  </si>
  <si>
    <t>廖创兴企业</t>
  </si>
  <si>
    <t>www.lixinger.com/analytics/company/hk/00194/194/detail</t>
  </si>
  <si>
    <t>读书郎</t>
  </si>
  <si>
    <t>www.lixinger.com/analytics/company/hk/02385/2385/detail</t>
  </si>
  <si>
    <t>津上机床中国</t>
  </si>
  <si>
    <t>www.lixinger.com/analytics/company/hk/01651/1651/detail</t>
  </si>
  <si>
    <t>上海实业环境</t>
  </si>
  <si>
    <t>www.lixinger.com/analytics/company/hk/00807/807/detail</t>
  </si>
  <si>
    <t>万邦投资</t>
  </si>
  <si>
    <t>www.lixinger.com/analytics/company/hk/00158/158/detail</t>
  </si>
  <si>
    <t>汇聚科技</t>
  </si>
  <si>
    <t>www.lixinger.com/analytics/company/hk/01729/1729/detail</t>
  </si>
  <si>
    <t>佐丹奴国际</t>
  </si>
  <si>
    <t>www.lixinger.com/analytics/company/hk/00709/709/detail</t>
  </si>
  <si>
    <t>世纪睿科</t>
  </si>
  <si>
    <t>www.lixinger.com/analytics/company/hk/01450/1450/detail</t>
  </si>
  <si>
    <t>招商局置地</t>
  </si>
  <si>
    <t>www.lixinger.com/analytics/company/hk/00978/978/detail</t>
  </si>
  <si>
    <t>IMAX中国</t>
  </si>
  <si>
    <t>www.lixinger.com/analytics/company/hk/01970/1970/detail</t>
  </si>
  <si>
    <t>中国圣牧</t>
  </si>
  <si>
    <t>www.lixinger.com/analytics/company/hk/01432/1432/detail</t>
  </si>
  <si>
    <t>康圣环球</t>
  </si>
  <si>
    <t>www.lixinger.com/analytics/company/hk/09960/9960/detail</t>
  </si>
  <si>
    <t>中电华大科技</t>
  </si>
  <si>
    <t>www.lixinger.com/analytics/company/hk/00085/85/detail</t>
  </si>
  <si>
    <t>正商实业</t>
  </si>
  <si>
    <t>www.lixinger.com/analytics/company/hk/00185/185/detail</t>
  </si>
  <si>
    <t>城建设计</t>
  </si>
  <si>
    <t>www.lixinger.com/analytics/company/hk/01599/1599/detail</t>
  </si>
  <si>
    <t>兴达国际</t>
  </si>
  <si>
    <t>www.lixinger.com/analytics/company/hk/01899/1899/detail</t>
  </si>
  <si>
    <t>威胜控股</t>
  </si>
  <si>
    <t>www.lixinger.com/analytics/company/hk/03393/3393/detail</t>
  </si>
  <si>
    <t>大昌集团</t>
  </si>
  <si>
    <t>www.lixinger.com/analytics/company/hk/00088/88/detail</t>
  </si>
  <si>
    <t>新沣集团</t>
  </si>
  <si>
    <t>www.lixinger.com/analytics/company/hk/01223/1223/detail</t>
  </si>
  <si>
    <t>澳门励骏</t>
  </si>
  <si>
    <t>www.lixinger.com/analytics/company/hk/01680/1680/detail</t>
  </si>
  <si>
    <t>大众金融控股</t>
  </si>
  <si>
    <t>www.lixinger.com/analytics/company/hk/00626/626/detail</t>
  </si>
  <si>
    <t>兆邦基地产</t>
  </si>
  <si>
    <t>www.lixinger.com/analytics/company/hk/01660/1660/detail</t>
  </si>
  <si>
    <t>华检医疗</t>
  </si>
  <si>
    <t>www.lixinger.com/analytics/company/hk/01931/1931/detail</t>
  </si>
  <si>
    <t>新矿资源</t>
  </si>
  <si>
    <t>www.lixinger.com/analytics/company/hk/01231/1231/detail</t>
  </si>
  <si>
    <t>庆铃汽车股份</t>
  </si>
  <si>
    <t>www.lixinger.com/analytics/company/hk/01122/1122/detail</t>
  </si>
  <si>
    <t>花房集团</t>
  </si>
  <si>
    <t>www.lixinger.com/analytics/company/hk/03611/3611/detail</t>
  </si>
  <si>
    <t>南顺(香港)</t>
  </si>
  <si>
    <t>www.lixinger.com/analytics/company/hk/00411/411/detail</t>
  </si>
  <si>
    <t>TOM集团</t>
  </si>
  <si>
    <t>www.lixinger.com/analytics/company/hk/02383/2383/detail</t>
  </si>
  <si>
    <t>康健国际医疗</t>
  </si>
  <si>
    <t>www.lixinger.com/analytics/company/hk/03886/3886/detail</t>
  </si>
  <si>
    <t>硬蛋创新</t>
  </si>
  <si>
    <t>www.lixinger.com/analytics/company/hk/00400/400/detail</t>
  </si>
  <si>
    <t>英皇国际</t>
  </si>
  <si>
    <t>www.lixinger.com/analytics/company/hk/00163/163/detail</t>
  </si>
  <si>
    <t>宝尊电商-W</t>
  </si>
  <si>
    <t>www.lixinger.com/analytics/company/hk/09991/9991/detail</t>
  </si>
  <si>
    <t>丰盛生活服务</t>
  </si>
  <si>
    <t>www.lixinger.com/analytics/company/hk/00331/331/detail</t>
  </si>
  <si>
    <t>明发集团</t>
  </si>
  <si>
    <t>www.lixinger.com/analytics/company/hk/00846/846/detail</t>
  </si>
  <si>
    <t>INFINITYL&amp;T</t>
  </si>
  <si>
    <t>www.lixinger.com/analytics/company/hk/01442/1442/detail</t>
  </si>
  <si>
    <t>重庆机电</t>
  </si>
  <si>
    <t>www.lixinger.com/analytics/company/hk/02722/2722/detail</t>
  </si>
  <si>
    <t>中盈盛达融资担保</t>
  </si>
  <si>
    <t>www.lixinger.com/analytics/company/hk/01543/1543/detail</t>
  </si>
  <si>
    <t>永泰生物-B</t>
  </si>
  <si>
    <t>www.lixinger.com/analytics/company/hk/06978/6978/detail</t>
  </si>
  <si>
    <t>思捷环球</t>
  </si>
  <si>
    <t>www.lixinger.com/analytics/company/hk/00330/330/detail</t>
  </si>
  <si>
    <t>时捷集团</t>
  </si>
  <si>
    <t>www.lixinger.com/analytics/company/hk/01184/1184/detail</t>
  </si>
  <si>
    <t>朝云集团</t>
  </si>
  <si>
    <t>www.lixinger.com/analytics/company/hk/06601/6601/detail</t>
  </si>
  <si>
    <t>顺丰房托</t>
  </si>
  <si>
    <t>www.lixinger.com/analytics/company/hk/02191/2191/detail</t>
  </si>
  <si>
    <t>高阳科技</t>
  </si>
  <si>
    <t>www.lixinger.com/analytics/company/hk/00818/818/detail</t>
  </si>
  <si>
    <t>中康控股</t>
  </si>
  <si>
    <t>www.lixinger.com/analytics/company/hk/02361/2361/detail</t>
  </si>
  <si>
    <t>嘉泓物流</t>
  </si>
  <si>
    <t>www.lixinger.com/analytics/company/hk/02130/2130/detail</t>
  </si>
  <si>
    <t>和铂医药-B</t>
  </si>
  <si>
    <t>www.lixinger.com/analytics/company/hk/02142/2142/detail</t>
  </si>
  <si>
    <t>亿胜生物科技</t>
  </si>
  <si>
    <t>www.lixinger.com/analytics/company/hk/01061/1061/detail</t>
  </si>
  <si>
    <t>东软教育</t>
  </si>
  <si>
    <t>www.lixinger.com/analytics/company/hk/09616/9616/detail</t>
  </si>
  <si>
    <t>水发兴业能源</t>
  </si>
  <si>
    <t>www.lixinger.com/analytics/company/hk/00750/750/detail</t>
  </si>
  <si>
    <t>德信中国</t>
  </si>
  <si>
    <t>www.lixinger.com/analytics/company/hk/02019/2019/detail</t>
  </si>
  <si>
    <t>蒙古焦煤</t>
  </si>
  <si>
    <t>www.lixinger.com/analytics/company/hk/00975/975/detail</t>
  </si>
  <si>
    <t>北控城市资源</t>
  </si>
  <si>
    <t>www.lixinger.com/analytics/company/hk/03718/3718/detail</t>
  </si>
  <si>
    <t>APOLLO出行</t>
  </si>
  <si>
    <t>www.lixinger.com/analytics/company/hk/00860/860/detail</t>
  </si>
  <si>
    <t>首创环境</t>
  </si>
  <si>
    <t>www.lixinger.com/analytics/company/hk/03989/3989/detail</t>
  </si>
  <si>
    <t>现代牙科</t>
  </si>
  <si>
    <t>www.lixinger.com/analytics/company/hk/03600/3600/detail</t>
  </si>
  <si>
    <t>珩湾科技</t>
  </si>
  <si>
    <t>www.lixinger.com/analytics/company/hk/01523/1523/detail</t>
  </si>
  <si>
    <t>招商局商业房托</t>
  </si>
  <si>
    <t>www.lixinger.com/analytics/company/hk/01503/1503/detail</t>
  </si>
  <si>
    <t>赤子城科技</t>
  </si>
  <si>
    <t>www.lixinger.com/analytics/company/hk/09911/9911/detail</t>
  </si>
  <si>
    <t>美力时集团</t>
  </si>
  <si>
    <t>www.lixinger.com/analytics/company/hk/01005/1005/detail</t>
  </si>
  <si>
    <t>中智全球</t>
  </si>
  <si>
    <t>www.lixinger.com/analytics/company/hk/06819/6819/detail</t>
  </si>
  <si>
    <t>达力集团</t>
  </si>
  <si>
    <t>www.lixinger.com/analytics/company/hk/00029/29/detail</t>
  </si>
  <si>
    <t>信邦控股</t>
  </si>
  <si>
    <t>www.lixinger.com/analytics/company/hk/01571/1571/detail</t>
  </si>
  <si>
    <t>大明国际</t>
  </si>
  <si>
    <t>www.lixinger.com/analytics/company/hk/01090/1090/detail</t>
  </si>
  <si>
    <t>万马控股</t>
  </si>
  <si>
    <t>www.lixinger.com/analytics/company/hk/06928/6928/detail</t>
  </si>
  <si>
    <t>德银天下</t>
  </si>
  <si>
    <t>www.lixinger.com/analytics/company/hk/02418/2418/detail</t>
  </si>
  <si>
    <t>安德利果汁</t>
  </si>
  <si>
    <t>www.lixinger.com/analytics/company/hk/02218/2218/detail</t>
  </si>
  <si>
    <t>山东墨龙</t>
  </si>
  <si>
    <t>www.lixinger.com/analytics/company/hk/00568/568/detail</t>
  </si>
  <si>
    <t>映宇宙</t>
  </si>
  <si>
    <t>广播</t>
  </si>
  <si>
    <t>www.lixinger.com/analytics/company/hk/03700/3700/detail</t>
  </si>
  <si>
    <t>天润云</t>
  </si>
  <si>
    <t>www.lixinger.com/analytics/company/hk/02167/2167/detail</t>
  </si>
  <si>
    <t>中原建业</t>
  </si>
  <si>
    <t>www.lixinger.com/analytics/company/hk/09982/9982/detail</t>
  </si>
  <si>
    <t>辰林教育</t>
  </si>
  <si>
    <t>www.lixinger.com/analytics/company/hk/01593/1593/detail</t>
  </si>
  <si>
    <t>裕承科金</t>
  </si>
  <si>
    <t>www.lixinger.com/analytics/company/hk/00279/279/detail</t>
  </si>
  <si>
    <t>东江环保</t>
  </si>
  <si>
    <t>www.lixinger.com/analytics/company/hk/00895/895/detail</t>
  </si>
  <si>
    <t>华夏视听教育</t>
  </si>
  <si>
    <t>www.lixinger.com/analytics/company/hk/01981/1981/detail</t>
  </si>
  <si>
    <t>阳光纸业</t>
  </si>
  <si>
    <t>www.lixinger.com/analytics/company/hk/02002/2002/detail</t>
  </si>
  <si>
    <t>鹰美</t>
  </si>
  <si>
    <t>www.lixinger.com/analytics/company/hk/02368/2368/detail</t>
  </si>
  <si>
    <t>南方锰业</t>
  </si>
  <si>
    <t>www.lixinger.com/analytics/company/hk/01091/1091/detail</t>
  </si>
  <si>
    <t>快狗打车</t>
  </si>
  <si>
    <t>www.lixinger.com/analytics/company/hk/02246/2246/detail</t>
  </si>
  <si>
    <t>华南职业教育</t>
  </si>
  <si>
    <t>www.lixinger.com/analytics/company/hk/06913/6913/detail</t>
  </si>
  <si>
    <t>其士国际</t>
  </si>
  <si>
    <t>www.lixinger.com/analytics/company/hk/00025/25/detail</t>
  </si>
  <si>
    <t>星盛商业</t>
  </si>
  <si>
    <t>www.lixinger.com/analytics/company/hk/06668/6668/detail</t>
  </si>
  <si>
    <t>国际家居零售</t>
  </si>
  <si>
    <t>www.lixinger.com/analytics/company/hk/01373/1373/detail</t>
  </si>
  <si>
    <t>融信服务</t>
  </si>
  <si>
    <t>www.lixinger.com/analytics/company/hk/02207/2207/detail</t>
  </si>
  <si>
    <t>和誉-B</t>
  </si>
  <si>
    <t>www.lixinger.com/analytics/company/hk/02256/2256/detail</t>
  </si>
  <si>
    <t>中国新城市</t>
  </si>
  <si>
    <t>www.lixinger.com/analytics/company/hk/01321/1321/detail</t>
  </si>
  <si>
    <t>百得利控股</t>
  </si>
  <si>
    <t>www.lixinger.com/analytics/company/hk/06909/6909/detail</t>
  </si>
  <si>
    <t>滨海投资</t>
  </si>
  <si>
    <t>www.lixinger.com/analytics/company/hk/02886/2886/detail</t>
  </si>
  <si>
    <t>友谊时光</t>
  </si>
  <si>
    <t>www.lixinger.com/analytics/company/hk/06820/6820/detail</t>
  </si>
  <si>
    <t>优品360</t>
  </si>
  <si>
    <t>www.lixinger.com/analytics/company/hk/02360/2360/detail</t>
  </si>
  <si>
    <t>民生教育</t>
  </si>
  <si>
    <t>www.lixinger.com/analytics/company/hk/01569/1569/detail</t>
  </si>
  <si>
    <t>宝业集团</t>
  </si>
  <si>
    <t>www.lixinger.com/analytics/company/hk/02355/2355/detail</t>
  </si>
  <si>
    <t>智勤控股</t>
  </si>
  <si>
    <t>www.lixinger.com/analytics/company/hk/09913/9913/detail</t>
  </si>
  <si>
    <t>凤祥股份</t>
  </si>
  <si>
    <t>www.lixinger.com/analytics/company/hk/09977/9977/detail</t>
  </si>
  <si>
    <t>优矩控股</t>
  </si>
  <si>
    <t>www.lixinger.com/analytics/company/hk/01948/1948/detail</t>
  </si>
  <si>
    <t>绿地香港</t>
  </si>
  <si>
    <t>www.lixinger.com/analytics/company/hk/00337/337/detail</t>
  </si>
  <si>
    <t>福禄控股</t>
  </si>
  <si>
    <t>www.lixinger.com/analytics/company/hk/02101/2101/detail</t>
  </si>
  <si>
    <t>信和酒店</t>
  </si>
  <si>
    <t>www.lixinger.com/analytics/company/hk/01221/1221/detail</t>
  </si>
  <si>
    <t>东方表行集团</t>
  </si>
  <si>
    <t>www.lixinger.com/analytics/company/hk/00398/398/detail</t>
  </si>
  <si>
    <t>昊天国际建投</t>
  </si>
  <si>
    <t>www.lixinger.com/analytics/company/hk/01341/1341/detail</t>
  </si>
  <si>
    <t>Aeon信贷</t>
  </si>
  <si>
    <t>www.lixinger.com/analytics/company/hk/00900/900/detail</t>
  </si>
  <si>
    <t>百利保控股</t>
  </si>
  <si>
    <t>www.lixinger.com/analytics/company/hk/00617/617/detail</t>
  </si>
  <si>
    <t>爪哇控股</t>
  </si>
  <si>
    <t>www.lixinger.com/analytics/company/hk/00251/251/detail</t>
  </si>
  <si>
    <t>景业名邦集团</t>
  </si>
  <si>
    <t>www.lixinger.com/analytics/company/hk/02231/2231/detail</t>
  </si>
  <si>
    <t>帝国科技集团</t>
  </si>
  <si>
    <t>www.lixinger.com/analytics/company/hk/00776/776/detail</t>
  </si>
  <si>
    <t>纷美包装</t>
  </si>
  <si>
    <t>www.lixinger.com/analytics/company/hk/00468/468/detail</t>
  </si>
  <si>
    <t>康耐特光学</t>
  </si>
  <si>
    <t>www.lixinger.com/analytics/company/hk/02276/2276/detail</t>
  </si>
  <si>
    <t>和泓服务</t>
  </si>
  <si>
    <t>www.lixinger.com/analytics/company/hk/06093/6093/detail</t>
  </si>
  <si>
    <t>润歌互动</t>
  </si>
  <si>
    <t>www.lixinger.com/analytics/company/hk/02422/2422/detail</t>
  </si>
  <si>
    <t>金朝阳集团</t>
  </si>
  <si>
    <t>www.lixinger.com/analytics/company/hk/00878/878/detail</t>
  </si>
  <si>
    <t>中国天然气</t>
  </si>
  <si>
    <t>www.lixinger.com/analytics/company/hk/00931/931/detail</t>
  </si>
  <si>
    <t>中国动向</t>
  </si>
  <si>
    <t>www.lixinger.com/analytics/company/hk/03818/3818/detail</t>
  </si>
  <si>
    <t>华谊腾讯娱乐</t>
  </si>
  <si>
    <t>www.lixinger.com/analytics/company/hk/00419/419/detail</t>
  </si>
  <si>
    <t>亚太卫星</t>
  </si>
  <si>
    <t>www.lixinger.com/analytics/company/hk/01045/1045/detail</t>
  </si>
  <si>
    <t>本间高尔夫</t>
  </si>
  <si>
    <t>www.lixinger.com/analytics/company/hk/06858/6858/detail</t>
  </si>
  <si>
    <t>香港航天科技</t>
  </si>
  <si>
    <t>www.lixinger.com/analytics/company/hk/01725/1725/detail</t>
  </si>
  <si>
    <t>魏桥纺织</t>
  </si>
  <si>
    <t>www.lixinger.com/analytics/company/hk/02698/2698/detail</t>
  </si>
  <si>
    <t>玄武云</t>
  </si>
  <si>
    <t>www.lixinger.com/analytics/company/hk/02392/2392/detail</t>
  </si>
  <si>
    <t>理士国际</t>
  </si>
  <si>
    <t>www.lixinger.com/analytics/company/hk/00842/842/detail</t>
  </si>
  <si>
    <t>满贯集团</t>
  </si>
  <si>
    <t>www.lixinger.com/analytics/company/hk/03390/3390/detail</t>
  </si>
  <si>
    <t>亨鑫科技</t>
  </si>
  <si>
    <t>www.lixinger.com/analytics/company/hk/01085/1085/detail</t>
  </si>
  <si>
    <t>智欣集团控股</t>
  </si>
  <si>
    <t>www.lixinger.com/analytics/company/hk/02187/2187/detail</t>
  </si>
  <si>
    <t>正荣地产</t>
  </si>
  <si>
    <t>www.lixinger.com/analytics/company/hk/06158/6158/detail</t>
  </si>
  <si>
    <t>叶氏化工集团</t>
  </si>
  <si>
    <t>www.lixinger.com/analytics/company/hk/00408/408/detail</t>
  </si>
  <si>
    <t>东建国际</t>
  </si>
  <si>
    <t>www.lixinger.com/analytics/company/hk/00329/329/detail</t>
  </si>
  <si>
    <t>东瑞制药</t>
  </si>
  <si>
    <t>www.lixinger.com/analytics/company/hk/02348/2348/detail</t>
  </si>
  <si>
    <t>超威动力</t>
  </si>
  <si>
    <t>www.lixinger.com/analytics/company/hk/00951/951/detail</t>
  </si>
  <si>
    <t>槟杰科达</t>
  </si>
  <si>
    <t>www.lixinger.com/analytics/company/hk/01665/1665/detail</t>
  </si>
  <si>
    <t>正通汽车</t>
  </si>
  <si>
    <t>www.lixinger.com/analytics/company/hk/01728/1728/detail</t>
  </si>
  <si>
    <t>融信中国</t>
  </si>
  <si>
    <t>www.lixinger.com/analytics/company/hk/03301/3301/detail</t>
  </si>
  <si>
    <t>栢能集团</t>
  </si>
  <si>
    <t>www.lixinger.com/analytics/company/hk/01263/1263/detail</t>
  </si>
  <si>
    <t>天德化工</t>
  </si>
  <si>
    <t>www.lixinger.com/analytics/company/hk/00609/609/detail</t>
  </si>
  <si>
    <t>民银资本</t>
  </si>
  <si>
    <t>www.lixinger.com/analytics/company/hk/01141/1141/detail</t>
  </si>
  <si>
    <t>中国抗体-B</t>
  </si>
  <si>
    <t>www.lixinger.com/analytics/company/hk/03681/3681/detail</t>
  </si>
  <si>
    <t>济丰包装</t>
  </si>
  <si>
    <t>www.lixinger.com/analytics/company/hk/01820/1820/detail</t>
  </si>
  <si>
    <t>和谐汽车</t>
  </si>
  <si>
    <t>www.lixinger.com/analytics/company/hk/03836/3836/detail</t>
  </si>
  <si>
    <t>药明巨诺-B</t>
  </si>
  <si>
    <t>www.lixinger.com/analytics/company/hk/02126/2126/detail</t>
  </si>
  <si>
    <t>雅各臣科研制药</t>
  </si>
  <si>
    <t>www.lixinger.com/analytics/company/hk/02633/2633/detail</t>
  </si>
  <si>
    <t>德视佳</t>
  </si>
  <si>
    <t>www.lixinger.com/analytics/company/hk/01846/1846/detail</t>
  </si>
  <si>
    <t>爱帝宫</t>
  </si>
  <si>
    <t>www.lixinger.com/analytics/company/hk/00286/286/detail</t>
  </si>
  <si>
    <t>山东国信</t>
  </si>
  <si>
    <t>www.lixinger.com/analytics/company/hk/01697/1697/detail</t>
  </si>
  <si>
    <t>润迈德-B</t>
  </si>
  <si>
    <t>www.lixinger.com/analytics/company/hk/02297/2297/detail</t>
  </si>
  <si>
    <t>东吴水泥</t>
  </si>
  <si>
    <t>www.lixinger.com/analytics/company/hk/00695/695/detail</t>
  </si>
  <si>
    <t>德林国际</t>
  </si>
  <si>
    <t>www.lixinger.com/analytics/company/hk/01126/1126/detail</t>
  </si>
  <si>
    <t>德永佳集团</t>
  </si>
  <si>
    <t>www.lixinger.com/analytics/company/hk/00321/321/detail</t>
  </si>
  <si>
    <t>迈博药业-B</t>
  </si>
  <si>
    <t>www.lixinger.com/analytics/company/hk/02181/2181/detail</t>
  </si>
  <si>
    <t>大快活集团</t>
  </si>
  <si>
    <t>www.lixinger.com/analytics/company/hk/00052/52/detail</t>
  </si>
  <si>
    <t>亿达中国</t>
  </si>
  <si>
    <t>www.lixinger.com/analytics/company/hk/03639/3639/detail</t>
  </si>
  <si>
    <t>德盈控股</t>
  </si>
  <si>
    <t>www.lixinger.com/analytics/company/hk/02250/2250/detail</t>
  </si>
  <si>
    <t>佳源国际控股</t>
  </si>
  <si>
    <t>www.lixinger.com/analytics/company/hk/02768/2768/detail</t>
  </si>
  <si>
    <t>嘉宏教育</t>
  </si>
  <si>
    <t>www.lixinger.com/analytics/company/hk/01935/1935/detail</t>
  </si>
  <si>
    <t>中达集团控股</t>
  </si>
  <si>
    <t>www.lixinger.com/analytics/company/hk/00139/139/detail</t>
  </si>
  <si>
    <t>家乡互动</t>
  </si>
  <si>
    <t>www.lixinger.com/analytics/company/hk/03798/3798/detail</t>
  </si>
  <si>
    <t>中国新华教育</t>
  </si>
  <si>
    <t>www.lixinger.com/analytics/company/hk/02779/2779/detail</t>
  </si>
  <si>
    <t>结好金融</t>
  </si>
  <si>
    <t>www.lixinger.com/analytics/company/hk/01469/1469/detail</t>
  </si>
  <si>
    <t>闽信集团</t>
  </si>
  <si>
    <t>www.lixinger.com/analytics/company/hk/00222/222/detail</t>
  </si>
  <si>
    <t>凤凰卫视</t>
  </si>
  <si>
    <t>www.lixinger.com/analytics/company/hk/02008/2008/detail</t>
  </si>
  <si>
    <t>彩虹新能源</t>
  </si>
  <si>
    <t>www.lixinger.com/analytics/company/hk/00438/438/detail</t>
  </si>
  <si>
    <t>禅游科技</t>
  </si>
  <si>
    <t>www.lixinger.com/analytics/company/hk/02660/2660/detail</t>
  </si>
  <si>
    <t>金融壹账通</t>
  </si>
  <si>
    <t>www.lixinger.com/analytics/company/hk/06638/6638/detail</t>
  </si>
  <si>
    <t>胜狮货柜</t>
  </si>
  <si>
    <t>www.lixinger.com/analytics/company/hk/00716/716/detail</t>
  </si>
  <si>
    <t>京城机电股份</t>
  </si>
  <si>
    <t>www.lixinger.com/analytics/company/hk/00187/187/detail</t>
  </si>
  <si>
    <t>五矿地产</t>
  </si>
  <si>
    <t>www.lixinger.com/analytics/company/hk/00230/230/detail</t>
  </si>
  <si>
    <t>亿和控股</t>
  </si>
  <si>
    <t>www.lixinger.com/analytics/company/hk/00838/838/detail</t>
  </si>
  <si>
    <t>龙记集团</t>
  </si>
  <si>
    <t>www.lixinger.com/analytics/company/hk/00255/255/detail</t>
  </si>
  <si>
    <t>弘阳地产</t>
  </si>
  <si>
    <t>www.lixinger.com/analytics/company/hk/01996/1996/detail</t>
  </si>
  <si>
    <t>惠记集团</t>
  </si>
  <si>
    <t>www.lixinger.com/analytics/company/hk/00610/610/detail</t>
  </si>
  <si>
    <t>宏光半导体</t>
  </si>
  <si>
    <t>www.lixinger.com/analytics/company/hk/06908/6908/detail</t>
  </si>
  <si>
    <t>富元国际集团</t>
  </si>
  <si>
    <t>www.lixinger.com/analytics/company/hk/00542/542/detail</t>
  </si>
  <si>
    <t>威华达控股</t>
  </si>
  <si>
    <t>www.lixinger.com/analytics/company/hk/00622/622/detail</t>
  </si>
  <si>
    <t>中国通商集团</t>
  </si>
  <si>
    <t>www.lixinger.com/analytics/company/hk/01719/1719/detail</t>
  </si>
  <si>
    <t>天德地产</t>
  </si>
  <si>
    <t>www.lixinger.com/analytics/company/hk/00266/266/detail</t>
  </si>
  <si>
    <t>中国三江化工</t>
  </si>
  <si>
    <t>www.lixinger.com/analytics/company/hk/02198/2198/detail</t>
  </si>
  <si>
    <t>瀚华金控</t>
  </si>
  <si>
    <t>www.lixinger.com/analytics/company/hk/03903/3903/detail</t>
  </si>
  <si>
    <t>东曜药业-B</t>
  </si>
  <si>
    <t>www.lixinger.com/analytics/company/hk/01875/1875/detail</t>
  </si>
  <si>
    <t>电视广播</t>
  </si>
  <si>
    <t>www.lixinger.com/analytics/company/hk/00511/511/detail</t>
  </si>
  <si>
    <t>四川能投发展</t>
  </si>
  <si>
    <t>www.lixinger.com/analytics/company/hk/01713/1713/detail</t>
  </si>
  <si>
    <t>畅捷通</t>
  </si>
  <si>
    <t>www.lixinger.com/analytics/company/hk/01588/1588/detail</t>
  </si>
  <si>
    <t>亚东集团</t>
  </si>
  <si>
    <t>www.lixinger.com/analytics/company/hk/01795/1795/detail</t>
  </si>
  <si>
    <t>兆科眼科-B</t>
  </si>
  <si>
    <t>www.lixinger.com/analytics/company/hk/06622/6622/detail</t>
  </si>
  <si>
    <t>天津发展</t>
  </si>
  <si>
    <t>www.lixinger.com/analytics/company/hk/00882/882/detail</t>
  </si>
  <si>
    <t>中国金控</t>
  </si>
  <si>
    <t>www.lixinger.com/analytics/company/hk/00875/875/detail</t>
  </si>
  <si>
    <t>东光化工</t>
  </si>
  <si>
    <t>www.lixinger.com/analytics/company/hk/01702/1702/detail</t>
  </si>
  <si>
    <t>安乐工程</t>
  </si>
  <si>
    <t>www.lixinger.com/analytics/company/hk/01977/1977/detail</t>
  </si>
  <si>
    <t>万国国际矿业</t>
  </si>
  <si>
    <t>www.lixinger.com/analytics/company/hk/03939/3939/detail</t>
  </si>
  <si>
    <t>建桥教育</t>
  </si>
  <si>
    <t>www.lixinger.com/analytics/company/hk/01525/1525/detail</t>
  </si>
  <si>
    <t>华发物业服务</t>
  </si>
  <si>
    <t>www.lixinger.com/analytics/company/hk/00982/982/detail</t>
  </si>
  <si>
    <t>美建集团</t>
  </si>
  <si>
    <t>www.lixinger.com/analytics/company/hk/00335/335/detail</t>
  </si>
  <si>
    <t>中油燃气</t>
  </si>
  <si>
    <t>www.lixinger.com/analytics/company/hk/00603/603/detail</t>
  </si>
  <si>
    <t>迪生创建</t>
  </si>
  <si>
    <t>www.lixinger.com/analytics/company/hk/00113/113/detail</t>
  </si>
  <si>
    <t>巨腾国际</t>
  </si>
  <si>
    <t>www.lixinger.com/analytics/company/hk/03336/3336/detail</t>
  </si>
  <si>
    <t>金马能源</t>
  </si>
  <si>
    <t>www.lixinger.com/analytics/company/hk/06885/6885/detail</t>
  </si>
  <si>
    <t>笔克远东</t>
  </si>
  <si>
    <t>www.lixinger.com/analytics/company/hk/00752/752/detail</t>
  </si>
  <si>
    <t>丽新发展</t>
  </si>
  <si>
    <t>www.lixinger.com/analytics/company/hk/00488/488/detail</t>
  </si>
  <si>
    <t>协鑫新能源</t>
  </si>
  <si>
    <t>www.lixinger.com/analytics/company/hk/00451/451/detail</t>
  </si>
  <si>
    <t>胜捷企业</t>
  </si>
  <si>
    <t>www.lixinger.com/analytics/company/hk/06090/6090/detail</t>
  </si>
  <si>
    <t>晶门半导体</t>
  </si>
  <si>
    <t>www.lixinger.com/analytics/company/hk/02878/2878/detail</t>
  </si>
  <si>
    <t>鼎丰集团汽车</t>
  </si>
  <si>
    <t>www.lixinger.com/analytics/company/hk/06878/6878/detail</t>
  </si>
  <si>
    <t>河北建设</t>
  </si>
  <si>
    <t>www.lixinger.com/analytics/company/hk/01727/1727/detail</t>
  </si>
  <si>
    <t>中国罕王</t>
  </si>
  <si>
    <t>www.lixinger.com/analytics/company/hk/03788/3788/detail</t>
  </si>
  <si>
    <t>中国玻璃</t>
  </si>
  <si>
    <t>www.lixinger.com/analytics/company/hk/03300/3300/detail</t>
  </si>
  <si>
    <t>亚太资源</t>
  </si>
  <si>
    <t>www.lixinger.com/analytics/company/hk/01104/1104/detail</t>
  </si>
  <si>
    <t>中国石墨</t>
  </si>
  <si>
    <t>www.lixinger.com/analytics/company/hk/02237/2237/detail</t>
  </si>
  <si>
    <t>交银国际</t>
  </si>
  <si>
    <t>www.lixinger.com/analytics/company/hk/03329/3329/detail</t>
  </si>
  <si>
    <t>万达酒店发展</t>
  </si>
  <si>
    <t>www.lixinger.com/analytics/company/hk/00169/169/detail</t>
  </si>
  <si>
    <t>心玮医疗-B</t>
  </si>
  <si>
    <t>www.lixinger.com/analytics/company/hk/06609/6609/detail</t>
  </si>
  <si>
    <t>结好控股</t>
  </si>
  <si>
    <t>www.lixinger.com/analytics/company/hk/00064/64/detail</t>
  </si>
  <si>
    <t>中国星集团</t>
  </si>
  <si>
    <t>www.lixinger.com/analytics/company/hk/00326/326/detail</t>
  </si>
  <si>
    <t>布莱克万矿业</t>
  </si>
  <si>
    <t>www.lixinger.com/analytics/company/hk/00159/159/detail</t>
  </si>
  <si>
    <t>鹰瞳科技-B</t>
  </si>
  <si>
    <t>www.lixinger.com/analytics/company/hk/02251/2251/detail</t>
  </si>
  <si>
    <t>稀美资源</t>
  </si>
  <si>
    <t>www.lixinger.com/analytics/company/hk/09936/9936/detail</t>
  </si>
  <si>
    <t>宏力医疗管理</t>
  </si>
  <si>
    <t>www.lixinger.com/analytics/company/hk/09906/9906/detail</t>
  </si>
  <si>
    <t>国际商业结算</t>
  </si>
  <si>
    <t>www.lixinger.com/analytics/company/hk/00147/147/detail</t>
  </si>
  <si>
    <t>数字王国</t>
  </si>
  <si>
    <t>www.lixinger.com/analytics/company/hk/00547/547/detail</t>
  </si>
  <si>
    <t>达丰设备</t>
  </si>
  <si>
    <t>www.lixinger.com/analytics/company/hk/02153/2153/detail</t>
  </si>
  <si>
    <t>滇池水务</t>
  </si>
  <si>
    <t>www.lixinger.com/analytics/company/hk/03768/3768/detail</t>
  </si>
  <si>
    <t>百心安-B</t>
  </si>
  <si>
    <t>www.lixinger.com/analytics/company/hk/02185/2185/detail</t>
  </si>
  <si>
    <t>新世界百货中国</t>
  </si>
  <si>
    <t>www.lixinger.com/analytics/company/hk/00825/825/detail</t>
  </si>
  <si>
    <t>新纽科技</t>
  </si>
  <si>
    <t>www.lixinger.com/analytics/company/hk/09600/9600/detail</t>
  </si>
  <si>
    <t>大山教育</t>
  </si>
  <si>
    <t>www.lixinger.com/analytics/company/hk/09986/9986/detail</t>
  </si>
  <si>
    <t>天宝集团</t>
  </si>
  <si>
    <t>www.lixinger.com/analytics/company/hk/01979/1979/detail</t>
  </si>
  <si>
    <t>金嗓子</t>
  </si>
  <si>
    <t>www.lixinger.com/analytics/company/hk/06896/6896/detail</t>
  </si>
  <si>
    <t>万宝盛华</t>
  </si>
  <si>
    <t>www.lixinger.com/analytics/company/hk/02180/2180/detail</t>
  </si>
  <si>
    <t>比优集团</t>
  </si>
  <si>
    <t>www.lixinger.com/analytics/company/hk/08053/8053/detail</t>
  </si>
  <si>
    <t>汉国置业</t>
  </si>
  <si>
    <t>www.lixinger.com/analytics/company/hk/00160/160/detail</t>
  </si>
  <si>
    <t>众安集团</t>
  </si>
  <si>
    <t>www.lixinger.com/analytics/company/hk/00672/672/detail</t>
  </si>
  <si>
    <t>弘业期货</t>
  </si>
  <si>
    <t>www.lixinger.com/analytics/company/hk/03678/3678/detail</t>
  </si>
  <si>
    <t>大成生化科技</t>
  </si>
  <si>
    <t>www.lixinger.com/analytics/company/hk/00809/809/detail</t>
  </si>
  <si>
    <t>亿仕登控股</t>
  </si>
  <si>
    <t>www.lixinger.com/analytics/company/hk/01656/1656/detail</t>
  </si>
  <si>
    <t>卓能(集团)</t>
  </si>
  <si>
    <t>www.lixinger.com/analytics/company/hk/00131/131/detail</t>
  </si>
  <si>
    <t>嘉和生物-B</t>
  </si>
  <si>
    <t>www.lixinger.com/analytics/company/hk/06998/6998/detail</t>
  </si>
  <si>
    <t>润中国际控股</t>
  </si>
  <si>
    <t>www.lixinger.com/analytics/company/hk/00202/202/detail</t>
  </si>
  <si>
    <t>金利来集团</t>
  </si>
  <si>
    <t>www.lixinger.com/analytics/company/hk/00533/533/detail</t>
  </si>
  <si>
    <t>东方企控集团</t>
  </si>
  <si>
    <t>www.lixinger.com/analytics/company/hk/00018/18/detail</t>
  </si>
  <si>
    <t>GUANZEMEDICAL</t>
  </si>
  <si>
    <t>www.lixinger.com/analytics/company/hk/02427/2427/detail</t>
  </si>
  <si>
    <t>创胜集团-B</t>
  </si>
  <si>
    <t>www.lixinger.com/analytics/company/hk/06628/6628/detail</t>
  </si>
  <si>
    <t>力宝</t>
  </si>
  <si>
    <t>www.lixinger.com/analytics/company/hk/00226/226/detail</t>
  </si>
  <si>
    <t>中国淀粉</t>
  </si>
  <si>
    <t>www.lixinger.com/analytics/company/hk/03838/3838/detail</t>
  </si>
  <si>
    <t>BC科技集团</t>
  </si>
  <si>
    <t>www.lixinger.com/analytics/company/hk/00863/863/detail</t>
  </si>
  <si>
    <t>天彩控股</t>
  </si>
  <si>
    <t>www.lixinger.com/analytics/company/hk/03882/3882/detail</t>
  </si>
  <si>
    <t>添利工业</t>
  </si>
  <si>
    <t>www.lixinger.com/analytics/company/hk/00093/93/detail</t>
  </si>
  <si>
    <t>茂宸集团</t>
  </si>
  <si>
    <t>www.lixinger.com/analytics/company/hk/00273/273/detail</t>
  </si>
  <si>
    <t>维信金科</t>
  </si>
  <si>
    <t>www.lixinger.com/analytics/company/hk/02003/2003/detail</t>
  </si>
  <si>
    <t>北京燃气蓝天</t>
  </si>
  <si>
    <t>www.lixinger.com/analytics/company/hk/06828/6828/detail</t>
  </si>
  <si>
    <t>利福中国</t>
  </si>
  <si>
    <t>www.lixinger.com/analytics/company/hk/02136/2136/detail</t>
  </si>
  <si>
    <t>粤海置地</t>
  </si>
  <si>
    <t>www.lixinger.com/analytics/company/hk/00124/124/detail</t>
  </si>
  <si>
    <t>东江集团控股</t>
  </si>
  <si>
    <t>www.lixinger.com/analytics/company/hk/02283/2283/detail</t>
  </si>
  <si>
    <t>彩客新能源</t>
  </si>
  <si>
    <t>www.lixinger.com/analytics/company/hk/01986/1986/detail</t>
  </si>
  <si>
    <t>奥威控股</t>
  </si>
  <si>
    <t>www.lixinger.com/analytics/company/hk/01370/1370/detail</t>
  </si>
  <si>
    <t>中国大冶有色金属</t>
  </si>
  <si>
    <t>www.lixinger.com/analytics/company/hk/00661/661/detail</t>
  </si>
  <si>
    <t>兴胜创建</t>
  </si>
  <si>
    <t>www.lixinger.com/analytics/company/hk/00896/896/detail</t>
  </si>
  <si>
    <t>堡狮龙国际</t>
  </si>
  <si>
    <t>www.lixinger.com/analytics/company/hk/00592/592/detail</t>
  </si>
  <si>
    <t>齐家控股</t>
  </si>
  <si>
    <t>www.lixinger.com/analytics/company/hk/08395/8395/detail</t>
  </si>
  <si>
    <t>宏华集团</t>
  </si>
  <si>
    <t>www.lixinger.com/analytics/company/hk/00196/196/detail</t>
  </si>
  <si>
    <t>浙江世宝</t>
  </si>
  <si>
    <t>www.lixinger.com/analytics/company/hk/01057/1057/detail</t>
  </si>
  <si>
    <t>金邦达宝嘉</t>
  </si>
  <si>
    <t>www.lixinger.com/analytics/company/hk/03315/3315/detail</t>
  </si>
  <si>
    <t>江南集团</t>
  </si>
  <si>
    <t>www.lixinger.com/analytics/company/hk/01366/1366/detail</t>
  </si>
  <si>
    <t>建业地产</t>
  </si>
  <si>
    <t>www.lixinger.com/analytics/company/hk/00832/832/detail</t>
  </si>
  <si>
    <t>航天控股</t>
  </si>
  <si>
    <t>www.lixinger.com/analytics/company/hk/00031/31/detail</t>
  </si>
  <si>
    <t>广汇宝信</t>
  </si>
  <si>
    <t>www.lixinger.com/analytics/company/hk/01293/1293/detail</t>
  </si>
  <si>
    <t>铁货</t>
  </si>
  <si>
    <t>www.lixinger.com/analytics/company/hk/01029/1029/detail</t>
  </si>
  <si>
    <t>新焦点</t>
  </si>
  <si>
    <t>www.lixinger.com/analytics/company/hk/00360/360/detail</t>
  </si>
  <si>
    <t>泰和小贷</t>
  </si>
  <si>
    <t>www.lixinger.com/analytics/company/hk/01915/1915/detail</t>
  </si>
  <si>
    <t>招商局中国基金</t>
  </si>
  <si>
    <t>www.lixinger.com/analytics/company/hk/00133/133/detail</t>
  </si>
  <si>
    <t>湖州燃气</t>
  </si>
  <si>
    <t>www.lixinger.com/analytics/company/hk/06661/6661/detail</t>
  </si>
  <si>
    <t>联洋智能控股</t>
  </si>
  <si>
    <t>www.lixinger.com/analytics/company/hk/01561/1561/detail</t>
  </si>
  <si>
    <t>潼关黄金</t>
  </si>
  <si>
    <t>www.lixinger.com/analytics/company/hk/00340/340/detail</t>
  </si>
  <si>
    <t>亨得利</t>
  </si>
  <si>
    <t>www.lixinger.com/analytics/company/hk/03389/3389/detail</t>
  </si>
  <si>
    <t>祥生控股集团</t>
  </si>
  <si>
    <t>www.lixinger.com/analytics/company/hk/02599/2599/detail</t>
  </si>
  <si>
    <t>驴迹科技</t>
  </si>
  <si>
    <t>www.lixinger.com/analytics/company/hk/01745/1745/detail</t>
  </si>
  <si>
    <t>太兴集团</t>
  </si>
  <si>
    <t>www.lixinger.com/analytics/company/hk/06811/6811/detail</t>
  </si>
  <si>
    <t>亲亲食品</t>
  </si>
  <si>
    <t>www.lixinger.com/analytics/company/hk/01583/1583/detail</t>
  </si>
  <si>
    <t>资本策略地产</t>
  </si>
  <si>
    <t>www.lixinger.com/analytics/company/hk/00497/497/detail</t>
  </si>
  <si>
    <t>港龙中国地产</t>
  </si>
  <si>
    <t>www.lixinger.com/analytics/company/hk/06968/6968/detail</t>
  </si>
  <si>
    <t>伟能集团</t>
  </si>
  <si>
    <t>www.lixinger.com/analytics/company/hk/01608/1608/detail</t>
  </si>
  <si>
    <t>百奥家庭互动</t>
  </si>
  <si>
    <t>www.lixinger.com/analytics/company/hk/02100/2100/detail</t>
  </si>
  <si>
    <t>英皇钟表珠宝</t>
  </si>
  <si>
    <t>www.lixinger.com/analytics/company/hk/00887/887/detail</t>
  </si>
  <si>
    <t>堃博医疗-B</t>
  </si>
  <si>
    <t>www.lixinger.com/analytics/company/hk/02216/2216/detail</t>
  </si>
  <si>
    <t>珠江船务</t>
  </si>
  <si>
    <t>www.lixinger.com/analytics/company/hk/00560/560/detail</t>
  </si>
  <si>
    <t>筑友智造科技</t>
  </si>
  <si>
    <t>www.lixinger.com/analytics/company/hk/00726/726/detail</t>
  </si>
  <si>
    <t>美瑞健康国际</t>
  </si>
  <si>
    <t>www.lixinger.com/analytics/company/hk/02327/2327/detail</t>
  </si>
  <si>
    <t>透云生物</t>
  </si>
  <si>
    <t>www.lixinger.com/analytics/company/hk/01332/1332/detail</t>
  </si>
  <si>
    <t>超盈国际控股</t>
  </si>
  <si>
    <t>www.lixinger.com/analytics/company/hk/02111/2111/detail</t>
  </si>
  <si>
    <t>通达集团</t>
  </si>
  <si>
    <t>www.lixinger.com/analytics/company/hk/00698/698/detail</t>
  </si>
  <si>
    <t>惠生工程</t>
  </si>
  <si>
    <t>www.lixinger.com/analytics/company/hk/02236/2236/detail</t>
  </si>
  <si>
    <t>嘉兴燃气</t>
  </si>
  <si>
    <t>www.lixinger.com/analytics/company/hk/09908/9908/detail</t>
  </si>
  <si>
    <t>康达环保</t>
  </si>
  <si>
    <t>www.lixinger.com/analytics/company/hk/06136/6136/detail</t>
  </si>
  <si>
    <t>中国安储能源</t>
  </si>
  <si>
    <t>www.lixinger.com/analytics/company/hk/02399/2399/detail</t>
  </si>
  <si>
    <t>芯智控股</t>
  </si>
  <si>
    <t>www.lixinger.com/analytics/company/hk/02166/2166/detail</t>
  </si>
  <si>
    <t>合富辉煌</t>
  </si>
  <si>
    <t>www.lixinger.com/analytics/company/hk/00733/733/detail</t>
  </si>
  <si>
    <t>元征科技</t>
  </si>
  <si>
    <t>www.lixinger.com/analytics/company/hk/02488/2488/detail</t>
  </si>
  <si>
    <t>神话世界</t>
  </si>
  <si>
    <t>www.lixinger.com/analytics/company/hk/00582/582/detail</t>
  </si>
  <si>
    <t>信源企业集团</t>
  </si>
  <si>
    <t>www.lixinger.com/analytics/company/hk/01748/1748/detail</t>
  </si>
  <si>
    <t>百仕达控股</t>
  </si>
  <si>
    <t>www.lixinger.com/analytics/company/hk/01168/1168/detail</t>
  </si>
  <si>
    <t>基石科技控股</t>
  </si>
  <si>
    <t>www.lixinger.com/analytics/company/hk/08391/8391/detail</t>
  </si>
  <si>
    <t>飞尚无烟煤</t>
  </si>
  <si>
    <t>www.lixinger.com/analytics/company/hk/01738/1738/detail</t>
  </si>
  <si>
    <t>庄士机构国际</t>
  </si>
  <si>
    <t>www.lixinger.com/analytics/company/hk/00367/367/detail</t>
  </si>
  <si>
    <t>民生国际</t>
  </si>
  <si>
    <t>www.lixinger.com/analytics/company/hk/00938/938/detail</t>
  </si>
  <si>
    <t>西藏水资源</t>
  </si>
  <si>
    <t>www.lixinger.com/analytics/company/hk/01115/1115/detail</t>
  </si>
  <si>
    <t>彩星集团</t>
  </si>
  <si>
    <t>www.lixinger.com/analytics/company/hk/00635/635/detail</t>
  </si>
  <si>
    <t>震雄集团</t>
  </si>
  <si>
    <t>www.lixinger.com/analytics/company/hk/00057/57/detail</t>
  </si>
  <si>
    <t>中国通海金融</t>
  </si>
  <si>
    <t>www.lixinger.com/analytics/company/hk/00952/952/detail</t>
  </si>
  <si>
    <t>冠忠巴士集团</t>
  </si>
  <si>
    <t>www.lixinger.com/analytics/company/hk/00306/306/detail</t>
  </si>
  <si>
    <t>欧科云链</t>
  </si>
  <si>
    <t>www.lixinger.com/analytics/company/hk/01499/1499/detail</t>
  </si>
  <si>
    <t>茂业国际</t>
  </si>
  <si>
    <t>www.lixinger.com/analytics/company/hk/00848/848/detail</t>
  </si>
  <si>
    <t>大生地产</t>
  </si>
  <si>
    <t>www.lixinger.com/analytics/company/hk/00089/89/detail</t>
  </si>
  <si>
    <t>中国稀土</t>
  </si>
  <si>
    <t>www.lixinger.com/analytics/company/hk/00769/769/detail</t>
  </si>
  <si>
    <t>旭日企业</t>
  </si>
  <si>
    <t>www.lixinger.com/analytics/company/hk/00393/393/detail</t>
  </si>
  <si>
    <t>飞思达科技</t>
  </si>
  <si>
    <t>www.lixinger.com/analytics/company/hk/01782/1782/detail</t>
  </si>
  <si>
    <t>安东油田服务</t>
  </si>
  <si>
    <t>www.lixinger.com/analytics/company/hk/03337/3337/detail</t>
  </si>
  <si>
    <t>复旦张江</t>
  </si>
  <si>
    <t>www.lixinger.com/analytics/company/hk/01349/1349/detail</t>
  </si>
  <si>
    <t>中能控股</t>
  </si>
  <si>
    <t>www.lixinger.com/analytics/company/hk/00228/228/detail</t>
  </si>
  <si>
    <t>南旋控股</t>
  </si>
  <si>
    <t>www.lixinger.com/analytics/company/hk/01982/1982/detail</t>
  </si>
  <si>
    <t>百福控股</t>
  </si>
  <si>
    <t>www.lixinger.com/analytics/company/hk/01488/1488/detail</t>
  </si>
  <si>
    <t>日赢控股</t>
  </si>
  <si>
    <t>www.lixinger.com/analytics/company/hk/01741/1741/detail</t>
  </si>
  <si>
    <t>AQUILAACQ-Z</t>
  </si>
  <si>
    <t>www.lixinger.com/analytics/company/hk/07836/7836/detail</t>
  </si>
  <si>
    <t>久泰邦达能源</t>
  </si>
  <si>
    <t>www.lixinger.com/analytics/company/hk/02798/2798/detail</t>
  </si>
  <si>
    <t>莱蒙国际</t>
  </si>
  <si>
    <t>www.lixinger.com/analytics/company/hk/03688/3688/detail</t>
  </si>
  <si>
    <t>福田实业</t>
  </si>
  <si>
    <t>www.lixinger.com/analytics/company/hk/00420/420/detail</t>
  </si>
  <si>
    <t>华大酒店</t>
  </si>
  <si>
    <t>www.lixinger.com/analytics/company/hk/00201/201/detail</t>
  </si>
  <si>
    <t>自然美</t>
  </si>
  <si>
    <t>www.lixinger.com/analytics/company/hk/00157/157/detail</t>
  </si>
  <si>
    <t>新希望服务</t>
  </si>
  <si>
    <t>www.lixinger.com/analytics/company/hk/03658/3658/detail</t>
  </si>
  <si>
    <t>中国生物科技服务</t>
  </si>
  <si>
    <t>www.lixinger.com/analytics/company/hk/08037/8037/detail</t>
  </si>
  <si>
    <t>索信达控股</t>
  </si>
  <si>
    <t>www.lixinger.com/analytics/company/hk/03680/3680/detail</t>
  </si>
  <si>
    <t>华津国际控股</t>
  </si>
  <si>
    <t>www.lixinger.com/analytics/company/hk/02738/2738/detail</t>
  </si>
  <si>
    <t>朗诗绿色生活</t>
  </si>
  <si>
    <t>www.lixinger.com/analytics/company/hk/01965/1965/detail</t>
  </si>
  <si>
    <t>中核国际</t>
  </si>
  <si>
    <t>www.lixinger.com/analytics/company/hk/02302/2302/detail</t>
  </si>
  <si>
    <t>巨涛海洋石油服务</t>
  </si>
  <si>
    <t>www.lixinger.com/analytics/company/hk/03303/3303/detail</t>
  </si>
  <si>
    <t>疯狂体育</t>
  </si>
  <si>
    <t>www.lixinger.com/analytics/company/hk/00082/82/detail</t>
  </si>
  <si>
    <t>国瑞健康</t>
  </si>
  <si>
    <t>www.lixinger.com/analytics/company/hk/02329/2329/detail</t>
  </si>
  <si>
    <t>延长石油国际</t>
  </si>
  <si>
    <t>www.lixinger.com/analytics/company/hk/00346/346/detail</t>
  </si>
  <si>
    <t>香港教育国际</t>
  </si>
  <si>
    <t>www.lixinger.com/analytics/company/hk/01082/1082/detail</t>
  </si>
  <si>
    <t>华禧控股</t>
  </si>
  <si>
    <t>www.lixinger.com/analytics/company/hk/01689/1689/detail</t>
  </si>
  <si>
    <t>中国汇融</t>
  </si>
  <si>
    <t>www.lixinger.com/analytics/company/hk/01290/1290/detail</t>
  </si>
  <si>
    <t>利基控股</t>
  </si>
  <si>
    <t>www.lixinger.com/analytics/company/hk/00240/240/detail</t>
  </si>
  <si>
    <t>原生态牧业</t>
  </si>
  <si>
    <t>www.lixinger.com/analytics/company/hk/01431/1431/detail</t>
  </si>
  <si>
    <t>五谷磨房</t>
  </si>
  <si>
    <t>www.lixinger.com/analytics/company/hk/01837/1837/detail</t>
  </si>
  <si>
    <t>恩典生命科技</t>
  </si>
  <si>
    <t>www.lixinger.com/analytics/company/hk/02112/2112/detail</t>
  </si>
  <si>
    <t>易居企业控股</t>
  </si>
  <si>
    <t>www.lixinger.com/analytics/company/hk/02048/2048/detail</t>
  </si>
  <si>
    <t>金茂源环保</t>
  </si>
  <si>
    <t>www.lixinger.com/analytics/company/hk/06805/6805/detail</t>
  </si>
  <si>
    <t>华融金控</t>
  </si>
  <si>
    <t>www.lixinger.com/analytics/company/hk/00993/993/detail</t>
  </si>
  <si>
    <t>金融街物业</t>
  </si>
  <si>
    <t>www.lixinger.com/analytics/company/hk/01502/1502/detail</t>
  </si>
  <si>
    <t>北海康成-B</t>
  </si>
  <si>
    <t>www.lixinger.com/analytics/company/hk/01228/1228/detail</t>
  </si>
  <si>
    <t>蓝河控股</t>
  </si>
  <si>
    <t>www.lixinger.com/analytics/company/hk/00498/498/detail</t>
  </si>
  <si>
    <t>四洲集团</t>
  </si>
  <si>
    <t>www.lixinger.com/analytics/company/hk/00374/374/detail</t>
  </si>
  <si>
    <t>好孩子国际</t>
  </si>
  <si>
    <t>www.lixinger.com/analytics/company/hk/01086/1086/detail</t>
  </si>
  <si>
    <t>铁建装备</t>
  </si>
  <si>
    <t>www.lixinger.com/analytics/company/hk/01786/1786/detail</t>
  </si>
  <si>
    <t>中播数据</t>
  </si>
  <si>
    <t>www.lixinger.com/analytics/company/hk/00471/471/detail</t>
  </si>
  <si>
    <t>丽丰控股</t>
  </si>
  <si>
    <t>www.lixinger.com/analytics/company/hk/01125/1125/detail</t>
  </si>
  <si>
    <t>贝康医疗-B</t>
  </si>
  <si>
    <t>www.lixinger.com/analytics/company/hk/02170/2170/detail</t>
  </si>
  <si>
    <t>华显光电</t>
  </si>
  <si>
    <t>www.lixinger.com/analytics/company/hk/00334/334/detail</t>
  </si>
  <si>
    <t>玖源集团</t>
  </si>
  <si>
    <t>www.lixinger.com/analytics/company/hk/00827/827/detail</t>
  </si>
  <si>
    <t>博富临置业</t>
  </si>
  <si>
    <t>www.lixinger.com/analytics/company/hk/00225/225/detail</t>
  </si>
  <si>
    <t>中国三迪</t>
  </si>
  <si>
    <t>www.lixinger.com/analytics/company/hk/00910/910/detail</t>
  </si>
  <si>
    <t>伯明翰体育</t>
  </si>
  <si>
    <t>www.lixinger.com/analytics/company/hk/02309/2309/detail</t>
  </si>
  <si>
    <t>中国职业教育</t>
  </si>
  <si>
    <t>www.lixinger.com/analytics/company/hk/01756/1756/detail</t>
  </si>
  <si>
    <t>福森药业</t>
  </si>
  <si>
    <t>www.lixinger.com/analytics/company/hk/01652/1652/detail</t>
  </si>
  <si>
    <t>齐合环保</t>
  </si>
  <si>
    <t>www.lixinger.com/analytics/company/hk/00976/976/detail</t>
  </si>
  <si>
    <t>力宝华润</t>
  </si>
  <si>
    <t>www.lixinger.com/analytics/company/hk/00156/156/detail</t>
  </si>
  <si>
    <t>金达控股</t>
  </si>
  <si>
    <t>www.lixinger.com/analytics/company/hk/00528/528/detail</t>
  </si>
  <si>
    <t>时代邻里</t>
  </si>
  <si>
    <t>www.lixinger.com/analytics/company/hk/09928/9928/detail</t>
  </si>
  <si>
    <t>奥星生命科技</t>
  </si>
  <si>
    <t>www.lixinger.com/analytics/company/hk/06118/6118/detail</t>
  </si>
  <si>
    <t>酷派集团</t>
  </si>
  <si>
    <t>www.lixinger.com/analytics/company/hk/02369/2369/detail</t>
  </si>
  <si>
    <t>数据来源于：理杏仁网站(lixinger.com)</t>
  </si>
  <si>
    <t>0700.HK','9988.HK','1398.HK','0939.HK','3968.HK','0941.HK','3690.HK','1299.HK','0005.HK','2318.HK','1288.HK','3988.HK','9618.HK','0857.HK','1211.HK','6288.HK','9633.HK','0883.HK','1880.HK','0386.HK','1658.HK','1088.HK','0388.HK','9999.HK','2628.HK','3328.HK','1876.HK','9888.HK','1024.HK','0016.HK','2378.HK','2899.HK','0728.HK','2388.HK','2020.HK','1810.HK','2269.HK','0945.HK','1109.HK','0066.HK','2359.HK','6690.HK','0011.HK','0267.HK','0027.HK','6030.HK','0688.HK','6618.HK','1928.HK','2057.HK','6160.HK','2331.HK','9987.HK','0001.HK','2202.HK','0291.HK','2015.HK','1113.HK','9961.HK','0998.HK','2888.HK','2601.HK','1929.HK','2328.HK','0669.HK','0762.HK','0960.HK','0788.HK','0914.HK','2319.HK','0002.HK','2423.HK','1997.HK','0003.HK','9866.HK','0012.HK','2313.HK','0981.HK','6818.HK','2688.HK','1919.HK','6862.HK','0823.HK','1972.HK','1988.HK','0175.HK','1772.HK','1171.HK','1913.HK','1339.HK','1179.HK','0168.HK','2382.HK','0390.HK','0753.HK','1038.HK','2618.HK','0881.HK','1093.HK','9626.HK','0019.HK','1055.HK','1816.HK','9696.HK','1209.HK','2333.HK','2338.HK','0316.HK','0006.HK','1766.HK','0241.HK','3692.HK','3606.HK','1177.HK','0916.HK','1776.HK','1898.HK','0763.HK','0083.HK','3993.HK','3347.HK','0836.HK','0968.HK','0322.HK','6886.HK','0992.HK','2611.HK','0087.HK','2007.HK','1821.HK','6823.HK','0020.HK','6969.HK','3908.HK','9868.HK','1378.HK','0101.HK','0004.HK','1193.HK','2196.HK','1698.HK','1787.HK','6099.HK','3759.HK','1186.HK','6098.HK','0902.HK','1099.HK','0268.HK','0151.HK','6837.HK','0384.HK','1800.HK','6963.HK','6186.HK','1336.HK','2602.HK','0670.HK','0868.HK','0486.HK','0288.HK','1066.HK','2016.HK','2600.HK','0285.HK','0017.HK','1548.HK','2238.HK','3323.HK','3898.HK','0293.HK','0656.HK','0270.HK','1801.HK','3800.HK','6066.HK','2066.HK','0696.HK','2607.HK','1797.HK','9889.HK','0135.HK','3799.HK','1128.HK','9901.HK','1044.HK','1308.HK','2588.HK','2638.HK','0144.HK','2883.HK','2380.HK','0247.HK','1072.HK','1585.HK','0780.HK','3311.HK','6821.HK','1359.HK','3320.HK','0358.HK','3668.HK','6865.HK','3998.HK','0853.HK','9926.HK','6689.HK','6110.HK','6881.HK','0489.HK','3888.HK','1877.HK','3996.HK','6199.HK','1908.HK','0874.HK','2282.HK','9898.HK','6806.HK','0973.HK','1618.HK','6078.HK','1347.HK','0177.HK','3931.HK','0966.HK','0412.HK','2367.HK','2689.HK','3698.HK','1882.HK','0220.HK','0880.HK','9863.HK','2799.HK','3948.HK','1157.HK','1071.HK','0772.HK','0392.HK','9995.HK','2039.HK','6060.HK','3958.HK','2208.HK','3918.HK','1691.HK','9698.HK','9922.HK','3808.HK','2518.HK','0586.HK','6993.HK','1999.HK','3618.HK','0867.HK','0123.HK','1551.HK','1138.HK','1818.HK','9992.HK','1910.HK','1579.HK','2252.HK','1313.HK','2096.HK','2669.HK','3900.HK','9668.HK','3331.HK','6660.HK','0148.HK','2727.HK','2357.HK','0008.HK','3969.HK','6049.HK','1888.HK','9896.HK','0014.HK','0576.HK','0659.HK','0694.HK','1385.HK','3360.HK','3660.HK','6808.HK','2128.HK','0683.HK','0023.HK','9969.HK','0636.HK','0631.HK','6198.HK','9985.HK','0425.HK','1114.HK','2245.HK','0991.HK','1833.HK','9688.HK','1513.HK','6178.HK','0839.HK','9877.HK','0069.HK','1216.HK','6190.HK','0817.HK','0522.HK','1368.HK','0754.HK','6127.HK','1268.HK','0053.HK','0354.HK','1508.HK','0257.HK','0013.HK','1199.HK','2018.HK','0552.HK','9878.HK','0347.HK','1030.HK','1799.HK','9869.HK','3396.HK','0371.HK','0467.HK','1530.HK','6699.HK','0136.HK','0189.HK','2285.HK','3868.HK','0010.HK','0416.HK','6680.HK','1951.HK','6698.HK','0598.HK','2778.HK','6655.HK','0570.HK','3866.HK','2013.HK','0152.HK','1252.HK','1735.HK','1208.HK','0551.HK','0345.HK','2869.HK','1798.HK','1958.HK','9899.HK','3633.HK','2880.HK','6185.HK','3990.HK','1563.HK','0512.HK','1060.HK','0579.HK','9993.HK','3899.HK','1448.HK','2386.HK','9886.HK','2162.HK','2139.HK','6088.HK','2314.HK','0548.HK','0338.HK','1258.HK','1121.HK','2005.HK','0323.HK','0909.HK','1992.HK','1963.HK','0314.HK','2866.HK','0590.HK','3319.HK','0697.HK','0045.HK','2343.HK','0956.HK','0921.HK','1907.HK','0200.HK','2150.HK','1458.HK','2172.HK','1516.HK','1316.HK','2186.HK','0667.HK','1606.HK','0336.HK','2255.HK','0041.HK','1196.HK','0303.HK','2121.HK','0639.HK','1083.HK','1675.HK','0564.HK','0778.HK','2157.HK','0081.HK','2179.HK','9979.HK','0546.HK','0604.HK','1302.HK','2145.HK','1811.HK','1578.HK','2273.HK','0710.HK','1456.HK','0357.HK','3669.HK','6122.HK','2009.HK','1528.HK','8032.HK','0855.HK','0884.HK','1789.HK','9997.HK','2400.HK','0363.HK','0317.HK','0995.HK','0990.HK','0535.HK','1112.HK','1896.HK','6869.HK','9966.HK','1244.HK','1381.HK','2315.HK','0525.HK','6955.HK','1033.HK','1883.HK','1686.HK','2325.HK','0165.HK','2291.HK','3383.HK','0142.HK','0308.HK','0520.HK','2138.HK','3613.HK','1839.HK','0819.HK','2155.HK','9923.HK','6196.HK','2099.HK','3933.HK','9666.HK','9959.HK','0405.HK','2171.HK','0179.HK','1415.HK','0777.HK','0460.HK','2666.HK','0034.HK','1610.HK','0751.HK','3983.HK','1967.HK','0173.HK','0341.HK','0558.HK','2299.HK','0071.HK','3377.HK','1983.HK','0826.HK','9858.HK','6606.HK','3738.HK','1476.HK','0272.HK','0120.HK','2356.HK','1271.HK','9989.HK','2391.HK','1995.HK','6055.HK','1070.HK','1117.HK','0506.HK','1755.HK','0650.HK','6686.HK','2407.HK','0775.HK','1053.HK','1224.HK','1812.HK','1717.HK','1212.HK','3308.HK','1515.HK','1666.HK','9955.HK','0327.HK','1052.HK','6610.HK','0410.HK','3877.HK','2362.HK','2777.HK','0934.HK','0116.HK','6929.HK','2232.HK','0873.HK','9857.HK','2696.HK','6855.HK','1788.HK','3709.HK','1475.HK','0691.HK','1250.HK','9699.HK','1361.HK','3380.HK','0119.HK','9638.HK','2038.HK','2390.HK','0797.HK','0297.HK','1238.HK','0856.HK','9996.HK','1477.HK','8446.HK','2160.HK','2858.HK','1310.HK','0811.HK','1860.HK','1668.HK','1357.HK','0373.HK','2877.HK','0861.HK','0095.HK','7001.HK','2158.HK','0182.HK','1905.HK','2500.HK','6826.HK','1813.HK','1890.HK','0737.HK','6069.HK','3309.HK','3369.HK','1164.HK','2279.HK','1133.HK','2558.HK','2192.HK','0440.HK','2678.HK','0587.HK','9658.HK','1521.HK','1858.HK','3339.HK','1468.HK','0743.HK','6600.HK','0215.HK','2001.HK','0665.HK','2686.HK','1176.HK','0086.HK','1558.HK','0658.HK','1836.HK','1916.HK','0028.HK','2156.HK','0178.HK','2616.HK','1952.HK','6626.HK','1765.HK','2148.HK','0435.HK','1773.HK','0107.HK','0719.HK','6868.HK','0806.HK','0746.HK','6639.HK','3316.HK','0737.HK','2137.HK','9956.HK','1119.HK','1108.HK','0581.HK','6669.HK','1942.HK','6608.HK','1230.HK','1375.HK','0315.HK','0062.HK','2068.HK','1622.HK','0051.HK','1576.HK','1830.HK','0242.HK','0256.HK','1478.HK','1183.HK','1672.HK','1198.HK','0686.HK','1065.HK','2257.HK','0035.HK','1137.HK','2098.HK','0302.HK','1277.HK','2233.HK','1866.HK','0612.HK','0127.HK','3306.HK','6100.HK','0906.HK','6616.HK','1501.HK','0369.HK','0207.HK','1763.HK','1911.HK','1596.HK','6989.HK','0596.HK','9939.HK','1234.HK','1881.HK','1760.HK','1696.HK','1966.HK','2199.HK','0038.HK','2190.HK','6830.HK','1709.HK','9909.HK','1733.HK','1286.HK','0376.HK','1257.HK','1969.HK','6889.HK','1003.HK','2235.HK','2425.HK','0289.HK','0032.HK','9983.HK','2436.HK','3813.HK','8328.HK','0493.HK','1167.HK','1857.HK','2169.HK','6922.HK','0382.HK','0732.HK','1600.HK','0830.HK','8083.HK','2552.HK','0606.HK','1031.HK','1809.HK','2342.HK','2163.HK','6988.HK','1817.HK','1382.HK','1708.HK','1140.HK','0816.HK','0517.HK','1270.HK','0098.HK','0480.HK','0693.HK','1426.HK','6633.HK','6138.HK','3913.HK','1330.HK','2217.HK','1921.HK','3382.HK','8137.HK','6996.HK','0799.HK','1635.HK','1873.HK','1463.HK','1428.HK','2197.HK','0662.HK','1681.HK','0553.HK','1205.HK','0105.HK','0026.HK','9990.HK','1785.HK','2322.HK','1848.HK','0258.HK','1855.HK','2219.HK','0810.HK','0563.HK','0108.HK','1233.HK','0989.HK','2337.HK','0808.HK','0588.HK','3318.HK','1628.HK','1084.HK','0798.HK','1050.HK','2448.HK','1098.HK','6667.HK','0259.HK','1034.HK','1272.HK','0607.HK','2215.HK','0305.HK','0050.HK','1345.HK','2420.HK','8279.HK','0078.HK','0580.HK','6677.HK','3833.HK','2772.HK','2225.HK','0194.HK','2385.HK','1651.HK','0807.HK','0158.HK','1729.HK','0709.HK','1450.HK','0978.HK','1970.HK','1432.HK','9960.HK','0085.HK','0185.HK','1599.HK','1899.HK','3393.HK','0088.HK','1223.HK','1680.HK','0626.HK','1660.HK','1931.HK','1231.HK','1122.HK','3611.HK','0411.HK','2383.HK','3886.HK','0400.HK','0163.HK','9991.HK','0331.HK','0846.HK','1442.HK','2722.HK','1543.HK','6978.HK','0330.HK','1184.HK','6601.HK','2191.HK','0818.HK','2361.HK','2130.HK','2142.HK','1061.HK','9616.HK','0750.HK','2019.HK','0975.HK','3718.HK','0860.HK','3989.HK','3600.HK','1523.HK','1503.HK','9911.HK','1005.HK','6819.HK','0029.HK','1571.HK','1090.HK','6928.HK','2418.HK','2218.HK','0568.HK','3700.HK','2167.HK','9982.HK','1593.HK','0279.HK','0895.HK','1981.HK','2002.HK','2368.HK','1091.HK','2246.HK','6913.HK','0025.HK','6668.HK','1373.HK','2207.HK','2256.HK','1321.HK','6909.HK','2886.HK','6820.HK','2360.HK','1569.HK','2355.HK','9913.HK','9977.HK','1948.HK','0337.HK','2101.HK','1221.HK','0398.HK','1341.HK','0900.HK','0617.HK','0251.HK','2231.HK','0776.HK','0468.HK','2276.HK','6093.HK','2422.HK','0878.HK','0931.HK','3818.HK','0419.HK','1045.HK','6858.HK','1725.HK','2698.HK','2392.HK','0842.HK','3390.HK','1085.HK','2187.HK','6158.HK','0408.HK','0329.HK','2348.HK','0951.HK','1665.HK','1728.HK','3301.HK','1263.HK','0609.HK','1141.HK','3681.HK','1820.HK','3836.HK','2126.HK','2633.HK','1846.HK','0286.HK','1697.HK','2297.HK','0695.HK','1126.HK','0321.HK','2181.HK','0052.HK','3639.HK','2250.HK','2768.HK','1935.HK','0139.HK','3798.HK','2779.HK','1469.HK','0222.HK','2008.HK','0438.HK','2660.HK','6638.HK','0716.HK','0187.HK','0230.HK','0838.HK','0255.HK','1996.HK','0610.HK','6908.HK','0542.HK','0622.HK','1719.HK','0266.HK','2198.HK','3903.HK','1875.HK','0511.HK','1713.HK','1588.HK','1795.HK','6622.HK','0882.HK','0875.HK','1702.HK','1977.HK','3939.HK','1525.HK','0982.HK','0335.HK','0603.HK','0113.HK','3336.HK','6885.HK','0752.HK','0488.HK','0451.HK','6090.HK','2878.HK','6878.HK','1727.HK','3788.HK','3300.HK','1104.HK','2237.HK','3329.HK','0169.HK','6609.HK','0064.HK','0326.HK','0159.HK','2251.HK','9936.HK','9906.HK','0147.HK','0547.HK','2153.HK','3768.HK','2185.HK','0825.HK','9600.HK','9986.HK','1979.HK','6896.HK','2180.HK','8053.HK','0160.HK','0672.HK','3678.HK','0809.HK','1656.HK','0131.HK','6998.HK','0202.HK','0533.HK','0018.HK','2427.HK','6628.HK','0226.HK','3838.HK','0863.HK','3882.HK','0093.HK','0273.HK','2003.HK','6828.HK','2136.HK','0124.HK','2283.HK','1986.HK','1370.HK','0661.HK','0896.HK','0592.HK','8395.HK','0196.HK','1057.HK','3315.HK','1366.HK','0832.HK','0031.HK','1293.HK','1029.HK','0360.HK','1915.HK','0133.HK','6661.HK','1561.HK','0340.HK','3389.HK','2599.HK','1745.HK','6811.HK','1583.HK','0497.HK','6968.HK','1608.HK','2100.HK','0887.HK','2216.HK','0560.HK','0726.HK','2327.HK','1332.HK','2111.HK','0698.HK','2236.HK','9908.HK','6136.HK','2399.HK','2166.HK','0733.HK','2488.HK','0582.HK','1748.HK','1168.HK','8391.HK','1738.HK','0367.HK','0938.HK','1115.HK','0635.HK','0057.HK','0952.HK','0306.HK','1499.HK','0848.HK','0089.HK','0769.HK','0393.HK','1782.HK','3337.HK','1349.HK','0228.HK','1982.HK','1488.HK','1741.HK','7836.HK','2798.HK','3688.HK','0420.HK','0201.HK','0157.HK','3658.HK','8037.HK','3680.HK','2738.HK','1965.HK','2302.HK','3303.HK','0082.HK','2329.HK','0346.HK','1082.HK','1689.HK','1290.HK','0240.HK','1431.HK','1837.HK','2112.HK','2048.HK','6805.HK','0993.HK','1502.HK','1228.HK','0498.HK','0374.HK','1086.HK','1786.HK','0471.HK','1125.HK','2170.HK','0334.HK','0827.HK','0225.HK','0910.HK','2309.HK','1756.HK','1652.HK','0976.HK','0156.HK','0528.HK','9928.HK','6118.HK','2369.HK'</t>
  </si>
  <si>
    <t xml:space="preserve">PB 最近时间 </t>
  </si>
  <si>
    <t>市值 最近时间 (CNY)</t>
  </si>
  <si>
    <t xml:space="preserve">流动比率 当期 2022-09-30 </t>
  </si>
  <si>
    <t xml:space="preserve">速动比率 当期 2022-09-30 </t>
  </si>
  <si>
    <t xml:space="preserve">货币资金占流动负债比率 当期 2022-09-30 </t>
  </si>
  <si>
    <t>sz</t>
  </si>
  <si>
    <t>凯格精机</t>
  </si>
  <si>
    <t>其他专用设备</t>
  </si>
  <si>
    <t>www.lixinger.com/analytics/company/sz/301338/301338/detail</t>
  </si>
  <si>
    <t>sh</t>
  </si>
  <si>
    <t>奥比中光</t>
  </si>
  <si>
    <t>光学元件</t>
  </si>
  <si>
    <t>www.lixinger.com/analytics/company/sh/688322/688322/detail</t>
  </si>
  <si>
    <t>润贝航科</t>
  </si>
  <si>
    <t>油品石化贸易</t>
  </si>
  <si>
    <t>www.lixinger.com/analytics/company/sz/001316/1316/detail</t>
  </si>
  <si>
    <t>露笑科技</t>
  </si>
  <si>
    <t>光伏发电</t>
  </si>
  <si>
    <t>www.lixinger.com/analytics/company/sz/002617/2617/detail</t>
  </si>
  <si>
    <t>智微智能</t>
  </si>
  <si>
    <t>其他计算机设备</t>
  </si>
  <si>
    <t>www.lixinger.com/analytics/company/sz/001339/1339/detail</t>
  </si>
  <si>
    <t>聚力文化</t>
  </si>
  <si>
    <t>其他建材</t>
  </si>
  <si>
    <t>www.lixinger.com/analytics/company/sz/002247/2247/detail</t>
  </si>
  <si>
    <t>明新旭腾</t>
  </si>
  <si>
    <t>车身附件及饰件</t>
  </si>
  <si>
    <t>www.lixinger.com/analytics/company/sh/605068/605068/detail</t>
  </si>
  <si>
    <t>森霸传感</t>
  </si>
  <si>
    <t>www.lixinger.com/analytics/company/sz/300701/300701/detail</t>
  </si>
  <si>
    <t>博杰股份</t>
  </si>
  <si>
    <t>工控设备</t>
  </si>
  <si>
    <t>www.lixinger.com/analytics/company/sz/002975/2975/detail</t>
  </si>
  <si>
    <t>联盛化学</t>
  </si>
  <si>
    <t>其他化学制品</t>
  </si>
  <si>
    <t>www.lixinger.com/analytics/company/sz/301212/301212/detail</t>
  </si>
  <si>
    <t>威帝股份</t>
  </si>
  <si>
    <t>汽车电子电气系统</t>
  </si>
  <si>
    <t>www.lixinger.com/analytics/company/sh/603023/603023/detail</t>
  </si>
  <si>
    <t>东芯股份</t>
  </si>
  <si>
    <t>数字芯片设计</t>
  </si>
  <si>
    <t>www.lixinger.com/analytics/company/sh/688110/688110/detail</t>
  </si>
  <si>
    <t>隆华新材</t>
  </si>
  <si>
    <t>www.lixinger.com/analytics/company/sz/301149/301149/detail</t>
  </si>
  <si>
    <t>东宝生物</t>
  </si>
  <si>
    <t>其他生物制品</t>
  </si>
  <si>
    <t>www.lixinger.com/analytics/company/sz/300239/300239/detail</t>
  </si>
  <si>
    <t>汉仪股份</t>
  </si>
  <si>
    <t>横向通用软件</t>
  </si>
  <si>
    <t>www.lixinger.com/analytics/company/sz/301270/301270/detail</t>
  </si>
  <si>
    <t>科力尔</t>
  </si>
  <si>
    <t>电机</t>
  </si>
  <si>
    <t>www.lixinger.com/analytics/company/sz/002892/2892/detail</t>
  </si>
  <si>
    <t>神农集团</t>
  </si>
  <si>
    <t>生猪养殖</t>
  </si>
  <si>
    <t>www.lixinger.com/analytics/company/sh/605296/605296/detail</t>
  </si>
  <si>
    <t>大族数控</t>
  </si>
  <si>
    <t>www.lixinger.com/analytics/company/sz/301200/301200/detail</t>
  </si>
  <si>
    <t>浙江正特</t>
  </si>
  <si>
    <t>娱乐用品</t>
  </si>
  <si>
    <t>www.lixinger.com/analytics/company/sz/001238/1238/detail</t>
  </si>
  <si>
    <t>贵航股份</t>
  </si>
  <si>
    <t>其他汽车零部件</t>
  </si>
  <si>
    <t>www.lixinger.com/analytics/company/sh/600523/600523/detail</t>
  </si>
  <si>
    <t>金钼股份</t>
  </si>
  <si>
    <t>钼</t>
  </si>
  <si>
    <t>www.lixinger.com/analytics/company/sh/601958/601958/detail</t>
  </si>
  <si>
    <t>光线传媒</t>
  </si>
  <si>
    <t>影视动漫制作</t>
  </si>
  <si>
    <t>www.lixinger.com/analytics/company/sz/300251/300251/detail</t>
  </si>
  <si>
    <t>银泰黄金</t>
  </si>
  <si>
    <t>黄金</t>
  </si>
  <si>
    <t>www.lixinger.com/analytics/company/sz/000975/975/detail</t>
  </si>
  <si>
    <t>西藏药业</t>
  </si>
  <si>
    <t>中药</t>
  </si>
  <si>
    <t>www.lixinger.com/analytics/company/sh/600211/600211/detail</t>
  </si>
  <si>
    <t>博创科技</t>
  </si>
  <si>
    <t>通信网络设备及器件</t>
  </si>
  <si>
    <t>www.lixinger.com/analytics/company/sz/300548/300548/detail</t>
  </si>
  <si>
    <t>桂林三金</t>
  </si>
  <si>
    <t>www.lixinger.com/analytics/company/sz/002275/2275/detail</t>
  </si>
  <si>
    <t>赛诺医疗</t>
  </si>
  <si>
    <t>医疗耗材</t>
  </si>
  <si>
    <t>www.lixinger.com/analytics/company/sh/688108/688108/detail</t>
  </si>
  <si>
    <t>东岳硅材</t>
  </si>
  <si>
    <t>有机硅</t>
  </si>
  <si>
    <t>www.lixinger.com/analytics/company/sz/300821/300821/detail</t>
  </si>
  <si>
    <t>五洲医疗</t>
  </si>
  <si>
    <t>www.lixinger.com/analytics/company/sz/301234/301234/detail</t>
  </si>
  <si>
    <t>博硕科技</t>
  </si>
  <si>
    <t>消费电子零部件及组装</t>
  </si>
  <si>
    <t>www.lixinger.com/analytics/company/sz/300951/300951/detail</t>
  </si>
  <si>
    <t>雷柏科技</t>
  </si>
  <si>
    <t>www.lixinger.com/analytics/company/sz/002577/2577/detail</t>
  </si>
  <si>
    <t>恒盛能源</t>
  </si>
  <si>
    <t>热力服务</t>
  </si>
  <si>
    <t>www.lixinger.com/analytics/company/sh/605580/605580/detail</t>
  </si>
  <si>
    <t>宏英智能</t>
  </si>
  <si>
    <t>www.lixinger.com/analytics/company/sz/001266/1266/detail</t>
  </si>
  <si>
    <t>强瑞技术</t>
  </si>
  <si>
    <t>www.lixinger.com/analytics/company/sz/301128/301128/detail</t>
  </si>
  <si>
    <t>南凌科技</t>
  </si>
  <si>
    <t>通信应用增值服务</t>
  </si>
  <si>
    <t>www.lixinger.com/analytics/company/sz/300921/300921/detail</t>
  </si>
  <si>
    <t>谱尼测试</t>
  </si>
  <si>
    <t>检测服务</t>
  </si>
  <si>
    <t>www.lixinger.com/analytics/company/sz/300887/300887/detail</t>
  </si>
  <si>
    <t>东方钽业</t>
  </si>
  <si>
    <t>其他小金属</t>
  </si>
  <si>
    <t>www.lixinger.com/analytics/company/sz/000962/962/detail</t>
  </si>
  <si>
    <t>新华网</t>
  </si>
  <si>
    <t>门户网站</t>
  </si>
  <si>
    <t>www.lixinger.com/analytics/company/sh/603888/603888/detail</t>
  </si>
  <si>
    <t>春晖智控</t>
  </si>
  <si>
    <t>金属制品</t>
  </si>
  <si>
    <t>www.lixinger.com/analytics/company/sz/300943/300943/detail</t>
  </si>
  <si>
    <t>申昊科技</t>
  </si>
  <si>
    <t>电网自动化设备</t>
  </si>
  <si>
    <t>www.lixinger.com/analytics/company/sz/300853/300853/detail</t>
  </si>
  <si>
    <t>泰慕士</t>
  </si>
  <si>
    <t>其他纺织</t>
  </si>
  <si>
    <t>www.lixinger.com/analytics/company/sz/001234/1234/detail</t>
  </si>
  <si>
    <t>马应龙</t>
  </si>
  <si>
    <t>www.lixinger.com/analytics/company/sh/600993/600993/detail</t>
  </si>
  <si>
    <t>顺鑫农业</t>
  </si>
  <si>
    <t>白酒</t>
  </si>
  <si>
    <t>www.lixinger.com/analytics/company/sz/000860/860/detail</t>
  </si>
  <si>
    <t>南侨食品</t>
  </si>
  <si>
    <t>烘焙食品</t>
  </si>
  <si>
    <t>www.lixinger.com/analytics/company/sh/605339/605339/detail</t>
  </si>
  <si>
    <t>金橙子</t>
  </si>
  <si>
    <t>垂直应用软件</t>
  </si>
  <si>
    <t>www.lixinger.com/analytics/company/sh/688291/688291/detail</t>
  </si>
  <si>
    <t>招商南油</t>
  </si>
  <si>
    <t>航运</t>
  </si>
  <si>
    <t>www.lixinger.com/analytics/company/sh/601975/601975/detail</t>
  </si>
  <si>
    <t>映翰通</t>
  </si>
  <si>
    <t>其他通信设备</t>
  </si>
  <si>
    <t>www.lixinger.com/analytics/company/sh/688080/688080/detail</t>
  </si>
  <si>
    <t>信德新材</t>
  </si>
  <si>
    <t>电池化学品</t>
  </si>
  <si>
    <t>www.lixinger.com/analytics/company/sz/301349/301349/detail</t>
  </si>
  <si>
    <t>金字火腿</t>
  </si>
  <si>
    <t>肉制品</t>
  </si>
  <si>
    <t>www.lixinger.com/analytics/company/sz/002515/2515/detail</t>
  </si>
  <si>
    <t>天微电子</t>
  </si>
  <si>
    <t>军工电子</t>
  </si>
  <si>
    <t>www.lixinger.com/analytics/company/sh/688511/688511/detail</t>
  </si>
  <si>
    <t>利仁科技</t>
  </si>
  <si>
    <t>厨房小家电</t>
  </si>
  <si>
    <t>www.lixinger.com/analytics/company/sz/001259/1259/detail</t>
  </si>
  <si>
    <t>必易微</t>
  </si>
  <si>
    <t>模拟芯片设计</t>
  </si>
  <si>
    <t>www.lixinger.com/analytics/company/sh/688045/688045/detail</t>
  </si>
  <si>
    <t>浩瀚深度</t>
  </si>
  <si>
    <t>www.lixinger.com/analytics/company/sh/688292/688292/detail</t>
  </si>
  <si>
    <t>安德利</t>
  </si>
  <si>
    <t>果蔬加工</t>
  </si>
  <si>
    <t>www.lixinger.com/analytics/company/sh/605198/605198/detail</t>
  </si>
  <si>
    <t>长白山</t>
  </si>
  <si>
    <t>自然景区</t>
  </si>
  <si>
    <t>www.lixinger.com/analytics/company/sh/603099/603099/detail</t>
  </si>
  <si>
    <t>迪普科技</t>
  </si>
  <si>
    <t>www.lixinger.com/analytics/company/sz/300768/300768/detail</t>
  </si>
  <si>
    <t>创维数字</t>
  </si>
  <si>
    <t>其他黑色家电</t>
  </si>
  <si>
    <t>www.lixinger.com/analytics/company/sz/000810/810/detail</t>
  </si>
  <si>
    <t>精进电动</t>
  </si>
  <si>
    <t>底盘与发动机系统</t>
  </si>
  <si>
    <t>www.lixinger.com/analytics/company/sh/688280/688280/detail</t>
  </si>
  <si>
    <t>易点天下</t>
  </si>
  <si>
    <t>营销代理</t>
  </si>
  <si>
    <t>www.lixinger.com/analytics/company/sz/301171/301171/detail</t>
  </si>
  <si>
    <t>钱江摩托</t>
  </si>
  <si>
    <t>摩托车</t>
  </si>
  <si>
    <t>www.lixinger.com/analytics/company/sz/000913/913/detail</t>
  </si>
  <si>
    <t>桂发祥</t>
  </si>
  <si>
    <t>www.lixinger.com/analytics/company/sz/002820/2820/detail</t>
  </si>
  <si>
    <t>拓山重工</t>
  </si>
  <si>
    <t>工程机械器件</t>
  </si>
  <si>
    <t>www.lixinger.com/analytics/company/sz/001226/1226/detail</t>
  </si>
  <si>
    <t>金禾实业</t>
  </si>
  <si>
    <t>食品及饲料添加剂</t>
  </si>
  <si>
    <t>www.lixinger.com/analytics/company/sz/002597/2597/detail</t>
  </si>
  <si>
    <t>中科环保</t>
  </si>
  <si>
    <t>固废治理</t>
  </si>
  <si>
    <t>www.lixinger.com/analytics/company/sz/301175/301175/detail</t>
  </si>
  <si>
    <t>天益医疗</t>
  </si>
  <si>
    <t>www.lixinger.com/analytics/company/sz/301097/301097/detail</t>
  </si>
  <si>
    <t>森赫股份</t>
  </si>
  <si>
    <t>楼宇设备</t>
  </si>
  <si>
    <t>www.lixinger.com/analytics/company/sz/301056/301056/detail</t>
  </si>
  <si>
    <t>淳中科技</t>
  </si>
  <si>
    <t>www.lixinger.com/analytics/company/sh/603516/603516/detail</t>
  </si>
  <si>
    <t>浩欧博</t>
  </si>
  <si>
    <t>体外诊断</t>
  </si>
  <si>
    <t>www.lixinger.com/analytics/company/sh/688656/688656/detail</t>
  </si>
  <si>
    <t>捷安高科</t>
  </si>
  <si>
    <t>www.lixinger.com/analytics/company/sz/300845/300845/detail</t>
  </si>
  <si>
    <t>松霖科技</t>
  </si>
  <si>
    <t>卫浴制品</t>
  </si>
  <si>
    <t>www.lixinger.com/analytics/company/sh/603992/603992/detail</t>
  </si>
  <si>
    <t>中核钛白</t>
  </si>
  <si>
    <t>钛白粉</t>
  </si>
  <si>
    <t>www.lixinger.com/analytics/company/sz/002145/2145/detail</t>
  </si>
  <si>
    <t>翔宇医疗</t>
  </si>
  <si>
    <t>医疗设备</t>
  </si>
  <si>
    <t>www.lixinger.com/analytics/company/sh/688626/688626/detail</t>
  </si>
  <si>
    <t>中兵红箭</t>
  </si>
  <si>
    <t>地面兵装</t>
  </si>
  <si>
    <t>www.lixinger.com/analytics/company/sz/000519/519/detail</t>
  </si>
  <si>
    <t>双飞股份</t>
  </si>
  <si>
    <t>www.lixinger.com/analytics/company/sz/300817/300817/detail</t>
  </si>
  <si>
    <t>得邦照明</t>
  </si>
  <si>
    <t>照明设备</t>
  </si>
  <si>
    <t>www.lixinger.com/analytics/company/sh/603303/603303/detail</t>
  </si>
  <si>
    <t>理工导航</t>
  </si>
  <si>
    <t>航天装备</t>
  </si>
  <si>
    <t>www.lixinger.com/analytics/company/sh/688282/688282/detail</t>
  </si>
  <si>
    <t>综艺股份</t>
  </si>
  <si>
    <t>综合</t>
  </si>
  <si>
    <t>www.lixinger.com/analytics/company/sh/600770/600770/detail</t>
  </si>
  <si>
    <t>多伦科技</t>
  </si>
  <si>
    <t>www.lixinger.com/analytics/company/sh/603528/603528/detail</t>
  </si>
  <si>
    <t>胜蓝股份</t>
  </si>
  <si>
    <t>www.lixinger.com/analytics/company/sz/300843/300843/detail</t>
  </si>
  <si>
    <t>汇顶科技</t>
  </si>
  <si>
    <t>www.lixinger.com/analytics/company/sh/603160/603160/detail</t>
  </si>
  <si>
    <t>方邦股份</t>
  </si>
  <si>
    <t>印制电路板</t>
  </si>
  <si>
    <t>www.lixinger.com/analytics/company/sh/688020/688020/detail</t>
  </si>
  <si>
    <t>宝兰德</t>
  </si>
  <si>
    <t>www.lixinger.com/analytics/company/sh/688058/688058/detail</t>
  </si>
  <si>
    <t>江南奕帆</t>
  </si>
  <si>
    <t>www.lixinger.com/analytics/company/sz/301023/301023/detail</t>
  </si>
  <si>
    <t>凌霄泵业</t>
  </si>
  <si>
    <t>其他通用设备</t>
  </si>
  <si>
    <t>www.lixinger.com/analytics/company/sz/002884/2884/detail</t>
  </si>
  <si>
    <t>康斯特</t>
  </si>
  <si>
    <t>仪器仪表</t>
  </si>
  <si>
    <t>www.lixinger.com/analytics/company/sz/300445/300445/detail</t>
  </si>
  <si>
    <t>太辰光</t>
  </si>
  <si>
    <t>www.lixinger.com/analytics/company/sz/300570/300570/detail</t>
  </si>
  <si>
    <t>盛天网络</t>
  </si>
  <si>
    <t>游戏</t>
  </si>
  <si>
    <t>www.lixinger.com/analytics/company/sz/300494/300494/detail</t>
  </si>
  <si>
    <t>华康股份</t>
  </si>
  <si>
    <t>www.lixinger.com/analytics/company/sh/605077/605077/detail</t>
  </si>
  <si>
    <t>石头科技</t>
  </si>
  <si>
    <t>清洁小家电</t>
  </si>
  <si>
    <t>www.lixinger.com/analytics/company/sh/688169/688169/detail</t>
  </si>
  <si>
    <t>雅化集团</t>
  </si>
  <si>
    <t>锂</t>
  </si>
  <si>
    <t>www.lixinger.com/analytics/company/sz/002497/2497/detail</t>
  </si>
  <si>
    <t>国光股份</t>
  </si>
  <si>
    <t>农药</t>
  </si>
  <si>
    <t>www.lixinger.com/analytics/company/sz/002749/2749/detail</t>
  </si>
  <si>
    <t>灿瑞科技</t>
  </si>
  <si>
    <t>www.lixinger.com/analytics/company/sh/688061/688061/detail</t>
  </si>
  <si>
    <t>利君股份</t>
  </si>
  <si>
    <t>航空装备</t>
  </si>
  <si>
    <t>www.lixinger.com/analytics/company/sz/002651/2651/detail</t>
  </si>
  <si>
    <t>诺泰生物</t>
  </si>
  <si>
    <t>医疗研发外包</t>
  </si>
  <si>
    <t>www.lixinger.com/analytics/company/sh/688076/688076/detail</t>
  </si>
  <si>
    <t>嘉麟杰</t>
  </si>
  <si>
    <t>www.lixinger.com/analytics/company/sz/002486/2486/detail</t>
  </si>
  <si>
    <t>世纪天鸿</t>
  </si>
  <si>
    <t>教育出版</t>
  </si>
  <si>
    <t>www.lixinger.com/analytics/company/sz/300654/300654/detail</t>
  </si>
  <si>
    <t>银河微电</t>
  </si>
  <si>
    <t>分立器件</t>
  </si>
  <si>
    <t>www.lixinger.com/analytics/company/sh/688689/688689/detail</t>
  </si>
  <si>
    <t>西藏旅游</t>
  </si>
  <si>
    <t>www.lixinger.com/analytics/company/sh/600749/600749/detail</t>
  </si>
  <si>
    <t>新易盛</t>
  </si>
  <si>
    <t>www.lixinger.com/analytics/company/sz/300502/300502/detail</t>
  </si>
  <si>
    <t>安纳达</t>
  </si>
  <si>
    <t>www.lixinger.com/analytics/company/sz/002136/2136/detail</t>
  </si>
  <si>
    <t>东利机械</t>
  </si>
  <si>
    <t>www.lixinger.com/analytics/company/sz/301298/301298/detail</t>
  </si>
  <si>
    <t>兆讯传媒</t>
  </si>
  <si>
    <t>广告媒体</t>
  </si>
  <si>
    <t>www.lixinger.com/analytics/company/sz/301102/301102/detail</t>
  </si>
  <si>
    <t>永贵电器</t>
  </si>
  <si>
    <t>轨交设备</t>
  </si>
  <si>
    <t>www.lixinger.com/analytics/company/sz/300351/300351/detail</t>
  </si>
  <si>
    <t>创业慧康</t>
  </si>
  <si>
    <t>www.lixinger.com/analytics/company/sz/300451/300451/detail</t>
  </si>
  <si>
    <t>煌上煌</t>
  </si>
  <si>
    <t>熟食</t>
  </si>
  <si>
    <t>www.lixinger.com/analytics/company/sz/002695/2695/detail</t>
  </si>
  <si>
    <t>云赛智联</t>
  </si>
  <si>
    <t>www.lixinger.com/analytics/company/sh/600602/600602/detail</t>
  </si>
  <si>
    <t>华研精机</t>
  </si>
  <si>
    <t>印刷包装机械</t>
  </si>
  <si>
    <t>www.lixinger.com/analytics/company/sz/301138/301138/detail</t>
  </si>
  <si>
    <t>汉王科技</t>
  </si>
  <si>
    <t>www.lixinger.com/analytics/company/sz/002362/2362/detail</t>
  </si>
  <si>
    <t>山外山</t>
  </si>
  <si>
    <t>www.lixinger.com/analytics/company/sh/688410/688410/detail</t>
  </si>
  <si>
    <t>ST时万</t>
  </si>
  <si>
    <t>锂电池</t>
  </si>
  <si>
    <t>www.lixinger.com/analytics/company/sh/600241/600241/detail</t>
  </si>
  <si>
    <t>中际联合</t>
  </si>
  <si>
    <t>工程机械整机</t>
  </si>
  <si>
    <t>www.lixinger.com/analytics/company/sh/605305/605305/detail</t>
  </si>
  <si>
    <t>鸿日达</t>
  </si>
  <si>
    <t>www.lixinger.com/analytics/company/sz/301285/301285/detail</t>
  </si>
  <si>
    <t>天宜上佳</t>
  </si>
  <si>
    <t>www.lixinger.com/analytics/company/sh/688033/688033/detail</t>
  </si>
  <si>
    <t>四川双马</t>
  </si>
  <si>
    <t>水泥制造</t>
  </si>
  <si>
    <t>www.lixinger.com/analytics/company/sz/000935/935/detail</t>
  </si>
  <si>
    <t>迈得医疗</t>
  </si>
  <si>
    <t>其他自动化设备</t>
  </si>
  <si>
    <t>www.lixinger.com/analytics/company/sh/688310/688310/detail</t>
  </si>
  <si>
    <t>北纬科技</t>
  </si>
  <si>
    <t>www.lixinger.com/analytics/company/sz/002148/2148/detail</t>
  </si>
  <si>
    <t>富创精密</t>
  </si>
  <si>
    <t>半导体设备</t>
  </si>
  <si>
    <t>www.lixinger.com/analytics/company/sh/688409/688409/detail</t>
  </si>
  <si>
    <t>亚星锚链</t>
  </si>
  <si>
    <t>航海装备</t>
  </si>
  <si>
    <t>www.lixinger.com/analytics/company/sh/601890/601890/detail</t>
  </si>
  <si>
    <t>近岸蛋白</t>
  </si>
  <si>
    <t>www.lixinger.com/analytics/company/sh/688137/688137/detail</t>
  </si>
  <si>
    <t>同为股份</t>
  </si>
  <si>
    <t>安防设备</t>
  </si>
  <si>
    <t>www.lixinger.com/analytics/company/sz/002835/2835/detail</t>
  </si>
  <si>
    <t>秋田微</t>
  </si>
  <si>
    <t>面板</t>
  </si>
  <si>
    <t>www.lixinger.com/analytics/company/sz/300939/300939/detail</t>
  </si>
  <si>
    <t>稳健医疗</t>
  </si>
  <si>
    <t>生活用纸</t>
  </si>
  <si>
    <t>www.lixinger.com/analytics/company/sz/300888/300888/detail</t>
  </si>
  <si>
    <t>新亚强</t>
  </si>
  <si>
    <t>www.lixinger.com/analytics/company/sh/603155/603155/detail</t>
  </si>
  <si>
    <t>卓越新能</t>
  </si>
  <si>
    <t>www.lixinger.com/analytics/company/sh/688196/688196/detail</t>
  </si>
  <si>
    <t>绿盟科技</t>
  </si>
  <si>
    <t>www.lixinger.com/analytics/company/sz/300369/300369/detail</t>
  </si>
  <si>
    <t>华鲁恒升</t>
  </si>
  <si>
    <t>氮肥</t>
  </si>
  <si>
    <t>www.lixinger.com/analytics/company/sh/600426/600426/detail</t>
  </si>
  <si>
    <t>豪悦护理</t>
  </si>
  <si>
    <t>www.lixinger.com/analytics/company/sh/605009/605009/detail</t>
  </si>
  <si>
    <t>焦点科技</t>
  </si>
  <si>
    <t>跨境电商</t>
  </si>
  <si>
    <t>www.lixinger.com/analytics/company/sz/002315/2315/detail</t>
  </si>
  <si>
    <t>兆日科技</t>
  </si>
  <si>
    <t>www.lixinger.com/analytics/company/sz/300333/300333/detail</t>
  </si>
  <si>
    <t>三维天地</t>
  </si>
  <si>
    <t>www.lixinger.com/analytics/company/sz/301159/301159/detail</t>
  </si>
  <si>
    <t>祥源文旅</t>
  </si>
  <si>
    <t>www.lixinger.com/analytics/company/sh/600576/600576/detail</t>
  </si>
  <si>
    <t>上海电影</t>
  </si>
  <si>
    <t>www.lixinger.com/analytics/company/sh/601595/601595/detail</t>
  </si>
  <si>
    <t>贝斯美</t>
  </si>
  <si>
    <t>www.lixinger.com/analytics/company/sz/300796/300796/detail</t>
  </si>
  <si>
    <t>标榜股份</t>
  </si>
  <si>
    <t>www.lixinger.com/analytics/company/sz/301181/301181/detail</t>
  </si>
  <si>
    <t>联动科技</t>
  </si>
  <si>
    <t>www.lixinger.com/analytics/company/sz/301369/301369/detail</t>
  </si>
  <si>
    <t>农心科技</t>
  </si>
  <si>
    <t>www.lixinger.com/analytics/company/sz/001231/1231/detail</t>
  </si>
  <si>
    <t>浙江自然</t>
  </si>
  <si>
    <t>www.lixinger.com/analytics/company/sh/605080/605080/detail</t>
  </si>
  <si>
    <t>安宁股份</t>
  </si>
  <si>
    <t>www.lixinger.com/analytics/company/sz/002978/2978/detail</t>
  </si>
  <si>
    <t>中触媒</t>
  </si>
  <si>
    <t>www.lixinger.com/analytics/company/sh/688267/688267/detail</t>
  </si>
  <si>
    <t>瑞泰新材</t>
  </si>
  <si>
    <t>www.lixinger.com/analytics/company/sz/301238/301238/detail</t>
  </si>
  <si>
    <t>嘉和美康</t>
  </si>
  <si>
    <t>www.lixinger.com/analytics/company/sh/688246/688246/detail</t>
  </si>
  <si>
    <t>捷昌驱动</t>
  </si>
  <si>
    <t>www.lixinger.com/analytics/company/sh/603583/603583/detail</t>
  </si>
  <si>
    <t>仙乐健康</t>
  </si>
  <si>
    <t>保健品</t>
  </si>
  <si>
    <t>www.lixinger.com/analytics/company/sz/300791/300791/detail</t>
  </si>
  <si>
    <t>亚钾国际</t>
  </si>
  <si>
    <t>钾肥</t>
  </si>
  <si>
    <t>www.lixinger.com/analytics/company/sz/000893/893/detail</t>
  </si>
  <si>
    <t>百胜智能</t>
  </si>
  <si>
    <t>www.lixinger.com/analytics/company/sz/301083/301083/detail</t>
  </si>
  <si>
    <t>菲菱科思</t>
  </si>
  <si>
    <t>通信终端及配件</t>
  </si>
  <si>
    <t>www.lixinger.com/analytics/company/sz/301191/301191/detail</t>
  </si>
  <si>
    <t>新媒股份</t>
  </si>
  <si>
    <t>www.lixinger.com/analytics/company/sz/300770/300770/detail</t>
  </si>
  <si>
    <t>每日互动</t>
  </si>
  <si>
    <t>www.lixinger.com/analytics/company/sz/300766/300766/detail</t>
  </si>
  <si>
    <t>五芳斋</t>
  </si>
  <si>
    <t>预加工食品</t>
  </si>
  <si>
    <t>www.lixinger.com/analytics/company/sh/603237/603237/detail</t>
  </si>
  <si>
    <t>云南白药</t>
  </si>
  <si>
    <t>www.lixinger.com/analytics/company/sz/000538/538/detail</t>
  </si>
  <si>
    <t>玉马遮阳</t>
  </si>
  <si>
    <t>其他家居用品</t>
  </si>
  <si>
    <t>www.lixinger.com/analytics/company/sz/300993/300993/detail</t>
  </si>
  <si>
    <t>金鸿顺</t>
  </si>
  <si>
    <t>www.lixinger.com/analytics/company/sh/603922/603922/detail</t>
  </si>
  <si>
    <t>中汽股份</t>
  </si>
  <si>
    <t>汽车综合服务</t>
  </si>
  <si>
    <t>www.lixinger.com/analytics/company/sz/301215/301215/detail</t>
  </si>
  <si>
    <t>正强股份</t>
  </si>
  <si>
    <t>www.lixinger.com/analytics/company/sz/301119/301119/detail</t>
  </si>
  <si>
    <t>聚杰微纤</t>
  </si>
  <si>
    <t>www.lixinger.com/analytics/company/sz/300819/300819/detail</t>
  </si>
  <si>
    <t>海融科技</t>
  </si>
  <si>
    <t>乳品</t>
  </si>
  <si>
    <t>www.lixinger.com/analytics/company/sz/300915/300915/detail</t>
  </si>
  <si>
    <t>奥普家居</t>
  </si>
  <si>
    <t>卫浴电器</t>
  </si>
  <si>
    <t>www.lixinger.com/analytics/company/sh/603551/603551/detail</t>
  </si>
  <si>
    <t>邦彦技术</t>
  </si>
  <si>
    <t>www.lixinger.com/analytics/company/sh/688132/688132/detail</t>
  </si>
  <si>
    <t>基蛋生物</t>
  </si>
  <si>
    <t>www.lixinger.com/analytics/company/sh/603387/603387/detail</t>
  </si>
  <si>
    <t>新和成</t>
  </si>
  <si>
    <t>原料药</t>
  </si>
  <si>
    <t>www.lixinger.com/analytics/company/sz/002001/2001/detail</t>
  </si>
  <si>
    <t>必创科技</t>
  </si>
  <si>
    <t>www.lixinger.com/analytics/company/sz/300667/300667/detail</t>
  </si>
  <si>
    <t>东阿阿胶</t>
  </si>
  <si>
    <t>www.lixinger.com/analytics/company/sz/000423/423/detail</t>
  </si>
  <si>
    <t>掌阅科技</t>
  </si>
  <si>
    <t>文字媒体</t>
  </si>
  <si>
    <t>www.lixinger.com/analytics/company/sh/603533/603533/detail</t>
  </si>
  <si>
    <t>华瓷股份</t>
  </si>
  <si>
    <t>www.lixinger.com/analytics/company/sz/001216/1216/detail</t>
  </si>
  <si>
    <t>炬华科技</t>
  </si>
  <si>
    <t>电工仪器仪表</t>
  </si>
  <si>
    <t>www.lixinger.com/analytics/company/sz/300360/300360/detail</t>
  </si>
  <si>
    <t>天秦装备</t>
  </si>
  <si>
    <t>www.lixinger.com/analytics/company/sz/300922/300922/detail</t>
  </si>
  <si>
    <t>大元泵业</t>
  </si>
  <si>
    <t>www.lixinger.com/analytics/company/sh/603757/603757/detail</t>
  </si>
  <si>
    <t>雷尔伟</t>
  </si>
  <si>
    <t>www.lixinger.com/analytics/company/sz/301016/301016/detail</t>
  </si>
  <si>
    <t>鼎捷软件</t>
  </si>
  <si>
    <t>www.lixinger.com/analytics/company/sz/300378/300378/detail</t>
  </si>
  <si>
    <t>永信至诚</t>
  </si>
  <si>
    <t>www.lixinger.com/analytics/company/sh/688244/688244/detail</t>
  </si>
  <si>
    <t>济川药业</t>
  </si>
  <si>
    <t>www.lixinger.com/analytics/company/sh/600566/600566/detail</t>
  </si>
  <si>
    <t>国发股份</t>
  </si>
  <si>
    <t>医药流通</t>
  </si>
  <si>
    <t>www.lixinger.com/analytics/company/sh/600538/600538/detail</t>
  </si>
  <si>
    <t>中光防雷</t>
  </si>
  <si>
    <t>www.lixinger.com/analytics/company/sz/300414/300414/detail</t>
  </si>
  <si>
    <t>凤形股份</t>
  </si>
  <si>
    <t>磨具磨料</t>
  </si>
  <si>
    <t>www.lixinger.com/analytics/company/sz/002760/2760/detail</t>
  </si>
  <si>
    <t>圣阳股份</t>
  </si>
  <si>
    <t>蓄电池及其他电池</t>
  </si>
  <si>
    <t>www.lixinger.com/analytics/company/sz/002580/2580/detail</t>
  </si>
  <si>
    <t>吉贝尔</t>
  </si>
  <si>
    <t>化学制剂</t>
  </si>
  <si>
    <t>www.lixinger.com/analytics/company/sh/688566/688566/detail</t>
  </si>
  <si>
    <t>森麒麟</t>
  </si>
  <si>
    <t>轮胎轮毂</t>
  </si>
  <si>
    <t>www.lixinger.com/analytics/company/sz/002984/2984/detail</t>
  </si>
  <si>
    <t>同兴环保</t>
  </si>
  <si>
    <t>大气治理</t>
  </si>
  <si>
    <t>www.lixinger.com/analytics/company/sz/003027/3027/detail</t>
  </si>
  <si>
    <t>金禄电子</t>
  </si>
  <si>
    <t>www.lixinger.com/analytics/company/sz/301282/301282/detail</t>
  </si>
  <si>
    <t>恩威医药</t>
  </si>
  <si>
    <t>www.lixinger.com/analytics/company/sz/301331/301331/detail</t>
  </si>
  <si>
    <t>富祥药业</t>
  </si>
  <si>
    <t>www.lixinger.com/analytics/company/sz/300497/300497/detail</t>
  </si>
  <si>
    <t>博雅生物</t>
  </si>
  <si>
    <t>血液制品</t>
  </si>
  <si>
    <t>www.lixinger.com/analytics/company/sz/300294/300294/detail</t>
  </si>
  <si>
    <t>中元股份</t>
  </si>
  <si>
    <t>www.lixinger.com/analytics/company/sz/300018/300018/detail</t>
  </si>
  <si>
    <t>西点药业</t>
  </si>
  <si>
    <t>www.lixinger.com/analytics/company/sz/301130/301130/detail</t>
  </si>
  <si>
    <t>山石网科</t>
  </si>
  <si>
    <t>www.lixinger.com/analytics/company/sh/688030/688030/detail</t>
  </si>
  <si>
    <t>康缘药业</t>
  </si>
  <si>
    <t>www.lixinger.com/analytics/company/sh/600557/600557/detail</t>
  </si>
  <si>
    <t>华是科技</t>
  </si>
  <si>
    <t>IT服务</t>
  </si>
  <si>
    <t>www.lixinger.com/analytics/company/sz/301218/301218/detail</t>
  </si>
  <si>
    <t>大全能源</t>
  </si>
  <si>
    <t>硅料硅片</t>
  </si>
  <si>
    <t>www.lixinger.com/analytics/company/sh/688303/688303/detail</t>
  </si>
  <si>
    <t>湘佳股份</t>
  </si>
  <si>
    <t>肉鸡养殖</t>
  </si>
  <si>
    <t>www.lixinger.com/analytics/company/sz/002982/2982/detail</t>
  </si>
  <si>
    <t>敏芯股份</t>
  </si>
  <si>
    <t>www.lixinger.com/analytics/company/sh/688286/688286/detail</t>
  </si>
  <si>
    <t>英科再生</t>
  </si>
  <si>
    <t>其他塑料制品</t>
  </si>
  <si>
    <t>www.lixinger.com/analytics/company/sh/688087/688087/detail</t>
  </si>
  <si>
    <t>天佑德酒</t>
  </si>
  <si>
    <t>www.lixinger.com/analytics/company/sz/002646/2646/detail</t>
  </si>
  <si>
    <t>弘亚数控</t>
  </si>
  <si>
    <t>www.lixinger.com/analytics/company/sz/002833/2833/detail</t>
  </si>
  <si>
    <t>优博讯</t>
  </si>
  <si>
    <t>www.lixinger.com/analytics/company/sz/300531/300531/detail</t>
  </si>
  <si>
    <t>佩蒂股份</t>
  </si>
  <si>
    <t>宠物食品</t>
  </si>
  <si>
    <t>www.lixinger.com/analytics/company/sz/300673/300673/detail</t>
  </si>
  <si>
    <t>天和防务</t>
  </si>
  <si>
    <t>www.lixinger.com/analytics/company/sz/300397/300397/detail</t>
  </si>
  <si>
    <t>显盈科技</t>
  </si>
  <si>
    <t>www.lixinger.com/analytics/company/sz/301067/301067/detail</t>
  </si>
  <si>
    <t>派林生物</t>
  </si>
  <si>
    <t>www.lixinger.com/analytics/company/sz/000403/403/detail</t>
  </si>
  <si>
    <t>世茂能源</t>
  </si>
  <si>
    <t>www.lixinger.com/analytics/company/sh/605028/605028/detail</t>
  </si>
  <si>
    <t>天娱数科</t>
  </si>
  <si>
    <t>www.lixinger.com/analytics/company/sz/002354/2354/detail</t>
  </si>
  <si>
    <t>壹网壹创</t>
  </si>
  <si>
    <t>电商服务</t>
  </si>
  <si>
    <t>www.lixinger.com/analytics/company/sz/300792/300792/detail</t>
  </si>
  <si>
    <t>鸥玛软件</t>
  </si>
  <si>
    <t>www.lixinger.com/analytics/company/sz/301185/301185/detail</t>
  </si>
  <si>
    <t>丽江股份</t>
  </si>
  <si>
    <t>www.lixinger.com/analytics/company/sz/002033/2033/detail</t>
  </si>
  <si>
    <t>三川智慧</t>
  </si>
  <si>
    <t>www.lixinger.com/analytics/company/sz/300066/300066/detail</t>
  </si>
  <si>
    <t>奥精医疗</t>
  </si>
  <si>
    <t>www.lixinger.com/analytics/company/sh/688613/688613/detail</t>
  </si>
  <si>
    <t>锐明技术</t>
  </si>
  <si>
    <t>www.lixinger.com/analytics/company/sz/002970/2970/detail</t>
  </si>
  <si>
    <t>集成电路制造</t>
  </si>
  <si>
    <t>www.lixinger.com/analytics/company/sh/688981/688981/detail</t>
  </si>
  <si>
    <t>远翔新材</t>
  </si>
  <si>
    <t>炭黑</t>
  </si>
  <si>
    <t>www.lixinger.com/analytics/company/sz/301300/301300/detail</t>
  </si>
  <si>
    <t>徐家汇</t>
  </si>
  <si>
    <t>百货</t>
  </si>
  <si>
    <t>www.lixinger.com/analytics/company/sz/002561/2561/detail</t>
  </si>
  <si>
    <t>福元医药</t>
  </si>
  <si>
    <t>www.lixinger.com/analytics/company/sh/601089/601089/detail</t>
  </si>
  <si>
    <t>朗玛信息</t>
  </si>
  <si>
    <t>www.lixinger.com/analytics/company/sz/300288/300288/detail</t>
  </si>
  <si>
    <t>中船应急</t>
  </si>
  <si>
    <t>www.lixinger.com/analytics/company/sz/300527/300527/detail</t>
  </si>
  <si>
    <t>海创药业</t>
  </si>
  <si>
    <t>www.lixinger.com/analytics/company/sh/688302/688302/detail</t>
  </si>
  <si>
    <t>武汉凡谷</t>
  </si>
  <si>
    <t>www.lixinger.com/analytics/company/sz/002194/2194/detail</t>
  </si>
  <si>
    <t>江中药业</t>
  </si>
  <si>
    <t>www.lixinger.com/analytics/company/sh/600750/600750/detail</t>
  </si>
  <si>
    <t>力诺特玻</t>
  </si>
  <si>
    <t>www.lixinger.com/analytics/company/sz/301188/301188/detail</t>
  </si>
  <si>
    <t>透景生命</t>
  </si>
  <si>
    <t>www.lixinger.com/analytics/company/sz/300642/300642/detail</t>
  </si>
  <si>
    <t>麦澜德</t>
  </si>
  <si>
    <t>www.lixinger.com/analytics/company/sh/688273/688273/detail</t>
  </si>
  <si>
    <t>莱茵生物</t>
  </si>
  <si>
    <t>www.lixinger.com/analytics/company/sz/002166/2166/detail</t>
  </si>
  <si>
    <t>何氏眼科</t>
  </si>
  <si>
    <t>医院</t>
  </si>
  <si>
    <t>www.lixinger.com/analytics/company/sz/301103/301103/detail</t>
  </si>
  <si>
    <t>捷顺科技</t>
  </si>
  <si>
    <t>www.lixinger.com/analytics/company/sz/002609/2609/detail</t>
  </si>
  <si>
    <t>网达软件</t>
  </si>
  <si>
    <t>www.lixinger.com/analytics/company/sh/603189/603189/detail</t>
  </si>
  <si>
    <t>可靠股份</t>
  </si>
  <si>
    <t>www.lixinger.com/analytics/company/sz/301009/301009/detail</t>
  </si>
  <si>
    <t>华贸物流</t>
  </si>
  <si>
    <t>跨境物流</t>
  </si>
  <si>
    <t>www.lixinger.com/analytics/company/sh/603128/603128/detail</t>
  </si>
  <si>
    <t>万讯自控</t>
  </si>
  <si>
    <t>www.lixinger.com/analytics/company/sz/300112/300112/detail</t>
  </si>
  <si>
    <t>新开源</t>
  </si>
  <si>
    <t>www.lixinger.com/analytics/company/sz/300109/300109/detail</t>
  </si>
  <si>
    <t>满坤科技</t>
  </si>
  <si>
    <t>www.lixinger.com/analytics/company/sz/301132/301132/detail</t>
  </si>
  <si>
    <t>新诺威</t>
  </si>
  <si>
    <t>www.lixinger.com/analytics/company/sz/300765/300765/detail</t>
  </si>
  <si>
    <t>新炬网络</t>
  </si>
  <si>
    <t>www.lixinger.com/analytics/company/sh/605398/605398/detail</t>
  </si>
  <si>
    <t>华安鑫创</t>
  </si>
  <si>
    <t>www.lixinger.com/analytics/company/sz/300928/300928/detail</t>
  </si>
  <si>
    <t>西麦食品</t>
  </si>
  <si>
    <t>www.lixinger.com/analytics/company/sz/002956/2956/detail</t>
  </si>
  <si>
    <t>元利科技</t>
  </si>
  <si>
    <t>www.lixinger.com/analytics/company/sh/603217/603217/detail</t>
  </si>
  <si>
    <t>伟思医疗</t>
  </si>
  <si>
    <t>www.lixinger.com/analytics/company/sh/688580/688580/detail</t>
  </si>
  <si>
    <t>科兴制药</t>
  </si>
  <si>
    <t>www.lixinger.com/analytics/company/sh/688136/688136/detail</t>
  </si>
  <si>
    <t>南极电商</t>
  </si>
  <si>
    <t>www.lixinger.com/analytics/company/sz/002127/2127/detail</t>
  </si>
  <si>
    <t>奥赛康</t>
  </si>
  <si>
    <t>www.lixinger.com/analytics/company/sz/002755/2755/detail</t>
  </si>
  <si>
    <t>信科移动</t>
  </si>
  <si>
    <t>www.lixinger.com/analytics/company/sh/688387/688387/detail</t>
  </si>
  <si>
    <t>天力锂能</t>
  </si>
  <si>
    <t>www.lixinger.com/analytics/company/sz/301152/301152/detail</t>
  </si>
  <si>
    <t>值得买</t>
  </si>
  <si>
    <t>www.lixinger.com/analytics/company/sz/300785/300785/detail</t>
  </si>
  <si>
    <t>阿尔特</t>
  </si>
  <si>
    <t>www.lixinger.com/analytics/company/sz/300825/300825/detail</t>
  </si>
  <si>
    <t>锡装股份</t>
  </si>
  <si>
    <t>能源及重型设备</t>
  </si>
  <si>
    <t>www.lixinger.com/analytics/company/sz/001332/1332/detail</t>
  </si>
  <si>
    <t>国林科技</t>
  </si>
  <si>
    <t>环保设备</t>
  </si>
  <si>
    <t>www.lixinger.com/analytics/company/sz/300786/300786/detail</t>
  </si>
  <si>
    <t>招标股份</t>
  </si>
  <si>
    <t>工程咨询服务</t>
  </si>
  <si>
    <t>www.lixinger.com/analytics/company/sz/301136/301136/detail</t>
  </si>
  <si>
    <t>致远新能</t>
  </si>
  <si>
    <t>www.lixinger.com/analytics/company/sz/300985/300985/detail</t>
  </si>
  <si>
    <t>海晨股份</t>
  </si>
  <si>
    <t>中间产品及消费品供应链服务</t>
  </si>
  <si>
    <t>www.lixinger.com/analytics/company/sz/300873/300873/detail</t>
  </si>
  <si>
    <t>金枫酒业</t>
  </si>
  <si>
    <t>其他酒类</t>
  </si>
  <si>
    <t>www.lixinger.com/analytics/company/sh/600616/600616/detail</t>
  </si>
  <si>
    <t>恒华科技</t>
  </si>
  <si>
    <t>www.lixinger.com/analytics/company/sz/300365/300365/detail</t>
  </si>
  <si>
    <t>菜百股份</t>
  </si>
  <si>
    <t>钟表珠宝</t>
  </si>
  <si>
    <t>www.lixinger.com/analytics/company/sh/605599/605599/detail</t>
  </si>
  <si>
    <t>新坐标</t>
  </si>
  <si>
    <t>www.lixinger.com/analytics/company/sh/603040/603040/detail</t>
  </si>
  <si>
    <t>珈伟新能</t>
  </si>
  <si>
    <t>www.lixinger.com/analytics/company/sz/300317/300317/detail</t>
  </si>
  <si>
    <t>悦康药业</t>
  </si>
  <si>
    <t>www.lixinger.com/analytics/company/sh/688658/688658/detail</t>
  </si>
  <si>
    <t>恒玄科技</t>
  </si>
  <si>
    <t>www.lixinger.com/analytics/company/sh/688608/688608/detail</t>
  </si>
  <si>
    <t>肇民科技</t>
  </si>
  <si>
    <t>www.lixinger.com/analytics/company/sz/301000/301000/detail</t>
  </si>
  <si>
    <t>广信股份</t>
  </si>
  <si>
    <t>www.lixinger.com/analytics/company/sh/603599/603599/detail</t>
  </si>
  <si>
    <t>中旗新材</t>
  </si>
  <si>
    <t>www.lixinger.com/analytics/company/sz/001212/1212/detail</t>
  </si>
  <si>
    <t>茂硕电源</t>
  </si>
  <si>
    <t>www.lixinger.com/analytics/company/sz/002660/2660/detail</t>
  </si>
  <si>
    <t>风光股份</t>
  </si>
  <si>
    <t>www.lixinger.com/analytics/company/sz/301100/301100/detail</t>
  </si>
  <si>
    <t>ST瀚叶</t>
  </si>
  <si>
    <t>www.lixinger.com/analytics/company/sh/600226/600226/detail</t>
  </si>
  <si>
    <t>紫建电子</t>
  </si>
  <si>
    <t>www.lixinger.com/analytics/company/sz/301121/301121/detail</t>
  </si>
  <si>
    <t>瑜欣电子</t>
  </si>
  <si>
    <t>www.lixinger.com/analytics/company/sz/301107/301107/detail</t>
  </si>
  <si>
    <t>鲁信创投</t>
  </si>
  <si>
    <t>www.lixinger.com/analytics/company/sh/600783/600783/detail</t>
  </si>
  <si>
    <t>裕兴股份</t>
  </si>
  <si>
    <t>膜材料</t>
  </si>
  <si>
    <t>www.lixinger.com/analytics/company/sz/300305/300305/detail</t>
  </si>
  <si>
    <t>海南矿业</t>
  </si>
  <si>
    <t>铁矿石</t>
  </si>
  <si>
    <t>www.lixinger.com/analytics/company/sh/601969/601969/detail</t>
  </si>
  <si>
    <t>宁波色母</t>
  </si>
  <si>
    <t>www.lixinger.com/analytics/company/sz/301019/301019/detail</t>
  </si>
  <si>
    <t>海正生材</t>
  </si>
  <si>
    <t>改性塑料</t>
  </si>
  <si>
    <t>www.lixinger.com/analytics/company/sh/688203/688203/detail</t>
  </si>
  <si>
    <t>加加食品</t>
  </si>
  <si>
    <t>调味发酵品</t>
  </si>
  <si>
    <t>www.lixinger.com/analytics/company/sz/002650/2650/detail</t>
  </si>
  <si>
    <t>民生控股</t>
  </si>
  <si>
    <t>金融控股</t>
  </si>
  <si>
    <t>www.lixinger.com/analytics/company/sz/000416/416/detail</t>
  </si>
  <si>
    <t>星华新材</t>
  </si>
  <si>
    <t>www.lixinger.com/analytics/company/sz/301077/301077/detail</t>
  </si>
  <si>
    <t>万润股份</t>
  </si>
  <si>
    <t>电子化学品</t>
  </si>
  <si>
    <t>www.lixinger.com/analytics/company/sz/002643/2643/detail</t>
  </si>
  <si>
    <t>龙高股份</t>
  </si>
  <si>
    <t>非金属材料</t>
  </si>
  <si>
    <t>www.lixinger.com/analytics/company/sh/605086/605086/detail</t>
  </si>
  <si>
    <t>中源协和</t>
  </si>
  <si>
    <t>www.lixinger.com/analytics/company/sh/600645/600645/detail</t>
  </si>
  <si>
    <t>博通集成</t>
  </si>
  <si>
    <t>www.lixinger.com/analytics/company/sh/603068/603068/detail</t>
  </si>
  <si>
    <t>华旺科技</t>
  </si>
  <si>
    <t>特种纸</t>
  </si>
  <si>
    <t>www.lixinger.com/analytics/company/sh/605377/605377/detail</t>
  </si>
  <si>
    <t>九鼎投资</t>
  </si>
  <si>
    <t>资产管理</t>
  </si>
  <si>
    <t>www.lixinger.com/analytics/company/sh/600053/600053/detail</t>
  </si>
  <si>
    <t>超越科技</t>
  </si>
  <si>
    <t>www.lixinger.com/analytics/company/sz/301049/301049/detail</t>
  </si>
  <si>
    <t>凯因科技</t>
  </si>
  <si>
    <t>www.lixinger.com/analytics/company/sh/688687/688687/detail</t>
  </si>
  <si>
    <t>丽珠集团</t>
  </si>
  <si>
    <t>www.lixinger.com/analytics/company/sz/000513/513/detail</t>
  </si>
  <si>
    <t>新开普</t>
  </si>
  <si>
    <t>www.lixinger.com/analytics/company/sz/300248/300248/detail</t>
  </si>
  <si>
    <t>诚达药业</t>
  </si>
  <si>
    <t>www.lixinger.com/analytics/company/sz/301201/301201/detail</t>
  </si>
  <si>
    <t>胜通能源</t>
  </si>
  <si>
    <t>燃气</t>
  </si>
  <si>
    <t>www.lixinger.com/analytics/company/sz/001331/1331/detail</t>
  </si>
  <si>
    <t>美迪凯</t>
  </si>
  <si>
    <t>www.lixinger.com/analytics/company/sh/688079/688079/detail</t>
  </si>
  <si>
    <t>品渥食品</t>
  </si>
  <si>
    <t>www.lixinger.com/analytics/company/sz/300892/300892/detail</t>
  </si>
  <si>
    <t>朗科智能</t>
  </si>
  <si>
    <t>www.lixinger.com/analytics/company/sz/300543/300543/detail</t>
  </si>
  <si>
    <t>绿田机械</t>
  </si>
  <si>
    <t>www.lixinger.com/analytics/company/sh/605259/605259/detail</t>
  </si>
  <si>
    <t>争光股份</t>
  </si>
  <si>
    <t>合成树脂</t>
  </si>
  <si>
    <t>www.lixinger.com/analytics/company/sz/301092/301092/detail</t>
  </si>
  <si>
    <t>若羽臣</t>
  </si>
  <si>
    <t>www.lixinger.com/analytics/company/sz/003010/3010/detail</t>
  </si>
  <si>
    <t>捷强装备</t>
  </si>
  <si>
    <t>www.lixinger.com/analytics/company/sz/300875/300875/detail</t>
  </si>
  <si>
    <t>浩云科技</t>
  </si>
  <si>
    <t>www.lixinger.com/analytics/company/sz/300448/300448/detail</t>
  </si>
  <si>
    <t>亚虹医药</t>
  </si>
  <si>
    <t>www.lixinger.com/analytics/company/sh/688176/688176/detail</t>
  </si>
  <si>
    <t>飞天诚信</t>
  </si>
  <si>
    <t>www.lixinger.com/analytics/company/sz/300386/300386/detail</t>
  </si>
  <si>
    <t>赛微电子</t>
  </si>
  <si>
    <t>www.lixinger.com/analytics/company/sz/300456/300456/detail</t>
  </si>
  <si>
    <t>九华旅游</t>
  </si>
  <si>
    <t>www.lixinger.com/analytics/company/sh/603199/603199/detail</t>
  </si>
  <si>
    <t>四维图新</t>
  </si>
  <si>
    <t>www.lixinger.com/analytics/company/sz/002405/2405/detail</t>
  </si>
  <si>
    <t>电魂网络</t>
  </si>
  <si>
    <t>www.lixinger.com/analytics/company/sh/603258/603258/detail</t>
  </si>
  <si>
    <t>灿勤科技</t>
  </si>
  <si>
    <t>www.lixinger.com/analytics/company/sh/688182/688182/detail</t>
  </si>
  <si>
    <t>新兴装备</t>
  </si>
  <si>
    <t>www.lixinger.com/analytics/company/sz/002933/2933/detail</t>
  </si>
  <si>
    <t>上海凯宝</t>
  </si>
  <si>
    <t>www.lixinger.com/analytics/company/sz/300039/300039/detail</t>
  </si>
  <si>
    <t>江苏雷利</t>
  </si>
  <si>
    <t>www.lixinger.com/analytics/company/sz/300660/300660/detail</t>
  </si>
  <si>
    <t>德昌股份</t>
  </si>
  <si>
    <t>www.lixinger.com/analytics/company/sh/605555/605555/detail</t>
  </si>
  <si>
    <t>川发龙蟒</t>
  </si>
  <si>
    <t>磷肥及磷化工</t>
  </si>
  <si>
    <t>www.lixinger.com/analytics/company/sz/002312/2312/detail</t>
  </si>
  <si>
    <t>诺德股份</t>
  </si>
  <si>
    <t>www.lixinger.com/analytics/company/sh/600110/600110/detail</t>
  </si>
  <si>
    <t>珠江钢琴</t>
  </si>
  <si>
    <t>www.lixinger.com/analytics/company/sz/002678/2678/detail</t>
  </si>
  <si>
    <t>隆扬电子</t>
  </si>
  <si>
    <t>www.lixinger.com/analytics/company/sz/301389/301389/detail</t>
  </si>
  <si>
    <t>睿昂基因</t>
  </si>
  <si>
    <t>www.lixinger.com/analytics/company/sh/688217/688217/detail</t>
  </si>
  <si>
    <t>京新药业</t>
  </si>
  <si>
    <t>www.lixinger.com/analytics/company/sz/002020/2020/detail</t>
  </si>
  <si>
    <t>万业企业</t>
  </si>
  <si>
    <t>住宅开发</t>
  </si>
  <si>
    <t>www.lixinger.com/analytics/company/sh/600641/600641/detail</t>
  </si>
  <si>
    <t>华明装备</t>
  </si>
  <si>
    <t>输变电设备</t>
  </si>
  <si>
    <t>www.lixinger.com/analytics/company/sz/002270/2270/detail</t>
  </si>
  <si>
    <t>华尔泰</t>
  </si>
  <si>
    <t>其他化学原料</t>
  </si>
  <si>
    <t>www.lixinger.com/analytics/company/sz/001217/1217/detail</t>
  </si>
  <si>
    <t>美邦股份</t>
  </si>
  <si>
    <t>www.lixinger.com/analytics/company/sh/605033/605033/detail</t>
  </si>
  <si>
    <t>仲景食品</t>
  </si>
  <si>
    <t>www.lixinger.com/analytics/company/sz/300908/300908/detail</t>
  </si>
  <si>
    <t>安博通</t>
  </si>
  <si>
    <t>www.lixinger.com/analytics/company/sh/688168/688168/detail</t>
  </si>
  <si>
    <t>欧圣电气</t>
  </si>
  <si>
    <t>www.lixinger.com/analytics/company/sz/301187/301187/detail</t>
  </si>
  <si>
    <t>南模生物</t>
  </si>
  <si>
    <t>www.lixinger.com/analytics/company/sh/688265/688265/detail</t>
  </si>
  <si>
    <t>海容冷链</t>
  </si>
  <si>
    <t>制冷空调设备</t>
  </si>
  <si>
    <t>www.lixinger.com/analytics/company/sh/603187/603187/detail</t>
  </si>
  <si>
    <t>盈建科</t>
  </si>
  <si>
    <t>www.lixinger.com/analytics/company/sz/300935/300935/detail</t>
  </si>
  <si>
    <t>万通发展</t>
  </si>
  <si>
    <t>www.lixinger.com/analytics/company/sh/600246/600246/detail</t>
  </si>
  <si>
    <t>奥海科技</t>
  </si>
  <si>
    <t>www.lixinger.com/analytics/company/sz/002993/2993/detail</t>
  </si>
  <si>
    <t>华大基因</t>
  </si>
  <si>
    <t>诊断服务</t>
  </si>
  <si>
    <t>www.lixinger.com/analytics/company/sz/300676/300676/detail</t>
  </si>
  <si>
    <t>新大陆</t>
  </si>
  <si>
    <t>www.lixinger.com/analytics/company/sz/000997/997/detail</t>
  </si>
  <si>
    <t>南新制药</t>
  </si>
  <si>
    <t>www.lixinger.com/analytics/company/sh/688189/688189/detail</t>
  </si>
  <si>
    <t>芯导科技</t>
  </si>
  <si>
    <t>www.lixinger.com/analytics/company/sh/688230/688230/detail</t>
  </si>
  <si>
    <t>统联精密</t>
  </si>
  <si>
    <t>www.lixinger.com/analytics/company/sh/688210/688210/detail</t>
  </si>
  <si>
    <t>天润乳业</t>
  </si>
  <si>
    <t>www.lixinger.com/analytics/company/sh/600419/600419/detail</t>
  </si>
  <si>
    <t>锋尚文化</t>
  </si>
  <si>
    <t>会展服务</t>
  </si>
  <si>
    <t>www.lixinger.com/analytics/company/sz/300860/300860/detail</t>
  </si>
  <si>
    <t>华蓝集团</t>
  </si>
  <si>
    <t>www.lixinger.com/analytics/company/sz/301027/301027/detail</t>
  </si>
  <si>
    <t>广电运通</t>
  </si>
  <si>
    <t>www.lixinger.com/analytics/company/sz/002152/2152/detail</t>
  </si>
  <si>
    <t>锦鸡股份</t>
  </si>
  <si>
    <t>纺织化学制品</t>
  </si>
  <si>
    <t>www.lixinger.com/analytics/company/sz/300798/300798/detail</t>
  </si>
  <si>
    <t>中国电影</t>
  </si>
  <si>
    <t>www.lixinger.com/analytics/company/sh/600977/600977/detail</t>
  </si>
  <si>
    <t>瑞尔特</t>
  </si>
  <si>
    <t>www.lixinger.com/analytics/company/sz/002790/2790/detail</t>
  </si>
  <si>
    <t>龙源技术</t>
  </si>
  <si>
    <t>火电设备</t>
  </si>
  <si>
    <t>www.lixinger.com/analytics/company/sz/300105/300105/detail</t>
  </si>
  <si>
    <t>冠石科技</t>
  </si>
  <si>
    <t>www.lixinger.com/analytics/company/sh/605588/605588/detail</t>
  </si>
  <si>
    <t>汉威科技</t>
  </si>
  <si>
    <t>www.lixinger.com/analytics/company/sz/300007/300007/detail</t>
  </si>
  <si>
    <t>威创股份</t>
  </si>
  <si>
    <t>www.lixinger.com/analytics/company/sz/002308/2308/detail</t>
  </si>
  <si>
    <t>浙江恒威</t>
  </si>
  <si>
    <t>www.lixinger.com/analytics/company/sz/301222/301222/detail</t>
  </si>
  <si>
    <t>金溢科技</t>
  </si>
  <si>
    <t>其他电子</t>
  </si>
  <si>
    <t>www.lixinger.com/analytics/company/sz/002869/2869/detail</t>
  </si>
  <si>
    <t>晶华微</t>
  </si>
  <si>
    <t>www.lixinger.com/analytics/company/sh/688130/688130/detail</t>
  </si>
  <si>
    <t>康弘药业</t>
  </si>
  <si>
    <t>www.lixinger.com/analytics/company/sz/002773/2773/detail</t>
  </si>
  <si>
    <t>纳尔股份</t>
  </si>
  <si>
    <t>www.lixinger.com/analytics/company/sz/002825/2825/detail</t>
  </si>
  <si>
    <t>上海新阳</t>
  </si>
  <si>
    <t>www.lixinger.com/analytics/company/sz/300236/300236/detail</t>
  </si>
  <si>
    <t>江苏博云</t>
  </si>
  <si>
    <t>www.lixinger.com/analytics/company/sz/301003/301003/detail</t>
  </si>
  <si>
    <t>宏德股份</t>
  </si>
  <si>
    <t>风电零部件</t>
  </si>
  <si>
    <t>www.lixinger.com/analytics/company/sz/301163/301163/detail</t>
  </si>
  <si>
    <t>义翘神州</t>
  </si>
  <si>
    <t>www.lixinger.com/analytics/company/sz/301047/301047/detail</t>
  </si>
  <si>
    <t>丽人丽妆</t>
  </si>
  <si>
    <t>www.lixinger.com/analytics/company/sh/605136/605136/detail</t>
  </si>
  <si>
    <t>国邦医药</t>
  </si>
  <si>
    <t>www.lixinger.com/analytics/company/sh/605507/605507/detail</t>
  </si>
  <si>
    <t>朗科科技</t>
  </si>
  <si>
    <t>www.lixinger.com/analytics/company/sz/300042/300042/detail</t>
  </si>
  <si>
    <t>赛伦生物</t>
  </si>
  <si>
    <t>www.lixinger.com/analytics/company/sh/688163/688163/detail</t>
  </si>
  <si>
    <t>梅雁吉祥</t>
  </si>
  <si>
    <t>www.lixinger.com/analytics/company/sh/600868/600868/detail</t>
  </si>
  <si>
    <t>仙琚制药</t>
  </si>
  <si>
    <t>www.lixinger.com/analytics/company/sz/002332/2332/detail</t>
  </si>
  <si>
    <t>弘讯科技</t>
  </si>
  <si>
    <t>www.lixinger.com/analytics/company/sh/603015/603015/detail</t>
  </si>
  <si>
    <t>惠泉啤酒</t>
  </si>
  <si>
    <t>啤酒</t>
  </si>
  <si>
    <t>www.lixinger.com/analytics/company/sh/600573/600573/detail</t>
  </si>
  <si>
    <t>雪迪龙</t>
  </si>
  <si>
    <t>www.lixinger.com/analytics/company/sz/002658/2658/detail</t>
  </si>
  <si>
    <t>晓程科技</t>
  </si>
  <si>
    <t>www.lixinger.com/analytics/company/sz/300139/300139/detail</t>
  </si>
  <si>
    <t>燕京啤酒</t>
  </si>
  <si>
    <t>www.lixinger.com/analytics/company/sz/000729/729/detail</t>
  </si>
  <si>
    <t>航天工程</t>
  </si>
  <si>
    <t>www.lixinger.com/analytics/company/sh/603698/603698/detail</t>
  </si>
  <si>
    <t>当虹科技</t>
  </si>
  <si>
    <t>www.lixinger.com/analytics/company/sh/688039/688039/detail</t>
  </si>
  <si>
    <t>水晶光电</t>
  </si>
  <si>
    <t>www.lixinger.com/analytics/company/sz/002273/2273/detail</t>
  </si>
  <si>
    <t>能科科技</t>
  </si>
  <si>
    <t>www.lixinger.com/analytics/company/sh/603859/603859/detail</t>
  </si>
  <si>
    <t>生物股份</t>
  </si>
  <si>
    <t>动物保健</t>
  </si>
  <si>
    <t>www.lixinger.com/analytics/company/sh/600201/600201/detail</t>
  </si>
  <si>
    <t>赛微微电</t>
  </si>
  <si>
    <t>www.lixinger.com/analytics/company/sh/688325/688325/detail</t>
  </si>
  <si>
    <t>鸿博股份</t>
  </si>
  <si>
    <t>印刷</t>
  </si>
  <si>
    <t>www.lixinger.com/analytics/company/sz/002229/2229/detail</t>
  </si>
  <si>
    <t>新宝股份</t>
  </si>
  <si>
    <t>www.lixinger.com/analytics/company/sz/002705/2705/detail</t>
  </si>
  <si>
    <t>黄山旅游</t>
  </si>
  <si>
    <t>www.lixinger.com/analytics/company/sh/600054/600054/detail</t>
  </si>
  <si>
    <t>汉得信息</t>
  </si>
  <si>
    <t>www.lixinger.com/analytics/company/sz/300170/300170/detail</t>
  </si>
  <si>
    <t>乐心医疗</t>
  </si>
  <si>
    <t>www.lixinger.com/analytics/company/sz/300562/300562/detail</t>
  </si>
  <si>
    <t>强力新材</t>
  </si>
  <si>
    <t>www.lixinger.com/analytics/company/sz/300429/300429/detail</t>
  </si>
  <si>
    <t>中胤时尚</t>
  </si>
  <si>
    <t>非运动服装</t>
  </si>
  <si>
    <t>www.lixinger.com/analytics/company/sz/300901/300901/detail</t>
  </si>
  <si>
    <t>哈三联</t>
  </si>
  <si>
    <t>www.lixinger.com/analytics/company/sz/002900/2900/detail</t>
  </si>
  <si>
    <t>佳隆股份</t>
  </si>
  <si>
    <t>www.lixinger.com/analytics/company/sz/002495/2495/detail</t>
  </si>
  <si>
    <t>香飘飘</t>
  </si>
  <si>
    <t>软饮料</t>
  </si>
  <si>
    <t>www.lixinger.com/analytics/company/sh/603711/603711/detail</t>
  </si>
  <si>
    <t>新国都</t>
  </si>
  <si>
    <t>www.lixinger.com/analytics/company/sz/300130/300130/detail</t>
  </si>
  <si>
    <t>科捷智能</t>
  </si>
  <si>
    <t>www.lixinger.com/analytics/company/sh/688455/688455/detail</t>
  </si>
  <si>
    <t>捷邦科技</t>
  </si>
  <si>
    <t>www.lixinger.com/analytics/company/sz/301326/301326/detail</t>
  </si>
  <si>
    <t>思林杰</t>
  </si>
  <si>
    <t>www.lixinger.com/analytics/company/sh/688115/688115/detail</t>
  </si>
  <si>
    <t>联特科技</t>
  </si>
  <si>
    <t>www.lixinger.com/analytics/company/sz/301205/301205/detail</t>
  </si>
  <si>
    <t>安达智能</t>
  </si>
  <si>
    <t>www.lixinger.com/analytics/company/sh/688125/688125/detail</t>
  </si>
  <si>
    <t>亚香股份</t>
  </si>
  <si>
    <t>www.lixinger.com/analytics/company/sz/301220/301220/detail</t>
  </si>
  <si>
    <t>可川科技</t>
  </si>
  <si>
    <t>www.lixinger.com/analytics/company/sh/603052/603052/detail</t>
  </si>
  <si>
    <t>上海九百</t>
  </si>
  <si>
    <t>多业态零售</t>
  </si>
  <si>
    <t>www.lixinger.com/analytics/company/sh/600838/600838/detail</t>
  </si>
  <si>
    <t>优刻得</t>
  </si>
  <si>
    <t>www.lixinger.com/analytics/company/sh/688158/688158/detail</t>
  </si>
  <si>
    <t>安联锐视</t>
  </si>
  <si>
    <t>www.lixinger.com/analytics/company/sz/301042/301042/detail</t>
  </si>
  <si>
    <t>东方中科</t>
  </si>
  <si>
    <t>www.lixinger.com/analytics/company/sz/002819/2819/detail</t>
  </si>
  <si>
    <t>富士莱</t>
  </si>
  <si>
    <t>www.lixinger.com/analytics/company/sz/301258/301258/detail</t>
  </si>
  <si>
    <t>华润双鹤</t>
  </si>
  <si>
    <t>www.lixinger.com/analytics/company/sh/600062/600062/detail</t>
  </si>
  <si>
    <t>中科海讯</t>
  </si>
  <si>
    <t>www.lixinger.com/analytics/company/sz/300810/300810/detail</t>
  </si>
  <si>
    <t>迈拓股份</t>
  </si>
  <si>
    <t>www.lixinger.com/analytics/company/sz/301006/301006/detail</t>
  </si>
  <si>
    <t>康普顿</t>
  </si>
  <si>
    <t>其他石化</t>
  </si>
  <si>
    <t>www.lixinger.com/analytics/company/sh/603798/603798/detail</t>
  </si>
  <si>
    <t>地素时尚</t>
  </si>
  <si>
    <t>www.lixinger.com/analytics/company/sh/603587/603587/detail</t>
  </si>
  <si>
    <t>大东南</t>
  </si>
  <si>
    <t>www.lixinger.com/analytics/company/sz/002263/2263/detail</t>
  </si>
  <si>
    <t>华宝股份</t>
  </si>
  <si>
    <t>www.lixinger.com/analytics/company/sz/300741/300741/detail</t>
  </si>
  <si>
    <t>九丰能源</t>
  </si>
  <si>
    <t>www.lixinger.com/analytics/company/sh/605090/605090/detail</t>
  </si>
  <si>
    <t>杰创智能</t>
  </si>
  <si>
    <t>www.lixinger.com/analytics/company/sz/301248/301248/detail</t>
  </si>
  <si>
    <t>威派格</t>
  </si>
  <si>
    <t>www.lixinger.com/analytics/company/sh/603956/603956/detail</t>
  </si>
  <si>
    <t>湖南发展</t>
  </si>
  <si>
    <t>水力发电</t>
  </si>
  <si>
    <t>www.lixinger.com/analytics/company/sz/000722/722/detail</t>
  </si>
  <si>
    <t>巨星科技</t>
  </si>
  <si>
    <t>www.lixinger.com/analytics/company/sz/002444/2444/detail</t>
  </si>
  <si>
    <t>博云新材</t>
  </si>
  <si>
    <t>www.lixinger.com/analytics/company/sz/002297/2297/detail</t>
  </si>
  <si>
    <t>甘李药业</t>
  </si>
  <si>
    <t>www.lixinger.com/analytics/company/sh/603087/603087/detail</t>
  </si>
  <si>
    <t>吉大通信</t>
  </si>
  <si>
    <t>通信工程及服务</t>
  </si>
  <si>
    <t>www.lixinger.com/analytics/company/sz/300597/300597/detail</t>
  </si>
  <si>
    <t>长龄液压</t>
  </si>
  <si>
    <t>www.lixinger.com/analytics/company/sh/605389/605389/detail</t>
  </si>
  <si>
    <t>神驰机电</t>
  </si>
  <si>
    <t>www.lixinger.com/analytics/company/sh/603109/603109/detail</t>
  </si>
  <si>
    <t>蕾奥规划</t>
  </si>
  <si>
    <t>www.lixinger.com/analytics/company/sz/300989/300989/detail</t>
  </si>
  <si>
    <t>天源环保</t>
  </si>
  <si>
    <t>水务及水治理</t>
  </si>
  <si>
    <t>www.lixinger.com/analytics/company/sz/301127/301127/detail</t>
  </si>
  <si>
    <t>深纺织Ａ</t>
  </si>
  <si>
    <t>www.lixinger.com/analytics/company/sz/000045/45/detail</t>
  </si>
  <si>
    <t>建新股份</t>
  </si>
  <si>
    <t>www.lixinger.com/analytics/company/sz/300107/300107/detail</t>
  </si>
  <si>
    <t>百合股份</t>
  </si>
  <si>
    <t>www.lixinger.com/analytics/company/sh/603102/603102/detail</t>
  </si>
  <si>
    <t>泰和科技</t>
  </si>
  <si>
    <t>www.lixinger.com/analytics/company/sz/300801/300801/detail</t>
  </si>
  <si>
    <t>工大科雅</t>
  </si>
  <si>
    <t>www.lixinger.com/analytics/company/sz/301197/301197/detail</t>
  </si>
  <si>
    <t>常润股份</t>
  </si>
  <si>
    <t>www.lixinger.com/analytics/company/sh/603201/603201/detail</t>
  </si>
  <si>
    <t>恒宇信通</t>
  </si>
  <si>
    <t>www.lixinger.com/analytics/company/sz/300965/300965/detail</t>
  </si>
  <si>
    <t>峨眉山Ａ</t>
  </si>
  <si>
    <t>www.lixinger.com/analytics/company/sz/000888/888/detail</t>
  </si>
  <si>
    <t>格灵深瞳</t>
  </si>
  <si>
    <t>www.lixinger.com/analytics/company/sh/688207/688207/detail</t>
  </si>
  <si>
    <t>开普检测</t>
  </si>
  <si>
    <t>www.lixinger.com/analytics/company/sz/003008/3008/detail</t>
  </si>
  <si>
    <t>线上线下</t>
  </si>
  <si>
    <t>www.lixinger.com/analytics/company/sz/300959/300959/detail</t>
  </si>
  <si>
    <t>中国高科</t>
  </si>
  <si>
    <t>培训教育</t>
  </si>
  <si>
    <t>www.lixinger.com/analytics/company/sh/600730/600730/detail</t>
  </si>
  <si>
    <t>宝莱特</t>
  </si>
  <si>
    <t>www.lixinger.com/analytics/company/sz/300246/300246/detail</t>
  </si>
  <si>
    <t>渝三峡Ａ</t>
  </si>
  <si>
    <t>涂料油墨</t>
  </si>
  <si>
    <t>www.lixinger.com/analytics/company/sz/000565/565/detail</t>
  </si>
  <si>
    <t>海星股份</t>
  </si>
  <si>
    <t>www.lixinger.com/analytics/company/sh/603115/603115/detail</t>
  </si>
  <si>
    <t>华纳药厂</t>
  </si>
  <si>
    <t>www.lixinger.com/analytics/company/sh/688799/688799/detail</t>
  </si>
  <si>
    <t>华盛锂电</t>
  </si>
  <si>
    <t>www.lixinger.com/analytics/company/sh/688353/688353/detail</t>
  </si>
  <si>
    <t>新华锦</t>
  </si>
  <si>
    <t>其他饰品</t>
  </si>
  <si>
    <t>www.lixinger.com/analytics/company/sh/600735/600735/detail</t>
  </si>
  <si>
    <t>光庭信息</t>
  </si>
  <si>
    <t>www.lixinger.com/analytics/company/sz/301221/301221/detail</t>
  </si>
  <si>
    <t>鸿富瀚</t>
  </si>
  <si>
    <t>www.lixinger.com/analytics/company/sz/301086/301086/detail</t>
  </si>
  <si>
    <t>宏昌电子</t>
  </si>
  <si>
    <t>www.lixinger.com/analytics/company/sh/603002/603002/detail</t>
  </si>
  <si>
    <t>得利斯</t>
  </si>
  <si>
    <t>www.lixinger.com/analytics/company/sz/002330/2330/detail</t>
  </si>
  <si>
    <t>博瑞传播</t>
  </si>
  <si>
    <t>教育运营及其他</t>
  </si>
  <si>
    <t>www.lixinger.com/analytics/company/sh/600880/600880/detail</t>
  </si>
  <si>
    <t>丰山集团</t>
  </si>
  <si>
    <t>www.lixinger.com/analytics/company/sh/603810/603810/detail</t>
  </si>
  <si>
    <t>嘉诚国际</t>
  </si>
  <si>
    <t>www.lixinger.com/analytics/company/sh/603535/603535/detail</t>
  </si>
  <si>
    <t>善水科技</t>
  </si>
  <si>
    <t>www.lixinger.com/analytics/company/sz/301190/301190/detail</t>
  </si>
  <si>
    <t>开普云</t>
  </si>
  <si>
    <t>www.lixinger.com/analytics/company/sh/688228/688228/detail</t>
  </si>
  <si>
    <t>金房节能</t>
  </si>
  <si>
    <t>www.lixinger.com/analytics/company/sz/001210/1210/detail</t>
  </si>
  <si>
    <t>宁波富达</t>
  </si>
  <si>
    <t>www.lixinger.com/analytics/company/sh/600724/600724/detail</t>
  </si>
  <si>
    <t>张裕Ａ</t>
  </si>
  <si>
    <t>www.lixinger.com/analytics/company/sz/000869/869/detail</t>
  </si>
  <si>
    <t>罗曼股份</t>
  </si>
  <si>
    <t>其他专业工程</t>
  </si>
  <si>
    <t>www.lixinger.com/analytics/company/sh/605289/605289/detail</t>
  </si>
  <si>
    <t>一博科技</t>
  </si>
  <si>
    <t>www.lixinger.com/analytics/company/sz/301366/301366/detail</t>
  </si>
  <si>
    <t>海特生物</t>
  </si>
  <si>
    <t>www.lixinger.com/analytics/company/sz/300683/300683/detail</t>
  </si>
  <si>
    <t>炬芯科技</t>
  </si>
  <si>
    <t>www.lixinger.com/analytics/company/sh/688049/688049/detail</t>
  </si>
  <si>
    <t>优宁维</t>
  </si>
  <si>
    <t>www.lixinger.com/analytics/company/sz/301166/301166/detail</t>
  </si>
  <si>
    <t>保税科技</t>
  </si>
  <si>
    <t>仓储物流</t>
  </si>
  <si>
    <t>www.lixinger.com/analytics/company/sh/600794/600794/detail</t>
  </si>
  <si>
    <t>天舟文化</t>
  </si>
  <si>
    <t>www.lixinger.com/analytics/company/sz/300148/300148/detail</t>
  </si>
  <si>
    <t>恒信东方</t>
  </si>
  <si>
    <t>www.lixinger.com/analytics/company/sz/300081/300081/detail</t>
  </si>
  <si>
    <t>莱美药业</t>
  </si>
  <si>
    <t>www.lixinger.com/analytics/company/sz/300006/300006/detail</t>
  </si>
  <si>
    <t>中际旭创</t>
  </si>
  <si>
    <t>www.lixinger.com/analytics/company/sz/300308/300308/detail</t>
  </si>
  <si>
    <t>国脉文化</t>
  </si>
  <si>
    <t>www.lixinger.com/analytics/company/sh/600640/600640/detail</t>
  </si>
  <si>
    <t>瑞德智能</t>
  </si>
  <si>
    <t>www.lixinger.com/analytics/company/sz/301135/301135/detail</t>
  </si>
  <si>
    <t>宏力达</t>
  </si>
  <si>
    <t>www.lixinger.com/analytics/company/sh/688330/688330/detail</t>
  </si>
  <si>
    <t>贝仕达克</t>
  </si>
  <si>
    <t>www.lixinger.com/analytics/company/sz/300822/300822/detail</t>
  </si>
  <si>
    <t>大胜达</t>
  </si>
  <si>
    <t>纸包装</t>
  </si>
  <si>
    <t>www.lixinger.com/analytics/company/sh/603687/603687/detail</t>
  </si>
  <si>
    <t>东航物流</t>
  </si>
  <si>
    <t>www.lixinger.com/analytics/company/sh/601156/601156/detail</t>
  </si>
  <si>
    <t>中泰股份</t>
  </si>
  <si>
    <t>www.lixinger.com/analytics/company/sz/300435/300435/detail</t>
  </si>
  <si>
    <t>掌趣科技</t>
  </si>
  <si>
    <t>www.lixinger.com/analytics/company/sz/300315/300315/detail</t>
  </si>
  <si>
    <t>神奇制药</t>
  </si>
  <si>
    <t>www.lixinger.com/analytics/company/sh/600613/600613/detail</t>
  </si>
  <si>
    <t>安居宝</t>
  </si>
  <si>
    <t>www.lixinger.com/analytics/company/sz/300155/300155/detail</t>
  </si>
  <si>
    <t>振德医疗</t>
  </si>
  <si>
    <t>www.lixinger.com/analytics/company/sh/603301/603301/detail</t>
  </si>
  <si>
    <t>北陆药业</t>
  </si>
  <si>
    <t>www.lixinger.com/analytics/company/sz/300016/300016/detail</t>
  </si>
  <si>
    <t>高凌信息</t>
  </si>
  <si>
    <t>www.lixinger.com/analytics/company/sh/688175/688175/detail</t>
  </si>
  <si>
    <t>恒银科技</t>
  </si>
  <si>
    <t>www.lixinger.com/analytics/company/sh/603106/603106/detail</t>
  </si>
  <si>
    <t>万盛股份</t>
  </si>
  <si>
    <t>www.lixinger.com/analytics/company/sh/603010/603010/detail</t>
  </si>
  <si>
    <t>品高股份</t>
  </si>
  <si>
    <t>www.lixinger.com/analytics/company/sh/688227/688227/detail</t>
  </si>
  <si>
    <t>博拓生物</t>
  </si>
  <si>
    <t>www.lixinger.com/analytics/company/sh/688767/688767/detail</t>
  </si>
  <si>
    <t>长华集团</t>
  </si>
  <si>
    <t>www.lixinger.com/analytics/company/sh/605018/605018/detail</t>
  </si>
  <si>
    <t>华生科技</t>
  </si>
  <si>
    <t>www.lixinger.com/analytics/company/sh/605180/605180/detail</t>
  </si>
  <si>
    <t>东软载波</t>
  </si>
  <si>
    <t>www.lixinger.com/analytics/company/sz/300183/300183/detail</t>
  </si>
  <si>
    <t>如通股份</t>
  </si>
  <si>
    <t>www.lixinger.com/analytics/company/sh/603036/603036/detail</t>
  </si>
  <si>
    <t>康为世纪</t>
  </si>
  <si>
    <t>www.lixinger.com/analytics/company/sh/688426/688426/detail</t>
  </si>
  <si>
    <t>超达装备</t>
  </si>
  <si>
    <t>www.lixinger.com/analytics/company/sz/301186/301186/detail</t>
  </si>
  <si>
    <t>铜冠铜箔</t>
  </si>
  <si>
    <t>www.lixinger.com/analytics/company/sz/301217/301217/detail</t>
  </si>
  <si>
    <t>神州泰岳</t>
  </si>
  <si>
    <t>www.lixinger.com/analytics/company/sz/300002/300002/detail</t>
  </si>
  <si>
    <t>新天然气</t>
  </si>
  <si>
    <t>www.lixinger.com/analytics/company/sh/603393/603393/detail</t>
  </si>
  <si>
    <t>建业股份</t>
  </si>
  <si>
    <t>www.lixinger.com/analytics/company/sh/603948/603948/detail</t>
  </si>
  <si>
    <t>恒烁股份</t>
  </si>
  <si>
    <t>www.lixinger.com/analytics/company/sh/688416/688416/detail</t>
  </si>
  <si>
    <t>万得凯</t>
  </si>
  <si>
    <t>www.lixinger.com/analytics/company/sz/301309/301309/detail</t>
  </si>
  <si>
    <t>劲旅环境</t>
  </si>
  <si>
    <t>www.lixinger.com/analytics/company/sz/001230/1230/detail</t>
  </si>
  <si>
    <t>复洁环保</t>
  </si>
  <si>
    <t>www.lixinger.com/analytics/company/sh/688335/688335/detail</t>
  </si>
  <si>
    <t>森鹰窗业</t>
  </si>
  <si>
    <t>定制家居</t>
  </si>
  <si>
    <t>www.lixinger.com/analytics/company/sz/301227/301227/detail</t>
  </si>
  <si>
    <t>中信出版</t>
  </si>
  <si>
    <t>大众出版</t>
  </si>
  <si>
    <t>www.lixinger.com/analytics/company/sz/300788/300788/detail</t>
  </si>
  <si>
    <t>会稽山</t>
  </si>
  <si>
    <t>www.lixinger.com/analytics/company/sh/601579/601579/detail</t>
  </si>
  <si>
    <t>汇纳科技</t>
  </si>
  <si>
    <t>www.lixinger.com/analytics/company/sz/300609/300609/detail</t>
  </si>
  <si>
    <t>游族网络</t>
  </si>
  <si>
    <t>www.lixinger.com/analytics/company/sz/002174/2174/detail</t>
  </si>
  <si>
    <t>四方科技</t>
  </si>
  <si>
    <t>www.lixinger.com/analytics/company/sh/603339/603339/detail</t>
  </si>
  <si>
    <t>骏成科技</t>
  </si>
  <si>
    <t>www.lixinger.com/analytics/company/sz/301106/301106/detail</t>
  </si>
  <si>
    <t>雅运股份</t>
  </si>
  <si>
    <t>www.lixinger.com/analytics/company/sh/603790/603790/detail</t>
  </si>
  <si>
    <t>英诺特</t>
  </si>
  <si>
    <t>www.lixinger.com/analytics/company/sh/688253/688253/detail</t>
  </si>
  <si>
    <t>三江购物</t>
  </si>
  <si>
    <t>超市</t>
  </si>
  <si>
    <t>www.lixinger.com/analytics/company/sh/601116/601116/detail</t>
  </si>
  <si>
    <t>洪通燃气</t>
  </si>
  <si>
    <t>www.lixinger.com/analytics/company/sh/605169/605169/detail</t>
  </si>
  <si>
    <t>腾远钴业</t>
  </si>
  <si>
    <t>钴</t>
  </si>
  <si>
    <t>www.lixinger.com/analytics/company/sz/301219/301219/detail</t>
  </si>
  <si>
    <t>万润新能</t>
  </si>
  <si>
    <t>www.lixinger.com/analytics/company/sh/688275/688275/detail</t>
  </si>
  <si>
    <t>耐普矿机</t>
  </si>
  <si>
    <t>www.lixinger.com/analytics/company/sz/300818/300818/detail</t>
  </si>
  <si>
    <t>雷迪克</t>
  </si>
  <si>
    <t>www.lixinger.com/analytics/company/sz/300652/300652/detail</t>
  </si>
  <si>
    <t>电声股份</t>
  </si>
  <si>
    <t>www.lixinger.com/analytics/company/sz/300805/300805/detail</t>
  </si>
  <si>
    <t>维海德</t>
  </si>
  <si>
    <t>www.lixinger.com/analytics/company/sz/301318/301318/detail</t>
  </si>
  <si>
    <t>中国国贸</t>
  </si>
  <si>
    <t>商业地产</t>
  </si>
  <si>
    <t>www.lixinger.com/analytics/company/sh/600007/600007/detail</t>
  </si>
  <si>
    <t>青木股份</t>
  </si>
  <si>
    <t>www.lixinger.com/analytics/company/sz/301110/301110/detail</t>
  </si>
  <si>
    <t>新光光电</t>
  </si>
  <si>
    <t>www.lixinger.com/analytics/company/sh/688011/688011/detail</t>
  </si>
  <si>
    <t>赛科希德</t>
  </si>
  <si>
    <t>www.lixinger.com/analytics/company/sh/688338/688338/detail</t>
  </si>
  <si>
    <t>毕得医药</t>
  </si>
  <si>
    <t>www.lixinger.com/analytics/company/sh/688073/688073/detail</t>
  </si>
  <si>
    <t>圣湘生物</t>
  </si>
  <si>
    <t>www.lixinger.com/analytics/company/sh/688289/688289/detail</t>
  </si>
  <si>
    <t>金花股份</t>
  </si>
  <si>
    <t>www.lixinger.com/analytics/company/sh/600080/600080/detail</t>
  </si>
  <si>
    <t>中一科技</t>
  </si>
  <si>
    <t>www.lixinger.com/analytics/company/sz/301150/301150/detail</t>
  </si>
  <si>
    <t>智莱科技</t>
  </si>
  <si>
    <t>www.lixinger.com/analytics/company/sz/300771/300771/detail</t>
  </si>
  <si>
    <t>彩虹集团</t>
  </si>
  <si>
    <t>www.lixinger.com/analytics/company/sz/003023/3023/detail</t>
  </si>
  <si>
    <t>汇宇制药</t>
  </si>
  <si>
    <t>www.lixinger.com/analytics/company/sh/688553/688553/detail</t>
  </si>
  <si>
    <t>凯恩股份</t>
  </si>
  <si>
    <t>www.lixinger.com/analytics/company/sz/002012/2012/detail</t>
  </si>
  <si>
    <t>上海凤凰</t>
  </si>
  <si>
    <t>其他运输设备</t>
  </si>
  <si>
    <t>www.lixinger.com/analytics/company/sh/600679/600679/detail</t>
  </si>
  <si>
    <t>粤高速Ａ</t>
  </si>
  <si>
    <t>高速公路</t>
  </si>
  <si>
    <t>www.lixinger.com/analytics/company/sz/000429/429/detail</t>
  </si>
  <si>
    <t>陕西煤业</t>
  </si>
  <si>
    <t>动力煤</t>
  </si>
  <si>
    <t>www.lixinger.com/analytics/company/sh/601225/601225/detail</t>
  </si>
  <si>
    <t>格林精密</t>
  </si>
  <si>
    <t>www.lixinger.com/analytics/company/sz/300968/300968/detail</t>
  </si>
  <si>
    <t>本立科技</t>
  </si>
  <si>
    <t>www.lixinger.com/analytics/company/sz/301065/301065/detail</t>
  </si>
  <si>
    <t>莎普爱思</t>
  </si>
  <si>
    <t>www.lixinger.com/analytics/company/sh/603168/603168/detail</t>
  </si>
  <si>
    <t>珠江啤酒</t>
  </si>
  <si>
    <t>www.lixinger.com/analytics/company/sz/002461/2461/detail</t>
  </si>
  <si>
    <t>众望布艺</t>
  </si>
  <si>
    <t>家纺</t>
  </si>
  <si>
    <t>www.lixinger.com/analytics/company/sh/605003/605003/detail</t>
  </si>
  <si>
    <t>金富科技</t>
  </si>
  <si>
    <t>塑料包装</t>
  </si>
  <si>
    <t>www.lixinger.com/analytics/company/sz/003018/3018/detail</t>
  </si>
  <si>
    <t>逸豪新材</t>
  </si>
  <si>
    <t>www.lixinger.com/analytics/company/sz/301176/301176/detail</t>
  </si>
  <si>
    <t>怡球资源</t>
  </si>
  <si>
    <t>www.lixinger.com/analytics/company/sh/601388/601388/detail</t>
  </si>
  <si>
    <t>建科股份</t>
  </si>
  <si>
    <t>www.lixinger.com/analytics/company/sz/301115/301115/detail</t>
  </si>
  <si>
    <t>元道通信</t>
  </si>
  <si>
    <t>www.lixinger.com/analytics/company/sz/301139/301139/detail</t>
  </si>
  <si>
    <t>凯利泰</t>
  </si>
  <si>
    <t>www.lixinger.com/analytics/company/sz/300326/300326/detail</t>
  </si>
  <si>
    <t>中科蓝讯</t>
  </si>
  <si>
    <t>www.lixinger.com/analytics/company/sh/688332/688332/detail</t>
  </si>
  <si>
    <t>华新环保</t>
  </si>
  <si>
    <t>www.lixinger.com/analytics/company/sz/301265/301265/detail</t>
  </si>
  <si>
    <t>银河电子</t>
  </si>
  <si>
    <t>www.lixinger.com/analytics/company/sz/002519/2519/detail</t>
  </si>
  <si>
    <t>中兴商业</t>
  </si>
  <si>
    <t>www.lixinger.com/analytics/company/sz/000715/715/detail</t>
  </si>
  <si>
    <t>远方信息</t>
  </si>
  <si>
    <t>www.lixinger.com/analytics/company/sz/300306/300306/detail</t>
  </si>
  <si>
    <t>通达电气</t>
  </si>
  <si>
    <t>www.lixinger.com/analytics/company/sh/603390/603390/detail</t>
  </si>
  <si>
    <t>天玑科技</t>
  </si>
  <si>
    <t>www.lixinger.com/analytics/company/sz/300245/300245/detail</t>
  </si>
  <si>
    <t>三生国健</t>
  </si>
  <si>
    <t>www.lixinger.com/analytics/company/sh/688336/688336/detail</t>
  </si>
  <si>
    <t>真爱美家</t>
  </si>
  <si>
    <t>www.lixinger.com/analytics/company/sz/003041/3041/detail</t>
  </si>
  <si>
    <t>五方光电</t>
  </si>
  <si>
    <t>www.lixinger.com/analytics/company/sz/002962/2962/detail</t>
  </si>
  <si>
    <t>金道科技</t>
  </si>
  <si>
    <t>www.lixinger.com/analytics/company/sz/301279/301279/detail</t>
  </si>
  <si>
    <t>拉芳家化</t>
  </si>
  <si>
    <t>品牌化妆品</t>
  </si>
  <si>
    <t>www.lixinger.com/analytics/company/sh/603630/603630/detail</t>
  </si>
  <si>
    <t>佳士科技</t>
  </si>
  <si>
    <t>www.lixinger.com/analytics/company/sz/300193/300193/detail</t>
  </si>
  <si>
    <t>读者传媒</t>
  </si>
  <si>
    <t>www.lixinger.com/analytics/company/sh/603999/603999/detail</t>
  </si>
  <si>
    <t>燕麦科技</t>
  </si>
  <si>
    <t>www.lixinger.com/analytics/company/sh/688312/688312/detail</t>
  </si>
  <si>
    <t>健康元</t>
  </si>
  <si>
    <t>www.lixinger.com/analytics/company/sh/600380/600380/detail</t>
  </si>
  <si>
    <t>国风新材</t>
  </si>
  <si>
    <t>www.lixinger.com/analytics/company/sz/000859/859/detail</t>
  </si>
  <si>
    <t>数码视讯</t>
  </si>
  <si>
    <t>www.lixinger.com/analytics/company/sz/300079/300079/detail</t>
  </si>
  <si>
    <t>矩阵股份</t>
  </si>
  <si>
    <t>www.lixinger.com/analytics/company/sz/301365/301365/detail</t>
  </si>
  <si>
    <t>bj</t>
  </si>
  <si>
    <t>华岭股份</t>
  </si>
  <si>
    <t>集成电路封测</t>
  </si>
  <si>
    <t>www.lixinger.com/analytics/company/bj/430139/430139/detail</t>
  </si>
  <si>
    <t>江苏索普</t>
  </si>
  <si>
    <t>煤化工</t>
  </si>
  <si>
    <t>www.lixinger.com/analytics/company/sh/600746/600746/detail</t>
  </si>
  <si>
    <t>奕东电子</t>
  </si>
  <si>
    <t>www.lixinger.com/analytics/company/sz/301123/301123/detail</t>
  </si>
  <si>
    <t>利德曼</t>
  </si>
  <si>
    <t>www.lixinger.com/analytics/company/sz/300289/300289/detail</t>
  </si>
  <si>
    <t>博彦科技</t>
  </si>
  <si>
    <t>www.lixinger.com/analytics/company/sz/002649/2649/detail</t>
  </si>
  <si>
    <t>赛升药业</t>
  </si>
  <si>
    <t>www.lixinger.com/analytics/company/sz/300485/300485/detail</t>
  </si>
  <si>
    <t>安必平</t>
  </si>
  <si>
    <t>www.lixinger.com/analytics/company/sh/688393/688393/detail</t>
  </si>
  <si>
    <t>中自科技</t>
  </si>
  <si>
    <t>www.lixinger.com/analytics/company/sh/688737/688737/detail</t>
  </si>
  <si>
    <t>思维列控</t>
  </si>
  <si>
    <t>www.lixinger.com/analytics/company/sh/603508/603508/detail</t>
  </si>
  <si>
    <t>内蒙新华</t>
  </si>
  <si>
    <t>www.lixinger.com/analytics/company/sh/603230/603230/detail</t>
  </si>
  <si>
    <t>云南能投</t>
  </si>
  <si>
    <t>无机盐</t>
  </si>
  <si>
    <t>www.lixinger.com/analytics/company/sz/002053/2053/detail</t>
  </si>
  <si>
    <t>正丹股份</t>
  </si>
  <si>
    <t>www.lixinger.com/analytics/company/sz/300641/300641/detail</t>
  </si>
  <si>
    <t>联明股份</t>
  </si>
  <si>
    <t>www.lixinger.com/analytics/company/sh/603006/603006/detail</t>
  </si>
  <si>
    <t>恒基达鑫</t>
  </si>
  <si>
    <t>www.lixinger.com/analytics/company/sz/002492/2492/detail</t>
  </si>
  <si>
    <t>熵基科技</t>
  </si>
  <si>
    <t>www.lixinger.com/analytics/company/sz/301330/301330/detail</t>
  </si>
  <si>
    <t>智度股份</t>
  </si>
  <si>
    <t>www.lixinger.com/analytics/company/sz/000676/676/detail</t>
  </si>
  <si>
    <t>东星医疗</t>
  </si>
  <si>
    <t>www.lixinger.com/analytics/company/sz/301290/301290/detail</t>
  </si>
  <si>
    <t>乐歌股份</t>
  </si>
  <si>
    <t>www.lixinger.com/analytics/company/sz/300729/300729/detail</t>
  </si>
  <si>
    <t>三元生物</t>
  </si>
  <si>
    <t>www.lixinger.com/analytics/company/sz/301206/301206/detail</t>
  </si>
  <si>
    <t>杭华股份</t>
  </si>
  <si>
    <t>www.lixinger.com/analytics/company/sh/688571/688571/detail</t>
  </si>
  <si>
    <t>金时科技</t>
  </si>
  <si>
    <t>www.lixinger.com/analytics/company/sz/002951/2951/detail</t>
  </si>
  <si>
    <t>北元集团</t>
  </si>
  <si>
    <t>氯碱</t>
  </si>
  <si>
    <t>www.lixinger.com/analytics/company/sh/601568/601568/detail</t>
  </si>
  <si>
    <t>帅丰电器</t>
  </si>
  <si>
    <t>厨房电器</t>
  </si>
  <si>
    <t>www.lixinger.com/analytics/company/sh/605336/605336/detail</t>
  </si>
  <si>
    <t>广聚能源</t>
  </si>
  <si>
    <t>www.lixinger.com/analytics/company/sz/000096/96/detail</t>
  </si>
  <si>
    <t>广弘控股</t>
  </si>
  <si>
    <t>www.lixinger.com/analytics/company/sz/000529/529/detail</t>
  </si>
  <si>
    <t>长源东谷</t>
  </si>
  <si>
    <t>www.lixinger.com/analytics/company/sh/603950/603950/detail</t>
  </si>
  <si>
    <t>星辉环材</t>
  </si>
  <si>
    <t>www.lixinger.com/analytics/company/sz/300834/300834/detail</t>
  </si>
  <si>
    <t>和顺科技</t>
  </si>
  <si>
    <t>www.lixinger.com/analytics/company/sz/301237/301237/detail</t>
  </si>
  <si>
    <t>星湖科技</t>
  </si>
  <si>
    <t>www.lixinger.com/analytics/company/sh/600866/600866/detail</t>
  </si>
  <si>
    <t>瑞联新材</t>
  </si>
  <si>
    <t>www.lixinger.com/analytics/company/sh/688550/688550/detail</t>
  </si>
  <si>
    <t>乐凯胶片</t>
  </si>
  <si>
    <t>www.lixinger.com/analytics/company/sh/600135/600135/detail</t>
  </si>
  <si>
    <t>圣达生物</t>
  </si>
  <si>
    <t>www.lixinger.com/analytics/company/sh/603079/603079/detail</t>
  </si>
  <si>
    <t>海澜之家</t>
  </si>
  <si>
    <t>www.lixinger.com/analytics/company/sh/600398/600398/detail</t>
  </si>
  <si>
    <t>王府井</t>
  </si>
  <si>
    <t>www.lixinger.com/analytics/company/sh/600859/600859/detail</t>
  </si>
  <si>
    <t>海南高速</t>
  </si>
  <si>
    <t>www.lixinger.com/analytics/company/sz/000886/886/detail</t>
  </si>
  <si>
    <t>迈威生物</t>
  </si>
  <si>
    <t>www.lixinger.com/analytics/company/sh/688062/688062/detail</t>
  </si>
  <si>
    <t>洪兴股份</t>
  </si>
  <si>
    <t>www.lixinger.com/analytics/company/sz/001209/1209/detail</t>
  </si>
  <si>
    <t>帕瓦股份</t>
  </si>
  <si>
    <t>www.lixinger.com/analytics/company/sh/688184/688184/detail</t>
  </si>
  <si>
    <t>福昕软件</t>
  </si>
  <si>
    <t>www.lixinger.com/analytics/company/sh/688095/688095/detail</t>
  </si>
  <si>
    <t>新经典</t>
  </si>
  <si>
    <t>www.lixinger.com/analytics/company/sh/603096/603096/detail</t>
  </si>
  <si>
    <t>荣晟环保</t>
  </si>
  <si>
    <t>大宗用纸</t>
  </si>
  <si>
    <t>www.lixinger.com/analytics/company/sh/603165/603165/detail</t>
  </si>
  <si>
    <t>国新文化</t>
  </si>
  <si>
    <t>www.lixinger.com/analytics/company/sh/600636/600636/detail</t>
  </si>
  <si>
    <t>迈赫股份</t>
  </si>
  <si>
    <t>机器人</t>
  </si>
  <si>
    <t>www.lixinger.com/analytics/company/sz/301199/301199/detail</t>
  </si>
  <si>
    <t>荣泰健康</t>
  </si>
  <si>
    <t>其他家电</t>
  </si>
  <si>
    <t>www.lixinger.com/analytics/company/sh/603579/603579/detail</t>
  </si>
  <si>
    <t>之江生物</t>
  </si>
  <si>
    <t>www.lixinger.com/analytics/company/sh/688317/688317/detail</t>
  </si>
  <si>
    <t>天振股份</t>
  </si>
  <si>
    <t>瓷砖地板</t>
  </si>
  <si>
    <t>www.lixinger.com/analytics/company/sz/301356/301356/detail</t>
  </si>
  <si>
    <t>古越龙山</t>
  </si>
  <si>
    <t>www.lixinger.com/analytics/company/sh/600059/600059/detail</t>
  </si>
  <si>
    <t>皖通科技</t>
  </si>
  <si>
    <t>www.lixinger.com/analytics/company/sz/002331/2331/detail</t>
  </si>
  <si>
    <t>福莱蒽特</t>
  </si>
  <si>
    <t>www.lixinger.com/analytics/company/sh/605566/605566/detail</t>
  </si>
  <si>
    <t>光弘科技</t>
  </si>
  <si>
    <t>www.lixinger.com/analytics/company/sz/300735/300735/detail</t>
  </si>
  <si>
    <t>瑞凌股份</t>
  </si>
  <si>
    <t>www.lixinger.com/analytics/company/sz/300154/300154/detail</t>
  </si>
  <si>
    <t>广宇发展</t>
  </si>
  <si>
    <t>风力发电</t>
  </si>
  <si>
    <t>www.lixinger.com/analytics/company/sz/000537/537/detail</t>
  </si>
  <si>
    <t>洁雅股份</t>
  </si>
  <si>
    <t>www.lixinger.com/analytics/company/sz/301108/301108/detail</t>
  </si>
  <si>
    <t>圣晖集成</t>
  </si>
  <si>
    <t>www.lixinger.com/analytics/company/sh/603163/603163/detail</t>
  </si>
  <si>
    <t>城市传媒</t>
  </si>
  <si>
    <t>www.lixinger.com/analytics/company/sh/600229/600229/detail</t>
  </si>
  <si>
    <t>燕东微</t>
  </si>
  <si>
    <t>www.lixinger.com/analytics/company/sh/688172/688172/detail</t>
  </si>
  <si>
    <t>安通控股</t>
  </si>
  <si>
    <t>www.lixinger.com/analytics/company/sh/600179/600179/detail</t>
  </si>
  <si>
    <t>双鹭药业</t>
  </si>
  <si>
    <t>www.lixinger.com/analytics/company/sz/002038/2038/detail</t>
  </si>
  <si>
    <t>华强科技</t>
  </si>
  <si>
    <t>www.lixinger.com/analytics/company/sh/688151/688151/detail</t>
  </si>
  <si>
    <t>热景生物</t>
  </si>
  <si>
    <t>www.lixinger.com/analytics/company/sh/688068/688068/detail</t>
  </si>
  <si>
    <t>可孚医疗</t>
  </si>
  <si>
    <t>www.lixinger.com/analytics/company/sz/301087/301087/detail</t>
  </si>
  <si>
    <t>华峰化学</t>
  </si>
  <si>
    <t>氨纶</t>
  </si>
  <si>
    <t>www.lixinger.com/analytics/company/sz/002064/2064/detail</t>
  </si>
  <si>
    <t>戎美股份</t>
  </si>
  <si>
    <t>www.lixinger.com/analytics/company/sz/301088/301088/detail</t>
  </si>
  <si>
    <t>三维化学</t>
  </si>
  <si>
    <t>化学工程</t>
  </si>
  <si>
    <t>www.lixinger.com/analytics/company/sz/002469/2469/detail</t>
  </si>
  <si>
    <t>中马传动</t>
  </si>
  <si>
    <t>www.lixinger.com/analytics/company/sh/603767/603767/detail</t>
  </si>
  <si>
    <t>江南高纤</t>
  </si>
  <si>
    <t>www.lixinger.com/analytics/company/sh/600527/600527/detail</t>
  </si>
  <si>
    <t>铁科轨道</t>
  </si>
  <si>
    <t>www.lixinger.com/analytics/company/sh/688569/688569/detail</t>
  </si>
  <si>
    <t>方大炭素</t>
  </si>
  <si>
    <t>冶钢辅料</t>
  </si>
  <si>
    <t>www.lixinger.com/analytics/company/sh/600516/600516/detail</t>
  </si>
  <si>
    <t>南风股份</t>
  </si>
  <si>
    <t>www.lixinger.com/analytics/company/sz/300004/300004/detail</t>
  </si>
  <si>
    <t>海兴电力</t>
  </si>
  <si>
    <t>www.lixinger.com/analytics/company/sh/603556/603556/detail</t>
  </si>
  <si>
    <t>新华传媒</t>
  </si>
  <si>
    <t>www.lixinger.com/analytics/company/sh/600825/600825/detail</t>
  </si>
  <si>
    <t>沧州明珠</t>
  </si>
  <si>
    <t>www.lixinger.com/analytics/company/sz/002108/2108/detail</t>
  </si>
  <si>
    <t>三六零</t>
  </si>
  <si>
    <t>www.lixinger.com/analytics/company/sh/601360/601360/detail</t>
  </si>
  <si>
    <t>网宿科技</t>
  </si>
  <si>
    <t>www.lixinger.com/analytics/company/sz/300017/300017/detail</t>
  </si>
  <si>
    <t>汇洁股份</t>
  </si>
  <si>
    <t>鞋帽及其他</t>
  </si>
  <si>
    <t>www.lixinger.com/analytics/company/sz/002763/2763/detail</t>
  </si>
  <si>
    <t>杭州解百</t>
  </si>
  <si>
    <t>www.lixinger.com/analytics/company/sh/600814/600814/detail</t>
  </si>
  <si>
    <t>秦安股份</t>
  </si>
  <si>
    <t>www.lixinger.com/analytics/company/sh/603758/603758/detail</t>
  </si>
  <si>
    <t>氯碱化工</t>
  </si>
  <si>
    <t>www.lixinger.com/analytics/company/sh/600618/600618/detail</t>
  </si>
  <si>
    <t>德林海</t>
  </si>
  <si>
    <t>www.lixinger.com/analytics/company/sh/688069/688069/detail</t>
  </si>
  <si>
    <t>创新医疗</t>
  </si>
  <si>
    <t>www.lixinger.com/analytics/company/sz/002173/2173/detail</t>
  </si>
  <si>
    <t>华兰股份</t>
  </si>
  <si>
    <t>www.lixinger.com/analytics/company/sz/301093/301093/detail</t>
  </si>
  <si>
    <t>国中水务</t>
  </si>
  <si>
    <t>www.lixinger.com/analytics/company/sh/600187/600187/detail</t>
  </si>
  <si>
    <t>先河环保</t>
  </si>
  <si>
    <t>www.lixinger.com/analytics/company/sz/300137/300137/detail</t>
  </si>
  <si>
    <t>美思德</t>
  </si>
  <si>
    <t>聚氨酯</t>
  </si>
  <si>
    <t>www.lixinger.com/analytics/company/sh/603041/603041/detail</t>
  </si>
  <si>
    <t>粤传媒</t>
  </si>
  <si>
    <t>www.lixinger.com/analytics/company/sz/002181/2181/detail</t>
  </si>
  <si>
    <t>长海股份</t>
  </si>
  <si>
    <t>玻纤制造</t>
  </si>
  <si>
    <t>www.lixinger.com/analytics/company/sz/300196/300196/detail</t>
  </si>
  <si>
    <t>锦江在线</t>
  </si>
  <si>
    <t>公交</t>
  </si>
  <si>
    <t>www.lixinger.com/analytics/company/sh/600650/600650/detail</t>
  </si>
  <si>
    <t>明德生物</t>
  </si>
  <si>
    <t>www.lixinger.com/analytics/company/sz/002932/2932/detail</t>
  </si>
  <si>
    <t>嘉戎技术</t>
  </si>
  <si>
    <t>www.lixinger.com/analytics/company/sz/301148/301148/detail</t>
  </si>
  <si>
    <t>德展健康</t>
  </si>
  <si>
    <t>www.lixinger.com/analytics/company/sz/000813/813/detail</t>
  </si>
  <si>
    <t>华策影视</t>
  </si>
  <si>
    <t>www.lixinger.com/analytics/company/sz/300133/300133/detail</t>
  </si>
  <si>
    <t>航天信息</t>
  </si>
  <si>
    <t>www.lixinger.com/analytics/company/sh/600271/600271/detail</t>
  </si>
  <si>
    <t>上海莱士</t>
  </si>
  <si>
    <t>www.lixinger.com/analytics/company/sz/002252/2252/detail</t>
  </si>
  <si>
    <t>招商轮船</t>
  </si>
  <si>
    <t>www.lixinger.com/analytics/company/sh/601872/601872/detail</t>
  </si>
  <si>
    <t>力合科创</t>
  </si>
  <si>
    <t>化妆品制造及其他</t>
  </si>
  <si>
    <t>www.lixinger.com/analytics/company/sz/002243/2243/detail</t>
  </si>
  <si>
    <t>重庆路桥</t>
  </si>
  <si>
    <t>www.lixinger.com/analytics/company/sh/600106/600106/detail</t>
  </si>
  <si>
    <t>风华高科</t>
  </si>
  <si>
    <t>被动元件</t>
  </si>
  <si>
    <t>www.lixinger.com/analytics/company/sz/000636/636/detail</t>
  </si>
  <si>
    <t>唯科科技</t>
  </si>
  <si>
    <t>www.lixinger.com/analytics/company/sz/301196/301196/detail</t>
  </si>
  <si>
    <t>龙利得</t>
  </si>
  <si>
    <t>www.lixinger.com/analytics/company/sz/300883/300883/detail</t>
  </si>
  <si>
    <t>科思科技</t>
  </si>
  <si>
    <t>www.lixinger.com/analytics/company/sh/688788/688788/detail</t>
  </si>
  <si>
    <t>冠龙节能</t>
  </si>
  <si>
    <t>www.lixinger.com/analytics/company/sz/301151/301151/detail</t>
  </si>
  <si>
    <t>吉鑫科技</t>
  </si>
  <si>
    <t>www.lixinger.com/analytics/company/sh/601218/601218/detail</t>
  </si>
  <si>
    <t>东风股份</t>
  </si>
  <si>
    <t>www.lixinger.com/analytics/company/sh/601515/601515/detail</t>
  </si>
  <si>
    <t>和邦生物</t>
  </si>
  <si>
    <t>www.lixinger.com/analytics/company/sh/603077/603077/detail</t>
  </si>
  <si>
    <t>匠心家居</t>
  </si>
  <si>
    <t>成品家居</t>
  </si>
  <si>
    <t>www.lixinger.com/analytics/company/sz/301061/301061/detail</t>
  </si>
  <si>
    <t>硕世生物</t>
  </si>
  <si>
    <t>www.lixinger.com/analytics/company/sh/688399/688399/detail</t>
  </si>
  <si>
    <t>联美控股</t>
  </si>
  <si>
    <t>www.lixinger.com/analytics/company/sh/600167/600167/detail</t>
  </si>
  <si>
    <t>富春染织</t>
  </si>
  <si>
    <t>印染</t>
  </si>
  <si>
    <t>www.lixinger.com/analytics/company/sh/605189/605189/detail</t>
  </si>
  <si>
    <t>航民股份</t>
  </si>
  <si>
    <t>www.lixinger.com/analytics/company/sh/600987/600987/detail</t>
  </si>
  <si>
    <t>嘉曼服饰</t>
  </si>
  <si>
    <t>www.lixinger.com/analytics/company/sz/301276/301276/detail</t>
  </si>
  <si>
    <t>*ST御银</t>
  </si>
  <si>
    <t>www.lixinger.com/analytics/company/sz/002177/2177/detail</t>
  </si>
  <si>
    <t>康辰药业</t>
  </si>
  <si>
    <t>www.lixinger.com/analytics/company/sh/603590/603590/detail</t>
  </si>
  <si>
    <t>安旭生物</t>
  </si>
  <si>
    <t>www.lixinger.com/analytics/company/sh/688075/688075/detail</t>
  </si>
  <si>
    <t>天康生物</t>
  </si>
  <si>
    <t>畜禽饲料</t>
  </si>
  <si>
    <t>www.lixinger.com/analytics/company/sz/002100/2100/detail</t>
  </si>
  <si>
    <t>www.lixinger.com/analytics/company/sh/601088/601088/detail</t>
  </si>
  <si>
    <t>新天科技</t>
  </si>
  <si>
    <t>www.lixinger.com/analytics/company/sz/300259/300259/detail</t>
  </si>
  <si>
    <t>溢多利</t>
  </si>
  <si>
    <t>www.lixinger.com/analytics/company/sz/300381/300381/detail</t>
  </si>
  <si>
    <t>东方生物</t>
  </si>
  <si>
    <t>www.lixinger.com/analytics/company/sh/688298/688298/detail</t>
  </si>
  <si>
    <t>中恒集团</t>
  </si>
  <si>
    <t>www.lixinger.com/analytics/company/sh/600252/600252/detail</t>
  </si>
  <si>
    <t>龙版传媒</t>
  </si>
  <si>
    <t>www.lixinger.com/analytics/company/sh/605577/605577/detail</t>
  </si>
  <si>
    <t>爱慕股份</t>
  </si>
  <si>
    <t>www.lixinger.com/analytics/company/sh/603511/603511/detail</t>
  </si>
  <si>
    <t>顺发恒业</t>
  </si>
  <si>
    <t>www.lixinger.com/analytics/company/sz/000631/631/detail</t>
  </si>
  <si>
    <t>东望时代</t>
  </si>
  <si>
    <t>www.lixinger.com/analytics/company/sh/600052/600052/detail</t>
  </si>
  <si>
    <t>粤桂股份</t>
  </si>
  <si>
    <t>www.lixinger.com/analytics/company/sz/000833/833/detail</t>
  </si>
  <si>
    <t>成大生物</t>
  </si>
  <si>
    <t>疫苗</t>
  </si>
  <si>
    <t>www.lixinger.com/analytics/company/sh/688739/688739/detail</t>
  </si>
  <si>
    <t>凯迪股份</t>
  </si>
  <si>
    <t>www.lixinger.com/analytics/company/sh/605288/605288/detail</t>
  </si>
  <si>
    <t>天士力</t>
  </si>
  <si>
    <t>www.lixinger.com/analytics/company/sh/600535/600535/detail</t>
  </si>
  <si>
    <t>苏利股份</t>
  </si>
  <si>
    <t>www.lixinger.com/analytics/company/sh/603585/603585/detail</t>
  </si>
  <si>
    <t>双箭股份</t>
  </si>
  <si>
    <t>其他橡胶制品</t>
  </si>
  <si>
    <t>www.lixinger.com/analytics/company/sz/002381/2381/detail</t>
  </si>
  <si>
    <t>欣贺股份</t>
  </si>
  <si>
    <t>www.lixinger.com/analytics/company/sz/003016/3016/detail</t>
  </si>
  <si>
    <t>两面针</t>
  </si>
  <si>
    <t>洗护用品</t>
  </si>
  <si>
    <t>www.lixinger.com/analytics/company/sh/600249/600249/detail</t>
  </si>
  <si>
    <t>维远股份</t>
  </si>
  <si>
    <t>www.lixinger.com/analytics/company/sh/600955/600955/detail</t>
  </si>
  <si>
    <t>长江材料</t>
  </si>
  <si>
    <t>www.lixinger.com/analytics/company/sz/001296/1296/detail</t>
  </si>
  <si>
    <t>力合科技</t>
  </si>
  <si>
    <t>www.lixinger.com/analytics/company/sz/300800/300800/detail</t>
  </si>
  <si>
    <t>兆丰股份</t>
  </si>
  <si>
    <t>www.lixinger.com/analytics/company/sz/300695/300695/detail</t>
  </si>
  <si>
    <t>华绿生物</t>
  </si>
  <si>
    <t>食用菌</t>
  </si>
  <si>
    <t>www.lixinger.com/analytics/company/sz/300970/300970/detail</t>
  </si>
  <si>
    <t>丛麟科技</t>
  </si>
  <si>
    <t>www.lixinger.com/analytics/company/sh/688370/688370/detail</t>
  </si>
  <si>
    <t>浙版传媒</t>
  </si>
  <si>
    <t>www.lixinger.com/analytics/company/sh/601921/601921/detail</t>
  </si>
  <si>
    <t>晋控煤业</t>
  </si>
  <si>
    <t>www.lixinger.com/analytics/company/sh/601001/601001/detail</t>
  </si>
  <si>
    <t>麒盛科技</t>
  </si>
  <si>
    <t>www.lixinger.com/analytics/company/sh/603610/603610/detail</t>
  </si>
  <si>
    <t>森林包装</t>
  </si>
  <si>
    <t>www.lixinger.com/analytics/company/sh/605500/605500/detail</t>
  </si>
  <si>
    <t>巨人网络</t>
  </si>
  <si>
    <t>www.lixinger.com/analytics/company/sz/002558/2558/detail</t>
  </si>
  <si>
    <t>达瑞电子</t>
  </si>
  <si>
    <t>www.lixinger.com/analytics/company/sz/300976/300976/detail</t>
  </si>
  <si>
    <t>金陵药业</t>
  </si>
  <si>
    <t>www.lixinger.com/analytics/company/sz/000919/919/detail</t>
  </si>
  <si>
    <t>山东威达</t>
  </si>
  <si>
    <t>www.lixinger.com/analytics/company/sz/002026/2026/detail</t>
  </si>
  <si>
    <t>广电电气</t>
  </si>
  <si>
    <t>配电设备</t>
  </si>
  <si>
    <t>www.lixinger.com/analytics/company/sh/601616/601616/detail</t>
  </si>
  <si>
    <t>东亚药业</t>
  </si>
  <si>
    <t>www.lixinger.com/analytics/company/sh/605177/605177/detail</t>
  </si>
  <si>
    <t>丽臣实业</t>
  </si>
  <si>
    <t>www.lixinger.com/analytics/company/sz/001218/1218/detail</t>
  </si>
  <si>
    <t>三力士</t>
  </si>
  <si>
    <t>www.lixinger.com/analytics/company/sz/002224/2224/detail</t>
  </si>
  <si>
    <t>运机集团</t>
  </si>
  <si>
    <t>www.lixinger.com/analytics/company/sz/001288/1288/detail</t>
  </si>
  <si>
    <t>奥泰生物</t>
  </si>
  <si>
    <t>www.lixinger.com/analytics/company/sh/688606/688606/detail</t>
  </si>
  <si>
    <t>金岭矿业</t>
  </si>
  <si>
    <t>www.lixinger.com/analytics/company/sz/000655/655/detail</t>
  </si>
  <si>
    <t>*ST科华</t>
  </si>
  <si>
    <t>www.lixinger.com/analytics/company/sz/002022/2022/detail</t>
  </si>
  <si>
    <t>林洋能源</t>
  </si>
  <si>
    <t>www.lixinger.com/analytics/company/sh/601222/601222/detail</t>
  </si>
  <si>
    <t>史丹利</t>
  </si>
  <si>
    <t>复合肥</t>
  </si>
  <si>
    <t>www.lixinger.com/analytics/company/sz/002588/2588/detail</t>
  </si>
  <si>
    <t>香溢融通</t>
  </si>
  <si>
    <t>www.lixinger.com/analytics/company/sh/600830/600830/detail</t>
  </si>
  <si>
    <t>西部创业</t>
  </si>
  <si>
    <t>铁路运输</t>
  </si>
  <si>
    <t>www.lixinger.com/analytics/company/sz/000557/557/detail</t>
  </si>
  <si>
    <t>华丰股份</t>
  </si>
  <si>
    <t>www.lixinger.com/analytics/company/sh/605100/605100/detail</t>
  </si>
  <si>
    <t>盘江股份</t>
  </si>
  <si>
    <t>焦煤</t>
  </si>
  <si>
    <t>www.lixinger.com/analytics/company/sh/600395/600395/detail</t>
  </si>
  <si>
    <t>凯文教育</t>
  </si>
  <si>
    <t>学历教育</t>
  </si>
  <si>
    <t>www.lixinger.com/analytics/company/sz/002659/2659/detail</t>
  </si>
  <si>
    <t>隆鑫通用</t>
  </si>
  <si>
    <t>www.lixinger.com/analytics/company/sh/603766/603766/detail</t>
  </si>
  <si>
    <t>中国海油</t>
  </si>
  <si>
    <t>油气开采</t>
  </si>
  <si>
    <t>www.lixinger.com/analytics/company/sh/600938/600938/detail</t>
  </si>
  <si>
    <t>三峡旅游</t>
  </si>
  <si>
    <t>www.lixinger.com/analytics/company/sz/002627/2627/detail</t>
  </si>
  <si>
    <t>宝新能源</t>
  </si>
  <si>
    <t>火力发电</t>
  </si>
  <si>
    <t>www.lixinger.com/analytics/company/sz/000690/690/detail</t>
  </si>
  <si>
    <t>宁波高发</t>
  </si>
  <si>
    <t>www.lixinger.com/analytics/company/sh/603788/603788/detail</t>
  </si>
  <si>
    <t>金达莱</t>
  </si>
  <si>
    <t>www.lixinger.com/analytics/company/sh/688057/688057/detail</t>
  </si>
  <si>
    <t>安车检测</t>
  </si>
  <si>
    <t>www.lixinger.com/analytics/company/sz/300572/300572/detail</t>
  </si>
  <si>
    <t>长江健康</t>
  </si>
  <si>
    <t>www.lixinger.com/analytics/company/sz/002435/2435/detail</t>
  </si>
  <si>
    <t>四川美丰</t>
  </si>
  <si>
    <t>www.lixinger.com/analytics/company/sz/000731/731/detail</t>
  </si>
  <si>
    <t>中南传媒</t>
  </si>
  <si>
    <t>www.lixinger.com/analytics/company/sh/601098/601098/detail</t>
  </si>
  <si>
    <t>西王食品</t>
  </si>
  <si>
    <t>粮油加工</t>
  </si>
  <si>
    <t>www.lixinger.com/analytics/company/sz/000639/639/detail</t>
  </si>
  <si>
    <t>二三四五</t>
  </si>
  <si>
    <t>www.lixinger.com/analytics/company/sz/002195/2195/detail</t>
  </si>
  <si>
    <t>金麒麟</t>
  </si>
  <si>
    <t>www.lixinger.com/analytics/company/sh/603586/603586/detail</t>
  </si>
  <si>
    <t>越剑智能</t>
  </si>
  <si>
    <t>纺织服装设备</t>
  </si>
  <si>
    <t>www.lixinger.com/analytics/company/sh/603095/603095/detail</t>
  </si>
  <si>
    <t>九安医疗</t>
  </si>
  <si>
    <t>www.lixinger.com/analytics/company/sz/002432/2432/detail</t>
  </si>
  <si>
    <t>泸天化</t>
  </si>
  <si>
    <t>www.lixinger.com/analytics/company/sz/000912/912/detail</t>
  </si>
  <si>
    <t>广州港</t>
  </si>
  <si>
    <t>港口</t>
  </si>
  <si>
    <t>www.lixinger.com/analytics/company/sh/601228/601228/detail</t>
  </si>
  <si>
    <t>开创国际</t>
  </si>
  <si>
    <t>海洋捕捞</t>
  </si>
  <si>
    <t>www.lixinger.com/analytics/company/sh/600097/600097/detail</t>
  </si>
  <si>
    <t>永利股份</t>
  </si>
  <si>
    <t>www.lixinger.com/analytics/company/sz/300230/300230/detail</t>
  </si>
  <si>
    <t>华联控股</t>
  </si>
  <si>
    <t>www.lixinger.com/analytics/company/sz/000036/36/detail</t>
  </si>
  <si>
    <t>绿茵生态</t>
  </si>
  <si>
    <t>综合环境治理</t>
  </si>
  <si>
    <t>www.lixinger.com/analytics/company/sz/002887/2887/detail</t>
  </si>
  <si>
    <t>勤上股份</t>
  </si>
  <si>
    <t>www.lixinger.com/analytics/company/sz/002638/2638/detail</t>
  </si>
  <si>
    <t>盐田港</t>
  </si>
  <si>
    <t>www.lixinger.com/analytics/company/sz/000088/88/detail</t>
  </si>
  <si>
    <t>通程控股</t>
  </si>
  <si>
    <t>www.lixinger.com/analytics/company/sz/000419/419/detail</t>
  </si>
  <si>
    <t>博深股份</t>
  </si>
  <si>
    <t>www.lixinger.com/analytics/company/sz/002282/2282/detail</t>
  </si>
  <si>
    <t>浙数文化</t>
  </si>
  <si>
    <t>www.lixinger.com/analytics/company/sh/600633/600633/detail</t>
  </si>
  <si>
    <t>尤安设计</t>
  </si>
  <si>
    <t>www.lixinger.com/analytics/company/sz/300983/300983/detail</t>
  </si>
  <si>
    <t>理工能科</t>
  </si>
  <si>
    <t>www.lixinger.com/analytics/company/sz/002322/2322/detail</t>
  </si>
  <si>
    <t>雄塑科技</t>
  </si>
  <si>
    <t>管材</t>
  </si>
  <si>
    <t>www.lixinger.com/analytics/company/sz/300599/300599/detail</t>
  </si>
  <si>
    <t>中信海直</t>
  </si>
  <si>
    <t>航空运输</t>
  </si>
  <si>
    <t>www.lixinger.com/analytics/company/sz/000099/99/detail</t>
  </si>
  <si>
    <t>华丽家族</t>
  </si>
  <si>
    <t>www.lixinger.com/analytics/company/sh/600503/600503/detail</t>
  </si>
  <si>
    <t>创业环保</t>
  </si>
  <si>
    <t>www.lixinger.com/analytics/company/sh/600874/600874/detail</t>
  </si>
  <si>
    <t>百纳千成</t>
  </si>
  <si>
    <t>www.lixinger.com/analytics/company/sz/300291/300291/detail</t>
  </si>
  <si>
    <t>莱宝高科</t>
  </si>
  <si>
    <t>www.lixinger.com/analytics/company/sz/002106/2106/detail</t>
  </si>
  <si>
    <t>上港集团</t>
  </si>
  <si>
    <t>www.lixinger.com/analytics/company/sh/600018/600018/detail</t>
  </si>
  <si>
    <t>兴化股份</t>
  </si>
  <si>
    <t>www.lixinger.com/analytics/company/sz/002109/2109/detail</t>
  </si>
  <si>
    <t>丰林集团</t>
  </si>
  <si>
    <t>www.lixinger.com/analytics/company/sh/601996/601996/detail</t>
  </si>
  <si>
    <t>国药现代</t>
  </si>
  <si>
    <t>www.lixinger.com/analytics/company/sh/600420/600420/detail</t>
  </si>
  <si>
    <t>京东方Ａ</t>
  </si>
  <si>
    <t>www.lixinger.com/analytics/company/sz/000725/725/detail</t>
  </si>
  <si>
    <t>春兰股份</t>
  </si>
  <si>
    <t>空调</t>
  </si>
  <si>
    <t>www.lixinger.com/analytics/company/sh/600854/600854/detail</t>
  </si>
  <si>
    <t>新智认知</t>
  </si>
  <si>
    <t>www.lixinger.com/analytics/company/sh/603869/603869/detail</t>
  </si>
  <si>
    <t>新世界</t>
  </si>
  <si>
    <t>www.lixinger.com/analytics/company/sh/600628/600628/detail</t>
  </si>
  <si>
    <t>铁龙物流</t>
  </si>
  <si>
    <t>www.lixinger.com/analytics/company/sh/600125/600125/detail</t>
  </si>
  <si>
    <t>英力特</t>
  </si>
  <si>
    <t>www.lixinger.com/analytics/company/sz/000635/635/detail</t>
  </si>
  <si>
    <t>ST中珠</t>
  </si>
  <si>
    <t>www.lixinger.com/analytics/company/sh/600568/600568/detail</t>
  </si>
  <si>
    <t>东莞控股</t>
  </si>
  <si>
    <t>www.lixinger.com/analytics/company/sz/000828/828/detail</t>
  </si>
  <si>
    <t>中铁特货</t>
  </si>
  <si>
    <t>www.lixinger.com/analytics/company/sz/001213/1213/detail</t>
  </si>
  <si>
    <t>江苏国泰</t>
  </si>
  <si>
    <t>贸易</t>
  </si>
  <si>
    <t>www.lixinger.com/analytics/company/sz/002091/2091/detail</t>
  </si>
  <si>
    <t>众兴菌业</t>
  </si>
  <si>
    <t>www.lixinger.com/analytics/company/sz/002772/2772/detail</t>
  </si>
  <si>
    <t>皖通高速</t>
  </si>
  <si>
    <t>www.lixinger.com/analytics/company/sh/600012/600012/detail</t>
  </si>
  <si>
    <t>www.lixinger.com/analytics/company/sh/601811/601811/detail</t>
  </si>
  <si>
    <t>山东出版</t>
  </si>
  <si>
    <t>www.lixinger.com/analytics/company/sh/601019/601019/detail</t>
  </si>
  <si>
    <t>万年青</t>
  </si>
  <si>
    <t>www.lixinger.com/analytics/company/sz/000789/789/detail</t>
  </si>
  <si>
    <t>中原传媒</t>
  </si>
  <si>
    <t>www.lixinger.com/analytics/company/sz/000719/719/detail</t>
  </si>
  <si>
    <t>河钢资源</t>
  </si>
  <si>
    <t>www.lixinger.com/analytics/company/sz/000923/923/detail</t>
  </si>
  <si>
    <t>博迈科</t>
  </si>
  <si>
    <t>油气及炼化工程</t>
  </si>
  <si>
    <t>www.lixinger.com/analytics/company/sh/603727/603727/detail</t>
  </si>
  <si>
    <t>莱绅通灵</t>
  </si>
  <si>
    <t>www.lixinger.com/analytics/company/sh/603900/603900/detail</t>
  </si>
  <si>
    <t>宁波港</t>
  </si>
  <si>
    <t>www.lixinger.com/analytics/company/sh/601018/601018/detail</t>
  </si>
  <si>
    <t>明牌珠宝</t>
  </si>
  <si>
    <t>www.lixinger.com/analytics/company/sz/002574/2574/detail</t>
  </si>
  <si>
    <t>中国重工</t>
  </si>
  <si>
    <t>www.lixinger.com/analytics/company/sh/601989/601989/detail</t>
  </si>
  <si>
    <t>海航科技</t>
  </si>
  <si>
    <t>www.lixinger.com/analytics/company/sh/600751/600751/detail</t>
  </si>
  <si>
    <t>华宇软件</t>
  </si>
  <si>
    <t>www.lixinger.com/analytics/company/sz/300271/300271/detail</t>
  </si>
  <si>
    <t>龙江交通</t>
  </si>
  <si>
    <t>www.lixinger.com/analytics/company/sh/601188/601188/detail</t>
  </si>
  <si>
    <t>中红医疗</t>
  </si>
  <si>
    <t>www.lixinger.com/analytics/company/sz/300981/300981/detail</t>
  </si>
  <si>
    <t>远东传动</t>
  </si>
  <si>
    <t>www.lixinger.com/analytics/company/sz/002406/2406/detail</t>
  </si>
  <si>
    <t>新疆天业</t>
  </si>
  <si>
    <t>www.lixinger.com/analytics/company/sh/600075/600075/detail</t>
  </si>
  <si>
    <t>皖新传媒</t>
  </si>
  <si>
    <t>www.lixinger.com/analytics/company/sh/601801/601801/detail</t>
  </si>
  <si>
    <t>英科医疗</t>
  </si>
  <si>
    <t>www.lixinger.com/analytics/company/sz/300677/300677/detail</t>
  </si>
  <si>
    <t>红蜻蜓</t>
  </si>
  <si>
    <t>www.lixinger.com/analytics/company/sh/603116/603116/detail</t>
  </si>
  <si>
    <t>哈铁科技</t>
  </si>
  <si>
    <t>www.lixinger.com/analytics/company/sh/688459/688459/detail</t>
  </si>
  <si>
    <t>www.lixinger.com/analytics/company/sh/601326/601326/detail</t>
  </si>
  <si>
    <t>力生制药</t>
  </si>
  <si>
    <t>www.lixinger.com/analytics/company/sz/002393/2393/detail</t>
  </si>
  <si>
    <t>靖远煤电</t>
  </si>
  <si>
    <t>www.lixinger.com/analytics/company/sz/000552/552/detail</t>
  </si>
  <si>
    <t>www.lixinger.com/analytics/company/sh/601919/601919/detail</t>
  </si>
  <si>
    <t>闰土股份</t>
  </si>
  <si>
    <t>www.lixinger.com/analytics/company/sz/002440/2440/detail</t>
  </si>
  <si>
    <t>歌华有线</t>
  </si>
  <si>
    <t>www.lixinger.com/analytics/company/sh/600037/600037/detail</t>
  </si>
  <si>
    <t>南山铝业</t>
  </si>
  <si>
    <t>www.lixinger.com/analytics/company/sh/600219/600219/detail</t>
  </si>
  <si>
    <t>唐山港</t>
  </si>
  <si>
    <t>www.lixinger.com/analytics/company/sh/601000/601000/detail</t>
  </si>
  <si>
    <t>龙宇燃油</t>
  </si>
  <si>
    <t>www.lixinger.com/analytics/company/sh/603003/603003/detail</t>
  </si>
  <si>
    <t>昊华能源</t>
  </si>
  <si>
    <t>www.lixinger.com/analytics/company/sh/601101/601101/detail</t>
  </si>
  <si>
    <t>www.lixinger.com/analytics/company/sh/600585/600585/detail</t>
  </si>
  <si>
    <t>好想你</t>
  </si>
  <si>
    <t>零食</t>
  </si>
  <si>
    <t>www.lixinger.com/analytics/company/sz/002582/2582/detail</t>
  </si>
  <si>
    <t>恒源煤电</t>
  </si>
  <si>
    <t>www.lixinger.com/analytics/company/sh/600971/600971/detail</t>
  </si>
  <si>
    <t>大秦铁路</t>
  </si>
  <si>
    <t>www.lixinger.com/analytics/company/sh/601006/601006/detail</t>
  </si>
  <si>
    <t>景兴纸业</t>
  </si>
  <si>
    <t>www.lixinger.com/analytics/company/sz/002067/2067/detail</t>
  </si>
  <si>
    <t>东方明珠</t>
  </si>
  <si>
    <t>www.lixinger.com/analytics/company/sh/600637/600637/detail</t>
  </si>
  <si>
    <t>塔牌集团</t>
  </si>
  <si>
    <t>www.lixinger.com/analytics/company/sz/002233/2233/detail</t>
  </si>
  <si>
    <t>中文传媒</t>
  </si>
  <si>
    <t>www.lixinger.com/analytics/company/sh/600373/600373/detail</t>
  </si>
  <si>
    <t>开滦股份</t>
  </si>
  <si>
    <t>焦炭</t>
  </si>
  <si>
    <t>www.lixinger.com/analytics/company/sh/600997/600997/detail</t>
  </si>
  <si>
    <t>交运股份</t>
  </si>
  <si>
    <t>www.lixinger.com/analytics/company/sh/600676/600676/detail</t>
  </si>
  <si>
    <t>蓝帆医疗</t>
  </si>
  <si>
    <t>www.lixinger.com/analytics/company/sz/002382/2382/detail</t>
  </si>
  <si>
    <t>鲁泰Ａ</t>
  </si>
  <si>
    <t>棉纺</t>
  </si>
  <si>
    <t>www.lixinger.com/analytics/company/sz/000726/726/detail</t>
  </si>
  <si>
    <t>天茂集团</t>
  </si>
  <si>
    <t>www.lixinger.com/analytics/company/sz/000627/627/detail</t>
  </si>
  <si>
    <t>杭钢股份</t>
  </si>
  <si>
    <t>板材</t>
  </si>
  <si>
    <t>www.lixinger.com/analytics/company/sh/600126/600126/detail</t>
  </si>
  <si>
    <t>吉林敖东</t>
  </si>
  <si>
    <t>www.lixinger.com/analytics/company/sz/000623/623/detail</t>
  </si>
  <si>
    <t>凤凰股份</t>
  </si>
  <si>
    <t>www.lixinger.com/analytics/company/sh/600716/600716/detail</t>
  </si>
  <si>
    <t>四川成渝</t>
  </si>
  <si>
    <t>www.lixinger.com/analytics/company/sh/601107/601107/detail</t>
  </si>
  <si>
    <t>广日股份</t>
  </si>
  <si>
    <t>www.lixinger.com/analytics/company/sh/600894/600894/detail</t>
  </si>
  <si>
    <t xml:space="preserve">流动比率 当期 最新 </t>
  </si>
  <si>
    <t>市值 最近时间 (USD)</t>
  </si>
  <si>
    <t>nyse</t>
  </si>
  <si>
    <t>WAYFAIR INC</t>
  </si>
  <si>
    <t>www.lixinger.com/analytics/company/nyse/W/161670700/detail</t>
  </si>
  <si>
    <t>达美乐比萨</t>
  </si>
  <si>
    <t>www.lixinger.com/analytics/company/nyse/DPZ/128668100/detail</t>
  </si>
  <si>
    <t>nasdaq</t>
  </si>
  <si>
    <t>SABRE CORP</t>
  </si>
  <si>
    <t>www.lixinger.com/analytics/company/nasdaq/SABR/159703300/detail</t>
  </si>
  <si>
    <t>EVO PAYMENTS INC</t>
  </si>
  <si>
    <t>www.lixinger.com/analytics/company/nasdaq/EVOP/170459600/detail</t>
  </si>
  <si>
    <t>PROFRAC HOLDING CORP</t>
  </si>
  <si>
    <t>www.lixinger.com/analytics/company/nasdaq/ACDC/188148700/detail</t>
  </si>
  <si>
    <t>bath&amp;bodyworksinc</t>
  </si>
  <si>
    <t>www.lixinger.com/analytics/company/nyse/BBWI/70198500/detail</t>
  </si>
  <si>
    <t>百胜餐饮</t>
  </si>
  <si>
    <t>www.lixinger.com/analytics/company/nyse/YUM/104106100/detail</t>
  </si>
  <si>
    <t>KINETIK HOLDINGS INC</t>
  </si>
  <si>
    <t>www.lixinger.com/analytics/company/nyse/KNTK/169278700/detail</t>
  </si>
  <si>
    <t>雪松娱乐</t>
  </si>
  <si>
    <t>www.lixinger.com/analytics/company/nyse/FUN/81153200/detail</t>
  </si>
  <si>
    <t>BAUSCH HEALTH COMPANIES INC</t>
  </si>
  <si>
    <t>www.lixinger.com/analytics/company/nyse/BHC/88559000/detail</t>
  </si>
  <si>
    <t>MYOVANT SCIENCES LTD</t>
  </si>
  <si>
    <t>www.lixinger.com/analytics/company/nyse/MYOV/167908200/detail</t>
  </si>
  <si>
    <t>cogent通信</t>
  </si>
  <si>
    <t>www.lixinger.com/analytics/company/nasdaq/CCOI/115832400/detail</t>
  </si>
  <si>
    <t>organon&amp;co</t>
  </si>
  <si>
    <t>www.lixinger.com/analytics/company/nyse/OGN/182182500/detail</t>
  </si>
  <si>
    <t>洲际酒店</t>
  </si>
  <si>
    <t>www.lixinger.com/analytics/company/nyse/IHG/85844600/detail</t>
  </si>
  <si>
    <t>奥的斯</t>
  </si>
  <si>
    <t>www.lixinger.com/analytics/company/nyse/OTIS/178133500/detail</t>
  </si>
  <si>
    <t>波音</t>
  </si>
  <si>
    <t>www.lixinger.com/analytics/company/nyse/BA/1292700/detail</t>
  </si>
  <si>
    <t>NUTANIX INC</t>
  </si>
  <si>
    <t>www.lixinger.com/analytics/company/nasdaq/NTNX/161873200/detail</t>
  </si>
  <si>
    <t>BOX INC</t>
  </si>
  <si>
    <t>www.lixinger.com/analytics/company/nyse/BOX/137261200/detail</t>
  </si>
  <si>
    <t>biocryst制药</t>
  </si>
  <si>
    <t>www.lixinger.com/analytics/company/nasdaq/BCRX/88279600/detail</t>
  </si>
  <si>
    <t>BELLRING BRANDS INC</t>
  </si>
  <si>
    <t>www.lixinger.com/analytics/company/nyse/BRBR/177201600/detail</t>
  </si>
  <si>
    <t>TRANSDIGM GROUP INC</t>
  </si>
  <si>
    <t>www.lixinger.com/analytics/company/nyse/TDG/126022100/detail</t>
  </si>
  <si>
    <t>棒约翰</t>
  </si>
  <si>
    <t>www.lixinger.com/analytics/company/nasdaq/PZZA/90149100/detail</t>
  </si>
  <si>
    <t>劳氏</t>
  </si>
  <si>
    <t>www.lixinger.com/analytics/company/nyse/LOW/6066700/detail</t>
  </si>
  <si>
    <t>WINGSTOP INC</t>
  </si>
  <si>
    <t>www.lixinger.com/analytics/company/nasdaq/WING/163622200/detail</t>
  </si>
  <si>
    <t>新濠博亚娱乐</t>
  </si>
  <si>
    <t>www.lixinger.com/analytics/company/nasdaq/MLCO/138164000/detail</t>
  </si>
  <si>
    <t>卡地纳健康</t>
  </si>
  <si>
    <t>www.lixinger.com/analytics/company/nyse/CAH/72137100/detail</t>
  </si>
  <si>
    <t>LESLIE'S INC</t>
  </si>
  <si>
    <t>www.lixinger.com/analytics/company/nasdaq/LESL/182180600/detail</t>
  </si>
  <si>
    <t>PTC THERAPEUTICS INC</t>
  </si>
  <si>
    <t>www.lixinger.com/analytics/company/nasdaq/PTCT/107008100/detail</t>
  </si>
  <si>
    <t>RINGCENTRAL INC</t>
  </si>
  <si>
    <t>www.lixinger.com/analytics/company/nyse/RNG/138490500/detail</t>
  </si>
  <si>
    <t>永利度假村</t>
  </si>
  <si>
    <t>www.lixinger.com/analytics/company/nasdaq/WYNN/117492200/detail</t>
  </si>
  <si>
    <t>DROPBOX INC</t>
  </si>
  <si>
    <t>www.lixinger.com/analytics/company/nasdaq/DBX/146762300/detail</t>
  </si>
  <si>
    <t>威瑞信</t>
  </si>
  <si>
    <t>www.lixinger.com/analytics/company/nasdaq/VRSN/101447300/detail</t>
  </si>
  <si>
    <t>菲利普莫里斯</t>
  </si>
  <si>
    <t>www.lixinger.com/analytics/company/nyse/PM/141332900/detail</t>
  </si>
  <si>
    <t>马斯科</t>
  </si>
  <si>
    <t>www.lixinger.com/analytics/company/nyse/MAS/6299600/detail</t>
  </si>
  <si>
    <t>ALVOTECH</t>
  </si>
  <si>
    <t>www.lixinger.com/analytics/company/nasdaq/ALVO/189841600/detail</t>
  </si>
  <si>
    <t>MATCH GROUP INC</t>
  </si>
  <si>
    <t>www.lixinger.com/analytics/company/nasdaq/MTCH/89110300/detail</t>
  </si>
  <si>
    <t>h&amp;r布洛克税务公司</t>
  </si>
  <si>
    <t>www.lixinger.com/analytics/company/nyse/HRB/1265900/detail</t>
  </si>
  <si>
    <t>FAIR ISAAC CORP</t>
  </si>
  <si>
    <t>www.lixinger.com/analytics/company/nyse/FICO/81454700/detail</t>
  </si>
  <si>
    <t>hca医疗</t>
  </si>
  <si>
    <t>www.lixinger.com/analytics/company/nyse/HCA/86073000/detail</t>
  </si>
  <si>
    <t>雷诺士</t>
  </si>
  <si>
    <t>www.lixinger.com/analytics/company/nyse/LII/106920200/detail</t>
  </si>
  <si>
    <t>SPLUNK INC</t>
  </si>
  <si>
    <t>www.lixinger.com/analytics/company/nasdaq/SPLK/135328300/detail</t>
  </si>
  <si>
    <t>ETSY INC</t>
  </si>
  <si>
    <t>www.lixinger.com/analytics/company/nasdaq/ETSY/137063700/detail</t>
  </si>
  <si>
    <t>麦当劳</t>
  </si>
  <si>
    <t>www.lixinger.com/analytics/company/nyse/MCD/6390800/detail</t>
  </si>
  <si>
    <t>麦克森</t>
  </si>
  <si>
    <t>www.lixinger.com/analytics/company/nyse/MCK/92765300/detail</t>
  </si>
  <si>
    <t>weber incclassa</t>
  </si>
  <si>
    <t>www.lixinger.com/analytics/company/nyse/WEBR/185795100/detail</t>
  </si>
  <si>
    <t>MSCI INC</t>
  </si>
  <si>
    <t>www.lixinger.com/analytics/company/nyse/MSCI/140819800/detail</t>
  </si>
  <si>
    <t>希捷科技</t>
  </si>
  <si>
    <t>www.lixinger.com/analytics/company/nasdaq/STX/113778900/detail</t>
  </si>
  <si>
    <t>OAK STREET HEALTH INC</t>
  </si>
  <si>
    <t>www.lixinger.com/analytics/company/nyse/OSH/156440600/detail</t>
  </si>
  <si>
    <t>PLANET FITNESS INC</t>
  </si>
  <si>
    <t>www.lixinger.com/analytics/company/nyse/PLNT/163720700/detail</t>
  </si>
  <si>
    <t>泰浦陛迪国际公司</t>
  </si>
  <si>
    <t>www.lixinger.com/analytics/company/nyse/TPX/120626400/detail</t>
  </si>
  <si>
    <t>希尔顿酒店</t>
  </si>
  <si>
    <t>www.lixinger.com/analytics/company/nyse/HLT/158568900/detail</t>
  </si>
  <si>
    <t>PLAYTIKA HOLDING CORP</t>
  </si>
  <si>
    <t>www.lixinger.com/analytics/company/nasdaq/PLTK/182801600/detail</t>
  </si>
  <si>
    <t>厄比奎蒂</t>
  </si>
  <si>
    <t>www.lixinger.com/analytics/company/nyse/UI/151173700/detail</t>
  </si>
  <si>
    <t>BOWLERO CORP</t>
  </si>
  <si>
    <t>www.lixinger.com/analytics/company/nyse/BOWL/184057200/detail</t>
  </si>
  <si>
    <t>飞塔信息</t>
  </si>
  <si>
    <t>www.lixinger.com/analytics/company/nasdaq/FTNT/126203900/detail</t>
  </si>
  <si>
    <t>WIXCOM LTD</t>
  </si>
  <si>
    <t>www.lixinger.com/analytics/company/nasdaq/WIX/157678900/detail</t>
  </si>
  <si>
    <t>怡安保险</t>
  </si>
  <si>
    <t>www.lixinger.com/analytics/company/nyse/AON/31529300/detail</t>
  </si>
  <si>
    <t>SPIRIT AEROSYSTEMS HOLDINGS INC</t>
  </si>
  <si>
    <t>www.lixinger.com/analytics/company/nyse/SPR/136488500/detail</t>
  </si>
  <si>
    <t>摩托罗拉解决方案</t>
  </si>
  <si>
    <t>www.lixinger.com/analytics/company/nyse/MSI/6850500/detail</t>
  </si>
  <si>
    <t>美源伯根</t>
  </si>
  <si>
    <t>www.lixinger.com/analytics/company/nyse/ABC/114085900/detail</t>
  </si>
  <si>
    <t>INSMED INC</t>
  </si>
  <si>
    <t>www.lixinger.com/analytics/company/nasdaq/INSM/110450600/detail</t>
  </si>
  <si>
    <t>LIVE NATION ENTERTAINMENT INC</t>
  </si>
  <si>
    <t>www.lixinger.com/analytics/company/nyse/LYV/133525800/detail</t>
  </si>
  <si>
    <t>CYTOKINETICS INC</t>
  </si>
  <si>
    <t>www.lixinger.com/analytics/company/nasdaq/CYTK/106198300/detail</t>
  </si>
  <si>
    <t>梅特勒托利多</t>
  </si>
  <si>
    <t>www.lixinger.com/analytics/company/nyse/MTD/103764600/detail</t>
  </si>
  <si>
    <t>阿里拉姆制药</t>
  </si>
  <si>
    <t>www.lixinger.com/analytics/company/nasdaq/ALNY/117867000/detail</t>
  </si>
  <si>
    <t>家得宝</t>
  </si>
  <si>
    <t>www.lixinger.com/analytics/company/nyse/HD/35495000/detail</t>
  </si>
  <si>
    <t>WORKIVA INC</t>
  </si>
  <si>
    <t>www.lixinger.com/analytics/company/nyse/WK/144530500/detail</t>
  </si>
  <si>
    <t>中通快递</t>
  </si>
  <si>
    <t>www.lixinger.com/analytics/company/nyse/ZTO/167725000/detail</t>
  </si>
  <si>
    <t>SIMPSON MANUFACTURING CO INC</t>
  </si>
  <si>
    <t>www.lixinger.com/analytics/company/nyse/SSD/92037100/detail</t>
  </si>
  <si>
    <t>MGE ENERGY INC</t>
  </si>
  <si>
    <t>www.lixinger.com/analytics/company/nasdaq/MGEE/116172800/detail</t>
  </si>
  <si>
    <t>CBIZ INC</t>
  </si>
  <si>
    <t>www.lixinger.com/analytics/company/nyse/CBZ/94414800/detail</t>
  </si>
  <si>
    <t>MIDDLEBY CORP</t>
  </si>
  <si>
    <t>www.lixinger.com/analytics/company/nasdaq/MIDD/76952000/detail</t>
  </si>
  <si>
    <t>力拓</t>
  </si>
  <si>
    <t>www.lixinger.com/analytics/company/nyse/RIO/88702800/detail</t>
  </si>
  <si>
    <t>标普全球</t>
  </si>
  <si>
    <t>www.lixinger.com/analytics/company/nyse/SPGI/6404000/detail</t>
  </si>
  <si>
    <t>霍利能源</t>
  </si>
  <si>
    <t>www.lixinger.com/analytics/company/nyse/HEP/128314000/detail</t>
  </si>
  <si>
    <t>SAP SE</t>
  </si>
  <si>
    <t>www.lixinger.com/analytics/company/nyse/SAP/100018400/detail</t>
  </si>
  <si>
    <t>国际游戏科技</t>
  </si>
  <si>
    <t>www.lixinger.com/analytics/company/nyse/IGT/161976200/detail</t>
  </si>
  <si>
    <t>欧林</t>
  </si>
  <si>
    <t>www.lixinger.com/analytics/company/nyse/OLN/7430300/detail</t>
  </si>
  <si>
    <t>礼恩派</t>
  </si>
  <si>
    <t>www.lixinger.com/analytics/company/nyse/LEG/5849200/detail</t>
  </si>
  <si>
    <t>www.lixinger.com/analytics/company/nasdaq/HCM/164825700/detail</t>
  </si>
  <si>
    <t>埃尔比特系统</t>
  </si>
  <si>
    <t>www.lixinger.com/analytics/company/nasdaq/ESLT/102766400/detail</t>
  </si>
  <si>
    <t>WHEATON PRECIOUS METALS CORP</t>
  </si>
  <si>
    <t>www.lixinger.com/analytics/company/nyse/WPM/132340400/detail</t>
  </si>
  <si>
    <t>安贝夫集团</t>
  </si>
  <si>
    <t>www.lixinger.com/analytics/company/nyse/ABEV/156502500/detail</t>
  </si>
  <si>
    <t>滨特尔</t>
  </si>
  <si>
    <t>www.lixinger.com/analytics/company/nyse/PNR/7736000/detail</t>
  </si>
  <si>
    <t>芯科实验室</t>
  </si>
  <si>
    <t>www.lixinger.com/analytics/company/nasdaq/SLAB/103807400/detail</t>
  </si>
  <si>
    <t>core&amp;maininc</t>
  </si>
  <si>
    <t>www.lixinger.com/analytics/company/nyse/CNM/185652500/detail</t>
  </si>
  <si>
    <t>史蒂夫·马登</t>
  </si>
  <si>
    <t>www.lixinger.com/analytics/company/nasdaq/SHOO/91324100/detail</t>
  </si>
  <si>
    <t>CLEARWAY ENERGY INC</t>
  </si>
  <si>
    <t>www.lixinger.com/analytics/company/nyse/CWEN/156768300/detail</t>
  </si>
  <si>
    <t>碧迪医疗</t>
  </si>
  <si>
    <t>www.lixinger.com/analytics/company/nyse/BDX/1079500/detail</t>
  </si>
  <si>
    <t>实耐宝</t>
  </si>
  <si>
    <t>www.lixinger.com/analytics/company/nyse/SNA/9144000/detail</t>
  </si>
  <si>
    <t>帕卡</t>
  </si>
  <si>
    <t>www.lixinger.com/analytics/company/nasdaq/PCAR/7536200/detail</t>
  </si>
  <si>
    <t>马克西姆斯服务</t>
  </si>
  <si>
    <t>www.lixinger.com/analytics/company/nyse/MMS/103222000/detail</t>
  </si>
  <si>
    <t>爱科集团</t>
  </si>
  <si>
    <t>www.lixinger.com/analytics/company/nyse/AGCO/88026600/detail</t>
  </si>
  <si>
    <t>DRIVEN BRANDS HOLDINGS INC</t>
  </si>
  <si>
    <t>www.lixinger.com/analytics/company/nasdaq/DRVN/180474500/detail</t>
  </si>
  <si>
    <t>凯悦酒店</t>
  </si>
  <si>
    <t>www.lixinger.com/analytics/company/nyse/H/146817400/detail</t>
  </si>
  <si>
    <t>cricut incclassa</t>
  </si>
  <si>
    <t>www.lixinger.com/analytics/company/nasdaq/CRCT/182896200/detail</t>
  </si>
  <si>
    <t>奎斯特诊疗</t>
  </si>
  <si>
    <t>www.lixinger.com/analytics/company/nyse/DGX/102207900/detail</t>
  </si>
  <si>
    <t>SYNAPTICS INC</t>
  </si>
  <si>
    <t>www.lixinger.com/analytics/company/nasdaq/SYNA/81772000/detail</t>
  </si>
  <si>
    <t>EQUINOR ASA</t>
  </si>
  <si>
    <t>www.lixinger.com/analytics/company/nyse/EQNR/114062500/detail</t>
  </si>
  <si>
    <t>WIPRO LTD</t>
  </si>
  <si>
    <t>www.lixinger.com/analytics/company/nyse/WIT/112379900/detail</t>
  </si>
  <si>
    <t>TRANSUNION</t>
  </si>
  <si>
    <t>www.lixinger.com/analytics/company/nyse/TRU/155203300/detail</t>
  </si>
  <si>
    <t>verint系统</t>
  </si>
  <si>
    <t>www.lixinger.com/analytics/company/nasdaq/VRNT/116638800/detail</t>
  </si>
  <si>
    <t>WPP PLC</t>
  </si>
  <si>
    <t>www.lixinger.com/analytics/company/nyse/WPP/80696800/detail</t>
  </si>
  <si>
    <t>ACUITY BRANDS INC</t>
  </si>
  <si>
    <t>www.lixinger.com/analytics/company/nyse/AYI/114421500/detail</t>
  </si>
  <si>
    <t>英特格拉生命科学</t>
  </si>
  <si>
    <t>www.lixinger.com/analytics/company/nasdaq/IART/91752000/detail</t>
  </si>
  <si>
    <t>TOPBUILD CORP</t>
  </si>
  <si>
    <t>www.lixinger.com/analytics/company/nyse/BLD/163393100/detail</t>
  </si>
  <si>
    <t>吉登运动服</t>
  </si>
  <si>
    <t>www.lixinger.com/analytics/company/nyse/GIL/106189400/detail</t>
  </si>
  <si>
    <t>SKYLINE CHAMPION CORP</t>
  </si>
  <si>
    <t>www.lixinger.com/analytics/company/nyse/SKY/9089600/detail</t>
  </si>
  <si>
    <t>美高梅</t>
  </si>
  <si>
    <t>www.lixinger.com/analytics/company/nyse/MGM/78957000/detail</t>
  </si>
  <si>
    <t>江森自控</t>
  </si>
  <si>
    <t>www.lixinger.com/analytics/company/nyse/JCI/83344400/detail</t>
  </si>
  <si>
    <t>金田</t>
  </si>
  <si>
    <t>www.lixinger.com/analytics/company/nyse/GFI/117272400/detail</t>
  </si>
  <si>
    <t>奥托立夫</t>
  </si>
  <si>
    <t>www.lixinger.com/analytics/company/nyse/ALV/103467000/detail</t>
  </si>
  <si>
    <t>gruposimecsabdecvadr(eachrep3'b'ordnpv)</t>
  </si>
  <si>
    <t>www.lixinger.com/analytics/company/nyse/SIM/88715300/detail</t>
  </si>
  <si>
    <t>LKQ CORP</t>
  </si>
  <si>
    <t>www.lixinger.com/analytics/company/nasdaq/LKQ/106569600/detail</t>
  </si>
  <si>
    <t>特雷克斯</t>
  </si>
  <si>
    <t>www.lixinger.com/analytics/company/nyse/TEX/9721600/detail</t>
  </si>
  <si>
    <t>百通公司</t>
  </si>
  <si>
    <t>www.lixinger.com/analytics/company/nyse/BDC/91314200/detail</t>
  </si>
  <si>
    <t>土耳其移动通信</t>
  </si>
  <si>
    <t>www.lixinger.com/analytics/company/nyse/TKC/107132100/detail</t>
  </si>
  <si>
    <t>宾士域</t>
  </si>
  <si>
    <t>www.lixinger.com/analytics/company/nyse/BC/1493000/detail</t>
  </si>
  <si>
    <t>精密科学</t>
  </si>
  <si>
    <t>www.lixinger.com/analytics/company/nasdaq/EXAS/112414000/detail</t>
  </si>
  <si>
    <t>思佳讯</t>
  </si>
  <si>
    <t>www.lixinger.com/analytics/company/nasdaq/SWKS/412700/detail</t>
  </si>
  <si>
    <t>联合大陆航空</t>
  </si>
  <si>
    <t>www.lixinger.com/analytics/company/nasdaq/UAL/10051700/detail</t>
  </si>
  <si>
    <t>SPX TECHNOLOGIES INC</t>
  </si>
  <si>
    <t>www.lixinger.com/analytics/company/nyse/SPXC/8820500/detail</t>
  </si>
  <si>
    <t>HEALTHEQUITY INC</t>
  </si>
  <si>
    <t>www.lixinger.com/analytics/company/nasdaq/HQY/142833600/detail</t>
  </si>
  <si>
    <t>雷欧尼尔</t>
  </si>
  <si>
    <t>www.lixinger.com/analytics/company/nyse/RYN/5282700/detail</t>
  </si>
  <si>
    <t>美国联合医疗</t>
  </si>
  <si>
    <t>www.lixinger.com/analytics/company/nasdaq/UTHR/108255400/detail</t>
  </si>
  <si>
    <t>weightwatchersinternational inc</t>
  </si>
  <si>
    <t>www.lixinger.com/analytics/company/nasdaq/WTW/114053600/detail</t>
  </si>
  <si>
    <t>INSTRUCTURE HOLDINGS INC</t>
  </si>
  <si>
    <t>www.lixinger.com/analytics/company/nyse/INST/184180400/detail</t>
  </si>
  <si>
    <t>福陆</t>
  </si>
  <si>
    <t>www.lixinger.com/analytics/company/nyse/FLR/112419800/detail</t>
  </si>
  <si>
    <t>希伦布兰德</t>
  </si>
  <si>
    <t>www.lixinger.com/analytics/company/nyse/HI/141739800/detail</t>
  </si>
  <si>
    <t>NEXTIER OILFIELD SOLUTIONS INC</t>
  </si>
  <si>
    <t>www.lixinger.com/analytics/company/nyse/NEX/168847600/detail</t>
  </si>
  <si>
    <t>科帕控股</t>
  </si>
  <si>
    <t>www.lixinger.com/analytics/company/nyse/CPA/134510500/detail</t>
  </si>
  <si>
    <t>MASTEC INC</t>
  </si>
  <si>
    <t>www.lixinger.com/analytics/company/nyse/MTZ/1561500/detail</t>
  </si>
  <si>
    <t>META PLATFORMS INC</t>
  </si>
  <si>
    <t>www.lixinger.com/analytics/company/nasdaq/META/132680100/detail</t>
  </si>
  <si>
    <t>美国达尔令国际</t>
  </si>
  <si>
    <t>www.lixinger.com/analytics/company/nyse/DAR/91654000/detail</t>
  </si>
  <si>
    <t>cms能源</t>
  </si>
  <si>
    <t>www.lixinger.com/analytics/company/nyse/CMS/81115600/detail</t>
  </si>
  <si>
    <t>阿卡迪亚医疗保健</t>
  </si>
  <si>
    <t>www.lixinger.com/analytics/company/nasdaq/ACHC/152069700/detail</t>
  </si>
  <si>
    <t>ciena科技</t>
  </si>
  <si>
    <t>www.lixinger.com/analytics/company/nyse/CIEN/93639500/detail</t>
  </si>
  <si>
    <t>美国力特保险丝</t>
  </si>
  <si>
    <t>www.lixinger.com/analytics/company/nasdaq/LFUS/88933100/detail</t>
  </si>
  <si>
    <t>generac控股</t>
  </si>
  <si>
    <t>www.lixinger.com/analytics/company/nyse/GNRC/147473500/detail</t>
  </si>
  <si>
    <t>DOORDASH INC</t>
  </si>
  <si>
    <t>www.lixinger.com/analytics/company/nyse/DASH/179278900/detail</t>
  </si>
  <si>
    <t>NCINO INC</t>
  </si>
  <si>
    <t>www.lixinger.com/analytics/company/nasdaq/NCNO/190273300/detail</t>
  </si>
  <si>
    <t>威州能源</t>
  </si>
  <si>
    <t>www.lixinger.com/analytics/company/nyse/WEC/78332500/detail</t>
  </si>
  <si>
    <t>第一太阳能</t>
  </si>
  <si>
    <t>www.lixinger.com/analytics/company/nasdaq/FSLR/127449400/detail</t>
  </si>
  <si>
    <t>查特工业</t>
  </si>
  <si>
    <t>www.lixinger.com/analytics/company/nyse/GTLS/89255300/detail</t>
  </si>
  <si>
    <t>CONCENTRIX CORP</t>
  </si>
  <si>
    <t>www.lixinger.com/analytics/company/nasdaq/CNXC/180359900/detail</t>
  </si>
  <si>
    <t>纽瓦索器材</t>
  </si>
  <si>
    <t>www.lixinger.com/analytics/company/nasdaq/NUVA/114259600/detail</t>
  </si>
  <si>
    <t>可口可乐凡萨瓶装</t>
  </si>
  <si>
    <t>www.lixinger.com/analytics/company/nyse/KOF/91063100/detail</t>
  </si>
  <si>
    <t>CALIFORNIA WATER SERVICE GROUP</t>
  </si>
  <si>
    <t>www.lixinger.com/analytics/company/nyse/CWT/103520100/detail</t>
  </si>
  <si>
    <t>普雷克萨斯</t>
  </si>
  <si>
    <t>www.lixinger.com/analytics/company/nasdaq/PLXS/78578600/detail</t>
  </si>
  <si>
    <t>CCC INTELLIGENT SOLUTIONS HOLDINGS INC</t>
  </si>
  <si>
    <t>www.lixinger.com/analytics/company/nasdaq/CCCS/181820100/detail</t>
  </si>
  <si>
    <t>康宁</t>
  </si>
  <si>
    <t>www.lixinger.com/analytics/company/nyse/GLW/2474100/detail</t>
  </si>
  <si>
    <t>DT MIDSTREAM INC</t>
  </si>
  <si>
    <t>www.lixinger.com/analytics/company/nyse/DTM/184202200/detail</t>
  </si>
  <si>
    <t>京东</t>
  </si>
  <si>
    <t>www.lixinger.com/analytics/company/nasdaq/JD/154980200/detail</t>
  </si>
  <si>
    <t>阿米斯医疗</t>
  </si>
  <si>
    <t>www.lixinger.com/analytics/company/nasdaq/AMED/89626200/detail</t>
  </si>
  <si>
    <t>LIVANOVA PLC</t>
  </si>
  <si>
    <t>www.lixinger.com/analytics/company/nasdaq/LIVN/163969100/detail</t>
  </si>
  <si>
    <t>超微电脑</t>
  </si>
  <si>
    <t>www.lixinger.com/analytics/company/nasdaq/SMCI/137536500/detail</t>
  </si>
  <si>
    <t>MAXAR TECHNOLOGIES INC</t>
  </si>
  <si>
    <t>www.lixinger.com/analytics/company/nyse/MAXR/112114200/detail</t>
  </si>
  <si>
    <t>PERFORMANCE FOOD GROUP CO</t>
  </si>
  <si>
    <t>www.lixinger.com/analytics/company/nyse/PFGC/161867300/detail</t>
  </si>
  <si>
    <t>academysports&amp;outdoorsinc</t>
  </si>
  <si>
    <t>www.lixinger.com/analytics/company/nasdaq/ASO/181735800/detail</t>
  </si>
  <si>
    <t>帕特森</t>
  </si>
  <si>
    <t>www.lixinger.com/analytics/company/nasdaq/PDCO/89102400/detail</t>
  </si>
  <si>
    <t>洲际交易所</t>
  </si>
  <si>
    <t>www.lixinger.com/analytics/company/nyse/ICE/157194900/detail</t>
  </si>
  <si>
    <t>如新集团</t>
  </si>
  <si>
    <t>www.lixinger.com/analytics/company/nyse/NUS/102156100/detail</t>
  </si>
  <si>
    <t>雅各布工程</t>
  </si>
  <si>
    <t>www.lixinger.com/analytics/company/nyse/J/5298800/detail</t>
  </si>
  <si>
    <t>安德玛a</t>
  </si>
  <si>
    <t>www.lixinger.com/analytics/company/nyse/UAA/133691700/detail</t>
  </si>
  <si>
    <t>布雷迪</t>
  </si>
  <si>
    <t>www.lixinger.com/analytics/company/nyse/BRC/74659800/detail</t>
  </si>
  <si>
    <t>T-MOBILE US INC</t>
  </si>
  <si>
    <t>www.lixinger.com/analytics/company/nasdaq/TMUS/128369900/detail</t>
  </si>
  <si>
    <t>奥玛特科技</t>
  </si>
  <si>
    <t>www.lixinger.com/analytics/company/nyse/ORA/129644500/detail</t>
  </si>
  <si>
    <t>GROCERY OUTLET HOLDING CORP</t>
  </si>
  <si>
    <t>www.lixinger.com/analytics/company/nasdaq/GO/177151500/detail</t>
  </si>
  <si>
    <t>SUZANO SA</t>
  </si>
  <si>
    <t>www.lixinger.com/analytics/company/nyse/SUZ/90932700/detail</t>
  </si>
  <si>
    <t>BILLCOM HOLDINGS INC</t>
  </si>
  <si>
    <t>www.lixinger.com/analytics/company/nyse/BILL/178635200/detail</t>
  </si>
  <si>
    <t>DORMAN PRODUCTS INC</t>
  </si>
  <si>
    <t>www.lixinger.com/analytics/company/nasdaq/DORM/86878000/detail</t>
  </si>
  <si>
    <t>LIVENT CORP</t>
  </si>
  <si>
    <t>www.lixinger.com/analytics/company/nyse/LTHM/174292400/detail</t>
  </si>
  <si>
    <t>CONSTELLATION ENERGY CORP</t>
  </si>
  <si>
    <t>www.lixinger.com/analytics/company/nasdaq/CEG/186827500/detail</t>
  </si>
  <si>
    <t>凌云半导体</t>
  </si>
  <si>
    <t>www.lixinger.com/analytics/company/nasdaq/CRUS/77240600/detail</t>
  </si>
  <si>
    <t>高知特</t>
  </si>
  <si>
    <t>www.lixinger.com/analytics/company/nasdaq/CTSH/105829000/detail</t>
  </si>
  <si>
    <t>先锋自然资源</t>
  </si>
  <si>
    <t>www.lixinger.com/analytics/company/nyse/PXD/103835700/detail</t>
  </si>
  <si>
    <t>富途控股</t>
  </si>
  <si>
    <t>www.lixinger.com/analytics/company/nasdaq/FUTU/175458100/detail</t>
  </si>
  <si>
    <t>珀金</t>
  </si>
  <si>
    <t>www.lixinger.com/analytics/company/nyse/PKI/3179100/detail</t>
  </si>
  <si>
    <t>ESAB CORP</t>
  </si>
  <si>
    <t>www.lixinger.com/analytics/company/nyse/ESAB/187732200/detail</t>
  </si>
  <si>
    <t>通用电气</t>
  </si>
  <si>
    <t>www.lixinger.com/analytics/company/nyse/GE/4054500/detail</t>
  </si>
  <si>
    <t>英格索兰</t>
  </si>
  <si>
    <t>www.lixinger.com/analytics/company/nyse/IR/169915000/detail</t>
  </si>
  <si>
    <t>SUPERNUS PHARMACEUTICALS INC</t>
  </si>
  <si>
    <t>www.lixinger.com/analytics/company/nasdaq/SUPN/135657600/detail</t>
  </si>
  <si>
    <t>埃克森美孚</t>
  </si>
  <si>
    <t>www.lixinger.com/analytics/company/nyse/XOM/3408800/detail</t>
  </si>
  <si>
    <t>塞拉尼斯</t>
  </si>
  <si>
    <t>www.lixinger.com/analytics/company/nyse/CE/130683000/detail</t>
  </si>
  <si>
    <t>铁姆肯</t>
  </si>
  <si>
    <t>www.lixinger.com/analytics/company/nyse/TKR/9836200/detail</t>
  </si>
  <si>
    <t>阿齐煤炭</t>
  </si>
  <si>
    <t>www.lixinger.com/analytics/company/nyse/ARCH/103767600/detail</t>
  </si>
  <si>
    <t>rbc轴承</t>
  </si>
  <si>
    <t>www.lixinger.com/analytics/company/nyse/RBC/132494800/detail</t>
  </si>
  <si>
    <t>FRESHPET INC</t>
  </si>
  <si>
    <t>www.lixinger.com/analytics/company/nasdaq/FRPT/161164700/detail</t>
  </si>
  <si>
    <t>DIODES INC</t>
  </si>
  <si>
    <t>www.lixinger.com/analytics/company/nasdaq/DIOD/2900200/detail</t>
  </si>
  <si>
    <t>福斯</t>
  </si>
  <si>
    <t>www.lixinger.com/analytics/company/nyse/FLS/3062500/detail</t>
  </si>
  <si>
    <t>aci环球</t>
  </si>
  <si>
    <t>www.lixinger.com/analytics/company/nasdaq/ACIW/93503600/detail</t>
  </si>
  <si>
    <t>CERTARA INC</t>
  </si>
  <si>
    <t>www.lixinger.com/analytics/company/nasdaq/CERT/182709000/detail</t>
  </si>
  <si>
    <t>TELEDYNE TECHNOLOGIES INC</t>
  </si>
  <si>
    <t>www.lixinger.com/analytics/company/nyse/TDY/109428500/detail</t>
  </si>
  <si>
    <t>FORTIVE CORP</t>
  </si>
  <si>
    <t>www.lixinger.com/analytics/company/nyse/FTV/165916600/detail</t>
  </si>
  <si>
    <t>车之国公司</t>
  </si>
  <si>
    <t>www.lixinger.com/analytics/company/nyse/AN/35069800/detail</t>
  </si>
  <si>
    <t>利安德巴塞尔</t>
  </si>
  <si>
    <t>www.lixinger.com/analytics/company/nyse/LYB/148939300/detail</t>
  </si>
  <si>
    <t>NVENT ELECTRIC PLC</t>
  </si>
  <si>
    <t>www.lixinger.com/analytics/company/nyse/NVT/172063500/detail</t>
  </si>
  <si>
    <t>MIRATI THERAPEUTICS INC</t>
  </si>
  <si>
    <t>www.lixinger.com/analytics/company/nasdaq/MRTX/157626300/detail</t>
  </si>
  <si>
    <t>BRASKEM SA</t>
  </si>
  <si>
    <t>www.lixinger.com/analytics/company/nyse/BAK/107143800/detail</t>
  </si>
  <si>
    <t>富乐</t>
  </si>
  <si>
    <t>www.lixinger.com/analytics/company/nyse/FUL/3936800/detail</t>
  </si>
  <si>
    <t>CAMECO CORP</t>
  </si>
  <si>
    <t>www.lixinger.com/analytics/company/nyse/CCJ/100900100/detail</t>
  </si>
  <si>
    <t>BERRY GLOBAL GROUP INC</t>
  </si>
  <si>
    <t>www.lixinger.com/analytics/company/nyse/BERY/137899200/detail</t>
  </si>
  <si>
    <t>CONSOL ENERGY INC</t>
  </si>
  <si>
    <t>www.lixinger.com/analytics/company/nyse/CEIX/171036600/detail</t>
  </si>
  <si>
    <t>ATLANTICA SUSTAINABLE INFRASTRUCTURE PLC</t>
  </si>
  <si>
    <t>www.lixinger.com/analytics/company/nasdaq/AY/160107200/detail</t>
  </si>
  <si>
    <t>LUMENTUM HOLDINGS INC</t>
  </si>
  <si>
    <t>www.lixinger.com/analytics/company/nasdaq/LITE/163397800/detail</t>
  </si>
  <si>
    <t>ZURN ELKAY WATER SOLUTIONS CORP</t>
  </si>
  <si>
    <t>www.lixinger.com/analytics/company/nyse/ZWS/143928800/detail</t>
  </si>
  <si>
    <t>英诺斯派材料</t>
  </si>
  <si>
    <t>www.lixinger.com/analytics/company/nasdaq/IOSP/105490500/detail</t>
  </si>
  <si>
    <t>SIMPLY GOOD FOODS CO</t>
  </si>
  <si>
    <t>www.lixinger.com/analytics/company/nasdaq/SMPL/170274400/detail</t>
  </si>
  <si>
    <t>瞻博网络</t>
  </si>
  <si>
    <t>www.lixinger.com/analytics/company/nyse/JNPR/104360400/detail</t>
  </si>
  <si>
    <t>smith&amp;nephew</t>
  </si>
  <si>
    <t>www.lixinger.com/analytics/company/nyse/SNN/84598200/detail</t>
  </si>
  <si>
    <t>奎克化学</t>
  </si>
  <si>
    <t>www.lixinger.com/analytics/company/nyse/KWR/8136200/detail</t>
  </si>
  <si>
    <t>中华电信</t>
  </si>
  <si>
    <t>www.lixinger.com/analytics/company/nyse/CHT/113292400/detail</t>
  </si>
  <si>
    <t>埃克西尔能源</t>
  </si>
  <si>
    <t>www.lixinger.com/analytics/company/nasdaq/XEL/7290300/detail</t>
  </si>
  <si>
    <t>BLOCK INC</t>
  </si>
  <si>
    <t>www.lixinger.com/analytics/company/nyse/SQ/151267300/detail</t>
  </si>
  <si>
    <t>NEXSTAR MEDIA GROUP INC</t>
  </si>
  <si>
    <t>www.lixinger.com/analytics/company/nasdaq/NXST/114241700/detail</t>
  </si>
  <si>
    <t>伟创力</t>
  </si>
  <si>
    <t>www.lixinger.com/analytics/company/nasdaq/FLEX/86637400/detail</t>
  </si>
  <si>
    <t>库珀医疗</t>
  </si>
  <si>
    <t>www.lixinger.com/analytics/company/nyse/COO/71140400/detail</t>
  </si>
  <si>
    <t>芝加哥商品交易所</t>
  </si>
  <si>
    <t>www.lixinger.com/analytics/company/nasdaq/CME/115637500/detail</t>
  </si>
  <si>
    <t>PARSONS CORP</t>
  </si>
  <si>
    <t>www.lixinger.com/analytics/company/nyse/PSN/27588000/detail</t>
  </si>
  <si>
    <t>agiliti inc(minnesota)</t>
  </si>
  <si>
    <t>www.lixinger.com/analytics/company/nyse/AGTI/174970400/detail</t>
  </si>
  <si>
    <t>OLLIE'S BARGAIN OUTLET HOLDINGS INC</t>
  </si>
  <si>
    <t>www.lixinger.com/analytics/company/nasdaq/OLLI/163930000/detail</t>
  </si>
  <si>
    <t>ss&amp;ctechnologiesholdingsinc</t>
  </si>
  <si>
    <t>www.lixinger.com/analytics/company/nasdaq/SSNC/140243600/detail</t>
  </si>
  <si>
    <t>ANGLOGOLD ASHANTI LTD</t>
  </si>
  <si>
    <t>www.lixinger.com/analytics/company/nyse/AU/106742800/detail</t>
  </si>
  <si>
    <t>caci国际</t>
  </si>
  <si>
    <t>www.lixinger.com/analytics/company/nyse/CACI/1605800/detail</t>
  </si>
  <si>
    <t>赛富时</t>
  </si>
  <si>
    <t>www.lixinger.com/analytics/company/nyse/CRM/110852400/detail</t>
  </si>
  <si>
    <t>ROYALTY PHARMA PLC</t>
  </si>
  <si>
    <t>www.lixinger.com/analytics/company/nasdaq/RPRX/180276800/detail</t>
  </si>
  <si>
    <t>第一富金融服务</t>
  </si>
  <si>
    <t>www.lixinger.com/analytics/company/nasdaq/FCFS/84048900/detail</t>
  </si>
  <si>
    <t>AZEK CO INC</t>
  </si>
  <si>
    <t>www.lixinger.com/analytics/company/nyse/AZEK/178275400/detail</t>
  </si>
  <si>
    <t>NCR CORP</t>
  </si>
  <si>
    <t>www.lixinger.com/analytics/company/nyse/NCR/7086600/detail</t>
  </si>
  <si>
    <t>瓦莱罗能源</t>
  </si>
  <si>
    <t>www.lixinger.com/analytics/company/nyse/VLO/103500200/detail</t>
  </si>
  <si>
    <t>EVOTEC SE</t>
  </si>
  <si>
    <t>www.lixinger.com/analytics/company/nasdaq/EVO/141255800/detail</t>
  </si>
  <si>
    <t>亚德诺</t>
  </si>
  <si>
    <t>www.lixinger.com/analytics/company/nasdaq/ADI/628100/detail</t>
  </si>
  <si>
    <t>CRESTWOOD EQUITY PARTNERS LP</t>
  </si>
  <si>
    <t>www.lixinger.com/analytics/company/nyse/CEQP/113635200/detail</t>
  </si>
  <si>
    <t>西格内特珠宝</t>
  </si>
  <si>
    <t>www.lixinger.com/analytics/company/nyse/SIG/83298800/detail</t>
  </si>
  <si>
    <t>PATTERSON UTI ENERGY INC</t>
  </si>
  <si>
    <t>www.lixinger.com/analytics/company/nasdaq/PTEN/88990000/detail</t>
  </si>
  <si>
    <t>sentinelone incclassa</t>
  </si>
  <si>
    <t>www.lixinger.com/analytics/company/nyse/S/158370800/detail</t>
  </si>
  <si>
    <t>卡寇工业</t>
  </si>
  <si>
    <t>www.lixinger.com/analytics/company/nasdaq/CVCO/27816600/detail</t>
  </si>
  <si>
    <t>MATADOR RESOURCES CO</t>
  </si>
  <si>
    <t>www.lixinger.com/analytics/company/nyse/MTDR/152000600/detail</t>
  </si>
  <si>
    <t>ABCELLERA BIOLOGICS INC</t>
  </si>
  <si>
    <t>www.lixinger.com/analytics/company/nasdaq/ABCL/170305700/detail</t>
  </si>
  <si>
    <t>美国南方公司</t>
  </si>
  <si>
    <t>www.lixinger.com/analytics/company/nyse/SO/9212200/detail</t>
  </si>
  <si>
    <t>贝壳</t>
  </si>
  <si>
    <t>www.lixinger.com/analytics/company/nyse/BEKE/180958700/detail</t>
  </si>
  <si>
    <t>哈雷戴维森</t>
  </si>
  <si>
    <t>www.lixinger.com/analytics/company/nyse/HOG/79395200/detail</t>
  </si>
  <si>
    <t>xpo物流</t>
  </si>
  <si>
    <t>www.lixinger.com/analytics/company/nyse/XPO/116600300/detail</t>
  </si>
  <si>
    <t>STEEL DYNAMICS INC</t>
  </si>
  <si>
    <t>www.lixinger.com/analytics/company/nasdaq/STLD/102267100/detail</t>
  </si>
  <si>
    <t>ONTO INNOVATION INC</t>
  </si>
  <si>
    <t>www.lixinger.com/analytics/company/nyse/ONTO/70453200/detail</t>
  </si>
  <si>
    <t>INSIGHT ENTERPRISES INC</t>
  </si>
  <si>
    <t>www.lixinger.com/analytics/company/nasdaq/NSIT/93269600/detail</t>
  </si>
  <si>
    <t>CABLE ONE INC</t>
  </si>
  <si>
    <t>www.lixinger.com/analytics/company/nyse/CABO/163212700/detail</t>
  </si>
  <si>
    <t>bumble inc</t>
  </si>
  <si>
    <t>www.lixinger.com/analytics/company/nasdaq/BMBL/183004300/detail</t>
  </si>
  <si>
    <t>informatica inc(california)</t>
  </si>
  <si>
    <t>www.lixinger.com/analytics/company/nyse/INFA/186877800/detail</t>
  </si>
  <si>
    <t>雪佛龙</t>
  </si>
  <si>
    <t>www.lixinger.com/analytics/company/nyse/CVX/9341000/detail</t>
  </si>
  <si>
    <t>1LIFE HEALTHCARE INC</t>
  </si>
  <si>
    <t>www.lixinger.com/analytics/company/nasdaq/ONEM/140412300/detail</t>
  </si>
  <si>
    <t>盎塞</t>
  </si>
  <si>
    <t>www.lixinger.com/analytics/company/nyse/ASGN/89056400/detail</t>
  </si>
  <si>
    <t>齐默巴奥米特控股</t>
  </si>
  <si>
    <t>www.lixinger.com/analytics/company/nyse/ZBH/113686900/detail</t>
  </si>
  <si>
    <t>L3HARRIS TECHNOLOGIES INC</t>
  </si>
  <si>
    <t>www.lixinger.com/analytics/company/nyse/LHX/20205800/detail</t>
  </si>
  <si>
    <t>德事隆</t>
  </si>
  <si>
    <t>www.lixinger.com/analytics/company/nyse/TXT/21734600/detail</t>
  </si>
  <si>
    <t>PILGRIMS PRIDE CORP</t>
  </si>
  <si>
    <t>www.lixinger.com/analytics/company/nasdaq/PPC/80248100/detail</t>
  </si>
  <si>
    <t>OUTFRONT MEDIA INC</t>
  </si>
  <si>
    <t>www.lixinger.com/analytics/company/nyse/OUT/157987700/detail</t>
  </si>
  <si>
    <t>库力索法半导体</t>
  </si>
  <si>
    <t>www.lixinger.com/analytics/company/nasdaq/KLIC/5697800/detail</t>
  </si>
  <si>
    <t>伊克力西斯</t>
  </si>
  <si>
    <t>www.lixinger.com/analytics/company/nasdaq/EXEL/93976700/detail</t>
  </si>
  <si>
    <t>OPEN TEXT CORP</t>
  </si>
  <si>
    <t>www.lixinger.com/analytics/company/nasdaq/OTEX/100263800/detail</t>
  </si>
  <si>
    <t>esco科技</t>
  </si>
  <si>
    <t>www.lixinger.com/analytics/company/nyse/ESE/86670600/detail</t>
  </si>
  <si>
    <t>ROKU INC</t>
  </si>
  <si>
    <t>www.lixinger.com/analytics/company/nasdaq/ROKU/142843900/detail</t>
  </si>
  <si>
    <t>伊管</t>
  </si>
  <si>
    <t>www.lixinger.com/analytics/company/nasdaq/ITRI/78057100/detail</t>
  </si>
  <si>
    <t>宜瑞安</t>
  </si>
  <si>
    <t>www.lixinger.com/analytics/company/nyse/INGR/104625700/detail</t>
  </si>
  <si>
    <t>RAYTHEON TECHNOLOGIES CORP</t>
  </si>
  <si>
    <t>www.lixinger.com/analytics/company/nyse/RTX/10182900/detail</t>
  </si>
  <si>
    <t>斯马克</t>
  </si>
  <si>
    <t>www.lixinger.com/analytics/company/nyse/SJM/9141900/detail</t>
  </si>
  <si>
    <t>GINKGO BIOWORKS HOLDINGS INC</t>
  </si>
  <si>
    <t>www.lixinger.com/analytics/company/nyse/DNA/183021400/detail</t>
  </si>
  <si>
    <t>徕博科</t>
  </si>
  <si>
    <t>www.lixinger.com/analytics/company/nyse/LH/92014800/detail</t>
  </si>
  <si>
    <t>marqeta incclassa</t>
  </si>
  <si>
    <t>www.lixinger.com/analytics/company/nasdaq/MQ/152254000/detail</t>
  </si>
  <si>
    <t>艾诺斯</t>
  </si>
  <si>
    <t>www.lixinger.com/analytics/company/nyse/ENS/128930800/detail</t>
  </si>
  <si>
    <t>QORVO INC</t>
  </si>
  <si>
    <t>www.lixinger.com/analytics/company/nasdaq/QRVO/160477800/detail</t>
  </si>
  <si>
    <t>ENTERPRISE PRODUCTS PARTNERS LP</t>
  </si>
  <si>
    <t>www.lixinger.com/analytics/company/nyse/EPD/106121900/detail</t>
  </si>
  <si>
    <t>陶氏化学</t>
  </si>
  <si>
    <t>www.lixinger.com/analytics/company/nyse/DOW/175178800/detail</t>
  </si>
  <si>
    <t>SENSATA TECHNOLOGIES HOLDING PLC</t>
  </si>
  <si>
    <t>www.lixinger.com/analytics/company/nyse/ST/147729400/detail</t>
  </si>
  <si>
    <t>OSHKOSH CORP</t>
  </si>
  <si>
    <t>www.lixinger.com/analytics/company/nyse/OSK/77515800/detail</t>
  </si>
  <si>
    <t>SPECTRUM BRANDS HOLDINGS INC</t>
  </si>
  <si>
    <t>www.lixinger.com/analytics/company/nyse/SPB/10917700/detail</t>
  </si>
  <si>
    <t>马拉松石油</t>
  </si>
  <si>
    <t>www.lixinger.com/analytics/company/nyse/MPC/151029500/detail</t>
  </si>
  <si>
    <t>美敦力</t>
  </si>
  <si>
    <t>www.lixinger.com/analytics/company/nyse/MDT/161310300/detail</t>
  </si>
  <si>
    <t>奥特泰尔</t>
  </si>
  <si>
    <t>www.lixinger.com/analytics/company/nasdaq/OTTR/146659300/detail</t>
  </si>
  <si>
    <t>j2全球通信</t>
  </si>
  <si>
    <t>www.lixinger.com/analytics/company/nasdaq/ZD/108404800/detail</t>
  </si>
  <si>
    <t>惠好</t>
  </si>
  <si>
    <t>www.lixinger.com/analytics/company/nyse/WY/10653500/detail</t>
  </si>
  <si>
    <t>BAKER HUGHES CO</t>
  </si>
  <si>
    <t>www.lixinger.com/analytics/company/nasdaq/BKR/170160500/detail</t>
  </si>
  <si>
    <t>费哲金融服务</t>
  </si>
  <si>
    <t>www.lixinger.com/analytics/company/nasdaq/FISV/79835400/detail</t>
  </si>
  <si>
    <t>木勒工业</t>
  </si>
  <si>
    <t>www.lixinger.com/analytics/company/nyse/MLI/8943900/detail</t>
  </si>
  <si>
    <t>欧伊诺</t>
  </si>
  <si>
    <t>www.lixinger.com/analytics/company/nyse/OI/81207400/detail</t>
  </si>
  <si>
    <t>CAL-MAINE FOODS INC</t>
  </si>
  <si>
    <t>www.lixinger.com/analytics/company/nasdaq/CALM/1616000/detail</t>
  </si>
  <si>
    <t>满帮</t>
  </si>
  <si>
    <t>www.lixinger.com/analytics/company/nyse/YMM/183841300/detail</t>
  </si>
  <si>
    <t>史提宾</t>
  </si>
  <si>
    <t>www.lixinger.com/analytics/company/nyse/SCL/9404900/detail</t>
  </si>
  <si>
    <t>GXO LOGISTICS INC</t>
  </si>
  <si>
    <t>www.lixinger.com/analytics/company/nyse/GXO/185224400/detail</t>
  </si>
  <si>
    <t>康卡斯特</t>
  </si>
  <si>
    <t>www.lixinger.com/analytics/company/nasdaq/CMCSA/116669100/detail</t>
  </si>
  <si>
    <t>奥创控股</t>
  </si>
  <si>
    <t>www.lixinger.com/analytics/company/nasdaq/AIMC/137453500/detail</t>
  </si>
  <si>
    <t>SURGERY PARTNERS INC</t>
  </si>
  <si>
    <t>www.lixinger.com/analytics/company/nasdaq/SGRY/163883300/detail</t>
  </si>
  <si>
    <t>罗杰斯</t>
  </si>
  <si>
    <t>www.lixinger.com/analytics/company/nyse/ROG/8474800/detail</t>
  </si>
  <si>
    <t>美国食品控股</t>
  </si>
  <si>
    <t>www.lixinger.com/analytics/company/nyse/USFD/166591800/detail</t>
  </si>
  <si>
    <t>TRANSALTA CORP</t>
  </si>
  <si>
    <t>www.lixinger.com/analytics/company/nyse/TAC/114480000/detail</t>
  </si>
  <si>
    <t>OMNICELL INC</t>
  </si>
  <si>
    <t>www.lixinger.com/analytics/company/nasdaq/OMCL/92632600/detail</t>
  </si>
  <si>
    <t>阿里巴巴</t>
  </si>
  <si>
    <t>www.lixinger.com/analytics/company/nyse/BABA/157755200/detail</t>
  </si>
  <si>
    <t>潘世奇汽车</t>
  </si>
  <si>
    <t>www.lixinger.com/analytics/company/nyse/PAG/101984900/detail</t>
  </si>
  <si>
    <t>UFP INDUSTRIES INC</t>
  </si>
  <si>
    <t>www.lixinger.com/analytics/company/nasdaq/UFPI/91276700/detail</t>
  </si>
  <si>
    <t>API GROUP CORP</t>
  </si>
  <si>
    <t>www.lixinger.com/analytics/company/nyse/APG/179620900/detail</t>
  </si>
  <si>
    <t>UNIVAR SOLUTIONS INC</t>
  </si>
  <si>
    <t>www.lixinger.com/analytics/company/nyse/UNVR/149431900/detail</t>
  </si>
  <si>
    <t>消毒循环</t>
  </si>
  <si>
    <t>www.lixinger.com/analytics/company/nasdaq/SRCL/86187800/detail</t>
  </si>
  <si>
    <t>BEACON ROOFING SUPPLY INC</t>
  </si>
  <si>
    <t>www.lixinger.com/analytics/company/nasdaq/BECN/112494100/detail</t>
  </si>
  <si>
    <t>纽柯钢铁</t>
  </si>
  <si>
    <t>www.lixinger.com/analytics/company/nyse/NUE/7330900/detail</t>
  </si>
  <si>
    <t>惠而浦</t>
  </si>
  <si>
    <t>www.lixinger.com/analytics/company/nyse/WHR/10664000/detail</t>
  </si>
  <si>
    <t>普雷斯蒂奇</t>
  </si>
  <si>
    <t>www.lixinger.com/analytics/company/nyse/PBH/129594700/detail</t>
  </si>
  <si>
    <t>OKTA INC</t>
  </si>
  <si>
    <t>www.lixinger.com/analytics/company/nasdaq/OKTA/166013400/detail</t>
  </si>
  <si>
    <t>西方石油</t>
  </si>
  <si>
    <t>www.lixinger.com/analytics/company/nyse/OXY/79746800/detail</t>
  </si>
  <si>
    <t>LIBERTY ENERGY INC</t>
  </si>
  <si>
    <t>www.lixinger.com/analytics/company/nyse/LBRT/169402800/detail</t>
  </si>
  <si>
    <t>ICON PLC</t>
  </si>
  <si>
    <t>www.lixinger.com/analytics/company/nasdaq/ICLR/106095500/detail</t>
  </si>
  <si>
    <t>icu医疗</t>
  </si>
  <si>
    <t>www.lixinger.com/analytics/company/nasdaq/ICUI/88398400/detail</t>
  </si>
  <si>
    <t>第一联合</t>
  </si>
  <si>
    <t>www.lixinger.com/analytics/company/nyse/UNF/71795400/detail</t>
  </si>
  <si>
    <t>IDACORP INC</t>
  </si>
  <si>
    <t>www.lixinger.com/analytics/company/nyse/IDA/105787700/detail</t>
  </si>
  <si>
    <t>纽曼矿业</t>
  </si>
  <si>
    <t>www.lixinger.com/analytics/company/nyse/NEM/116472700/detail</t>
  </si>
  <si>
    <t>GRAB HOLDINGS LTD</t>
  </si>
  <si>
    <t>www.lixinger.com/analytics/company/nasdaq/GRAB/185561200/detail</t>
  </si>
  <si>
    <t>CAE INC</t>
  </si>
  <si>
    <t>www.lixinger.com/analytics/company/nyse/CAE/117338200/detail</t>
  </si>
  <si>
    <t>MOOG INC</t>
  </si>
  <si>
    <t>www.lixinger.com/analytics/company/nyse/MOG.A/6788700/detail</t>
  </si>
  <si>
    <t>APPLOVIN CORP</t>
  </si>
  <si>
    <t>www.lixinger.com/analytics/company/nasdaq/APP/175100800/detail</t>
  </si>
  <si>
    <t>伊士曼化工</t>
  </si>
  <si>
    <t>www.lixinger.com/analytics/company/nyse/EMN/91538900/detail</t>
  </si>
  <si>
    <t>阿彻丹尼尔斯米德兰公司</t>
  </si>
  <si>
    <t>www.lixinger.com/analytics/company/nyse/ADM/708400/detail</t>
  </si>
  <si>
    <t>NUVEI CORP</t>
  </si>
  <si>
    <t>www.lixinger.com/analytics/company/nasdaq/NVEI/176515900/detail</t>
  </si>
  <si>
    <t>斯凯奇</t>
  </si>
  <si>
    <t>www.lixinger.com/analytics/company/nyse/SKX/106583700/detail</t>
  </si>
  <si>
    <t>haywardholdings inc</t>
  </si>
  <si>
    <t>www.lixinger.com/analytics/company/nyse/HAYW/183462200/detail</t>
  </si>
  <si>
    <t>AVIENT CORP</t>
  </si>
  <si>
    <t>www.lixinger.com/analytics/company/nyse/AVNT/112297600/detail</t>
  </si>
  <si>
    <t>联邦快递</t>
  </si>
  <si>
    <t>www.lixinger.com/analytics/company/nyse/FDX/104891100/detail</t>
  </si>
  <si>
    <t>唯品会</t>
  </si>
  <si>
    <t>www.lixinger.com/analytics/company/nyse/VIPS/152919200/detail</t>
  </si>
  <si>
    <t>ELEMENT SOLUTIONS INC</t>
  </si>
  <si>
    <t>www.lixinger.com/analytics/company/nyse/ESI/159071400/detail</t>
  </si>
  <si>
    <t>海伦特洛伊家电</t>
  </si>
  <si>
    <t>www.lixinger.com/analytics/company/nasdaq/HELE/91678900/detail</t>
  </si>
  <si>
    <t>沃纳企业</t>
  </si>
  <si>
    <t>www.lixinger.com/analytics/company/nasdaq/WERN/79307400/detail</t>
  </si>
  <si>
    <t>迈威尔科技</t>
  </si>
  <si>
    <t>www.lixinger.com/analytics/company/nasdaq/MRVL/183563200/detail</t>
  </si>
  <si>
    <t>CRISPR THERAPEUTICS AG</t>
  </si>
  <si>
    <t>www.lixinger.com/analytics/company/nasdaq/CRSP/167441600/detail</t>
  </si>
  <si>
    <t>美鹰服饰</t>
  </si>
  <si>
    <t>www.lixinger.com/analytics/company/nyse/AEO/91901200/detail</t>
  </si>
  <si>
    <t>ipg光电</t>
  </si>
  <si>
    <t>www.lixinger.com/analytics/company/nasdaq/IPGP/111192800/detail</t>
  </si>
  <si>
    <t>taketwo互动软件</t>
  </si>
  <si>
    <t>www.lixinger.com/analytics/company/nasdaq/TTWO/94658100/detail</t>
  </si>
  <si>
    <t>英国石油</t>
  </si>
  <si>
    <t>www.lixinger.com/analytics/company/nyse/BP/31380700/detail</t>
  </si>
  <si>
    <t>BUILDERS FIRSTSOURCE INC</t>
  </si>
  <si>
    <t>www.lixinger.com/analytics/company/nyse/BLDR/131683500/detail</t>
  </si>
  <si>
    <t>www.lixinger.com/analytics/company/nyse/MAN/87176300/detail</t>
  </si>
  <si>
    <t>以色列化学</t>
  </si>
  <si>
    <t>www.lixinger.com/analytics/company/nyse/ICL/94122100/detail</t>
  </si>
  <si>
    <t>BIONTECH SE</t>
  </si>
  <si>
    <t>www.lixinger.com/analytics/company/nasdaq/BNTX/177698500/detail</t>
  </si>
  <si>
    <t>PREMIER INC</t>
  </si>
  <si>
    <t>www.lixinger.com/analytics/company/nasdaq/PINC/157791600/detail</t>
  </si>
  <si>
    <t>车美仕</t>
  </si>
  <si>
    <t>www.lixinger.com/analytics/company/nyse/KMX/117001000/detail</t>
  </si>
  <si>
    <t>美国西屋制动</t>
  </si>
  <si>
    <t>www.lixinger.com/analytics/company/nyse/WAB/94345200/detail</t>
  </si>
  <si>
    <t>中点能源</t>
  </si>
  <si>
    <t>www.lixinger.com/analytics/company/nyse/CNP/113031000/detail</t>
  </si>
  <si>
    <t>美国超微公司</t>
  </si>
  <si>
    <t>www.lixinger.com/analytics/company/nasdaq/AMD/248800/detail</t>
  </si>
  <si>
    <t>ENERGY CO OF MINAS GERAIS</t>
  </si>
  <si>
    <t>www.lixinger.com/analytics/company/nyse/CIG/115755700/detail</t>
  </si>
  <si>
    <t>cushman&amp;wakefieldplc</t>
  </si>
  <si>
    <t>www.lixinger.com/analytics/company/nyse/CWK/162836900/detail</t>
  </si>
  <si>
    <t>NEXTERA ENERGY PARTNERS LP</t>
  </si>
  <si>
    <t>www.lixinger.com/analytics/company/nyse/NEP/160314500/detail</t>
  </si>
  <si>
    <t>格瑞夫</t>
  </si>
  <si>
    <t>www.lixinger.com/analytics/company/nyse/GEF/4392000/detail</t>
  </si>
  <si>
    <t>艾马克技术</t>
  </si>
  <si>
    <t>www.lixinger.com/analytics/company/nasdaq/AMKR/104712700/detail</t>
  </si>
  <si>
    <t>西南航空</t>
  </si>
  <si>
    <t>www.lixinger.com/analytics/company/nyse/LUV/9238000/detail</t>
  </si>
  <si>
    <t>UNIVERSAL HEALTH SERVICES INC</t>
  </si>
  <si>
    <t>www.lixinger.com/analytics/company/nyse/UHS/35291500/detail</t>
  </si>
  <si>
    <t>COSAN SA</t>
  </si>
  <si>
    <t>www.lixinger.com/analytics/company/nyse/CSAN/143016200/detail</t>
  </si>
  <si>
    <t>秦淮数据</t>
  </si>
  <si>
    <t>www.lixinger.com/analytics/company/nasdaq/CD/180719200/detail</t>
  </si>
  <si>
    <t>欧文斯科宁</t>
  </si>
  <si>
    <t>www.lixinger.com/analytics/company/nyse/OC/137094600/detail</t>
  </si>
  <si>
    <t>安特吉</t>
  </si>
  <si>
    <t>www.lixinger.com/analytics/company/nyse/ETR/6598400/detail</t>
  </si>
  <si>
    <t>赫尔默里奇和佩恩材料</t>
  </si>
  <si>
    <t>www.lixinger.com/analytics/company/nyse/HP/4676500/detail</t>
  </si>
  <si>
    <t>ENPRO INDUSTRIES INC</t>
  </si>
  <si>
    <t>www.lixinger.com/analytics/company/nyse/NPO/116486300/detail</t>
  </si>
  <si>
    <t>reliancesteel&amp;aluminium</t>
  </si>
  <si>
    <t>www.lixinger.com/analytics/company/nyse/RS/86188400/detail</t>
  </si>
  <si>
    <t>ALLIANCE RESOURCE PARTNERS LP</t>
  </si>
  <si>
    <t>www.lixinger.com/analytics/company/nasdaq/ARLP/108660000/detail</t>
  </si>
  <si>
    <t>李尔</t>
  </si>
  <si>
    <t>www.lixinger.com/analytics/company/nyse/LEA/84216200/detail</t>
  </si>
  <si>
    <t>OGE ENERGY CORP</t>
  </si>
  <si>
    <t>www.lixinger.com/analytics/company/nyse/OGE/102163500/detail</t>
  </si>
  <si>
    <t>MDU RESOURCES GROUP INC</t>
  </si>
  <si>
    <t>www.lixinger.com/analytics/company/nyse/MDU/6771600/detail</t>
  </si>
  <si>
    <t>SUMMIT MATERIALS INC</t>
  </si>
  <si>
    <t>www.lixinger.com/analytics/company/nyse/SUM/162156300/detail</t>
  </si>
  <si>
    <t>jobyaviation inc</t>
  </si>
  <si>
    <t>www.lixinger.com/analytics/company/nyse/JOBY/181984800/detail</t>
  </si>
  <si>
    <t>小鹏汽车</t>
  </si>
  <si>
    <t>www.lixinger.com/analytics/company/nyse/XPEV/181099700/detail</t>
  </si>
  <si>
    <t>ZILLOW GROUP INC</t>
  </si>
  <si>
    <t>www.lixinger.com/analytics/company/nasdaq/ZG/161764000/detail</t>
  </si>
  <si>
    <t>Zillow Group Inc</t>
  </si>
  <si>
    <t>www.lixinger.com/analytics/company/nasdaq/ZG/161764001/detail</t>
  </si>
  <si>
    <t>OSISKO GOLD ROYALTIES LTD</t>
  </si>
  <si>
    <t>www.lixinger.com/analytics/company/nyse/OR/162727200/detail</t>
  </si>
  <si>
    <t>CATALENT INC</t>
  </si>
  <si>
    <t>www.lixinger.com/analytics/company/nyse/CTLT/159678300/detail</t>
  </si>
  <si>
    <t>EURONAV NV</t>
  </si>
  <si>
    <t>www.lixinger.com/analytics/company/nyse/EURN/160448100/detail</t>
  </si>
  <si>
    <t>美国工商五金公司</t>
  </si>
  <si>
    <t>www.lixinger.com/analytics/company/nyse/CMC/2244400/detail</t>
  </si>
  <si>
    <t>迪士尼</t>
  </si>
  <si>
    <t>www.lixinger.com/analytics/company/nyse/DIS/174448900/detail</t>
  </si>
  <si>
    <t>赫克拉矿业</t>
  </si>
  <si>
    <t>www.lixinger.com/analytics/company/nyse/HL/71941300/detail</t>
  </si>
  <si>
    <t>反导工业</t>
  </si>
  <si>
    <t>www.lixinger.com/analytics/company/nyse/ABM/77149700/detail</t>
  </si>
  <si>
    <t>GMS INC</t>
  </si>
  <si>
    <t>www.lixinger.com/analytics/company/nyse/GMS/160043800/detail</t>
  </si>
  <si>
    <t>ALCON INC</t>
  </si>
  <si>
    <t>www.lixinger.com/analytics/company/nyse/ALC/116737900/detail</t>
  </si>
  <si>
    <t>ANDINA BOTTLING CO INC</t>
  </si>
  <si>
    <t>www.lixinger.com/analytics/company/nyse/AKO.B/92526100/detail</t>
  </si>
  <si>
    <t>菲利普66公司</t>
  </si>
  <si>
    <t>www.lixinger.com/analytics/company/nyse/PSX/153470100/detail</t>
  </si>
  <si>
    <t>爱克斯龙电力</t>
  </si>
  <si>
    <t>www.lixinger.com/analytics/company/nasdaq/EXC/110935700/detail</t>
  </si>
  <si>
    <t>ASHLAND INC</t>
  </si>
  <si>
    <t>www.lixinger.com/analytics/company/nyse/ASH/167486200/detail</t>
  </si>
  <si>
    <t>ALPHA METALLURGICAL RESOURCES INC</t>
  </si>
  <si>
    <t>www.lixinger.com/analytics/company/nyse/AMR/170471500/detail</t>
  </si>
  <si>
    <t>MERCURY SYSTEMS INC</t>
  </si>
  <si>
    <t>www.lixinger.com/analytics/company/nasdaq/MRCY/104952100/detail</t>
  </si>
  <si>
    <t>普拉格能源</t>
  </si>
  <si>
    <t>www.lixinger.com/analytics/company/nasdaq/PLUG/109369100/detail</t>
  </si>
  <si>
    <t>LCI INDUSTRIES</t>
  </si>
  <si>
    <t>www.lixinger.com/analytics/company/nyse/LCII/76374400/detail</t>
  </si>
  <si>
    <t>韦斯市场</t>
  </si>
  <si>
    <t>www.lixinger.com/analytics/company/nyse/WMK/10541800/detail</t>
  </si>
  <si>
    <t>太平洋煤气电力</t>
  </si>
  <si>
    <t>www.lixinger.com/analytics/company/nyse/PCG/100498000/detail</t>
  </si>
  <si>
    <t>SIBANYE STILLWATER LTD</t>
  </si>
  <si>
    <t>www.lixinger.com/analytics/company/nyse/SBSW/178690900/detail</t>
  </si>
  <si>
    <t>智利ccu啤酒</t>
  </si>
  <si>
    <t>www.lixinger.com/analytics/company/nyse/CCU/88874600/detail</t>
  </si>
  <si>
    <t>康西哥</t>
  </si>
  <si>
    <t>www.lixinger.com/analytics/company/nyse/CNC/107173900/detail</t>
  </si>
  <si>
    <t>肯纳金属</t>
  </si>
  <si>
    <t>www.lixinger.com/analytics/company/nyse/KMT/5524200/detail</t>
  </si>
  <si>
    <t>ONE GAS INC</t>
  </si>
  <si>
    <t>www.lixinger.com/analytics/company/nyse/OGS/158773200/detail</t>
  </si>
  <si>
    <t>CORTEVA INC</t>
  </si>
  <si>
    <t>www.lixinger.com/analytics/company/nyse/CTVA/175567200/detail</t>
  </si>
  <si>
    <t>ADIENT PLC</t>
  </si>
  <si>
    <t>www.lixinger.com/analytics/company/nyse/ADNT/167054100/detail</t>
  </si>
  <si>
    <t>爱立信</t>
  </si>
  <si>
    <t>www.lixinger.com/analytics/company/nasdaq/ERIC/71782600/detail</t>
  </si>
  <si>
    <t>新美亚电子</t>
  </si>
  <si>
    <t>www.lixinger.com/analytics/company/nasdaq/SANM/89772300/detail</t>
  </si>
  <si>
    <t>梅西百货</t>
  </si>
  <si>
    <t>www.lixinger.com/analytics/company/nyse/M/79436700/detail</t>
  </si>
  <si>
    <t>HOSTESS BRANDS INC</t>
  </si>
  <si>
    <t>www.lixinger.com/analytics/company/nasdaq/TWNK/164440600/detail</t>
  </si>
  <si>
    <t>QUANTUMSCAPE CORP</t>
  </si>
  <si>
    <t>www.lixinger.com/analytics/company/nyse/QS/181141400/detail</t>
  </si>
  <si>
    <t>cvs健康</t>
  </si>
  <si>
    <t>www.lixinger.com/analytics/company/nyse/CVS/6480300/detail</t>
  </si>
  <si>
    <t>新东方</t>
  </si>
  <si>
    <t>www.lixinger.com/analytics/company/nyse/EDU/137292000/detail</t>
  </si>
  <si>
    <t>FIRST MAJESTIC SILVER CORP</t>
  </si>
  <si>
    <t>www.lixinger.com/analytics/company/nyse/AG/130864800/detail</t>
  </si>
  <si>
    <t>R1 RCM INC</t>
  </si>
  <si>
    <t>www.lixinger.com/analytics/company/nasdaq/RCM/191085100/detail</t>
  </si>
  <si>
    <t>RUSH ENTERPRISES INC</t>
  </si>
  <si>
    <t>www.lixinger.com/analytics/company/nasdaq/RUSHA/101201900/detail</t>
  </si>
  <si>
    <t>帝国石油</t>
  </si>
  <si>
    <t>www.lixinger.com/analytics/company/nyse/IMO/4993800/detail</t>
  </si>
  <si>
    <t>SAGE THERAPEUTICS INC</t>
  </si>
  <si>
    <t>www.lixinger.com/analytics/company/nasdaq/SAGE/159755300/detail</t>
  </si>
  <si>
    <t>cenovus能源</t>
  </si>
  <si>
    <t>www.lixinger.com/analytics/company/nyse/CVE/147526000/detail</t>
  </si>
  <si>
    <t>crh水泥</t>
  </si>
  <si>
    <t>www.lixinger.com/analytics/company/nyse/CRH/84939500/detail</t>
  </si>
  <si>
    <t>POST HOLDINGS INC</t>
  </si>
  <si>
    <t>www.lixinger.com/analytics/company/nyse/POST/153095000/detail</t>
  </si>
  <si>
    <t>IHS HOLDING LTD</t>
  </si>
  <si>
    <t>www.lixinger.com/analytics/company/nyse/IHS/187618300/detail</t>
  </si>
  <si>
    <t>德希尼布fmc</t>
  </si>
  <si>
    <t>www.lixinger.com/analytics/company/nyse/FTI/168145900/detail</t>
  </si>
  <si>
    <t>WORTHINGTON INDUSTRIES INC</t>
  </si>
  <si>
    <t>www.lixinger.com/analytics/company/nyse/WOR/10851600/detail</t>
  </si>
  <si>
    <t>光辉国际咨询顾问</t>
  </si>
  <si>
    <t>www.lixinger.com/analytics/company/nyse/KFY/5667900/detail</t>
  </si>
  <si>
    <t>巴恩斯</t>
  </si>
  <si>
    <t>www.lixinger.com/analytics/company/nyse/B/998400/detail</t>
  </si>
  <si>
    <t>TORM PLC</t>
  </si>
  <si>
    <t>www.lixinger.com/analytics/company/nasdaq/TRMD/165589100/detail</t>
  </si>
  <si>
    <t>INTEGER HOLDINGS CORP</t>
  </si>
  <si>
    <t>www.lixinger.com/analytics/company/nyse/ITGR/111448300/detail</t>
  </si>
  <si>
    <t>KYNDRYL HOLDINGS INC</t>
  </si>
  <si>
    <t>www.lixinger.com/analytics/company/nyse/KD/186707200/detail</t>
  </si>
  <si>
    <t>曼格纳国际</t>
  </si>
  <si>
    <t>www.lixinger.com/analytics/company/nyse/MGA/74909800/detail</t>
  </si>
  <si>
    <t>华高</t>
  </si>
  <si>
    <t>www.lixinger.com/analytics/company/nyse/NOV/102186000/detail</t>
  </si>
  <si>
    <t>GAP INC</t>
  </si>
  <si>
    <t>www.lixinger.com/analytics/company/nyse/GPS/3991100/detail</t>
  </si>
  <si>
    <t>爱迪生联合电气</t>
  </si>
  <si>
    <t>www.lixinger.com/analytics/company/nyse/ED/104786200/detail</t>
  </si>
  <si>
    <t>atmos能源公司</t>
  </si>
  <si>
    <t>www.lixinger.com/analytics/company/nyse/ATO/73180200/detail</t>
  </si>
  <si>
    <t>加州资源</t>
  </si>
  <si>
    <t>www.lixinger.com/analytics/company/nyse/CRC/160925300/detail</t>
  </si>
  <si>
    <t>赛诺菲安万特</t>
  </si>
  <si>
    <t>www.lixinger.com/analytics/company/nasdaq/SNY/112140400/detail</t>
  </si>
  <si>
    <t>HUB GROUP INC</t>
  </si>
  <si>
    <t>www.lixinger.com/analytics/company/nasdaq/HUBG/94094200/detail</t>
  </si>
  <si>
    <t>国际香料香精</t>
  </si>
  <si>
    <t>www.lixinger.com/analytics/company/nyse/IFF/5125300/detail</t>
  </si>
  <si>
    <t>tegna inc</t>
  </si>
  <si>
    <t>www.lixinger.com/analytics/company/nyse/TGNA/3989900/detail</t>
  </si>
  <si>
    <t>树屋食品</t>
  </si>
  <si>
    <t>www.lixinger.com/analytics/company/nyse/THS/132069500/detail</t>
  </si>
  <si>
    <t>PLAINS GP HOLDINGS LP</t>
  </si>
  <si>
    <t>www.lixinger.com/analytics/company/nasdaq/PAGP/158199000/detail</t>
  </si>
  <si>
    <t>邦吉</t>
  </si>
  <si>
    <t>www.lixinger.com/analytics/company/nyse/BG/114451900/detail</t>
  </si>
  <si>
    <t>威世科技</t>
  </si>
  <si>
    <t>www.lixinger.com/analytics/company/nyse/VSH/10373000/detail</t>
  </si>
  <si>
    <t>VISTRA CORP</t>
  </si>
  <si>
    <t>www.lixinger.com/analytics/company/nyse/VST/169281900/detail</t>
  </si>
  <si>
    <t>联电</t>
  </si>
  <si>
    <t>www.lixinger.com/analytics/company/nyse/UMC/103376700/detail</t>
  </si>
  <si>
    <t>黑山</t>
  </si>
  <si>
    <t>www.lixinger.com/analytics/company/nyse/BKH/113046400/detail</t>
  </si>
  <si>
    <t>ALAMOS GOLD INC</t>
  </si>
  <si>
    <t>www.lixinger.com/analytics/company/nyse/AGI/117881900/detail</t>
  </si>
  <si>
    <t>纽威</t>
  </si>
  <si>
    <t>www.lixinger.com/analytics/company/nasdaq/NWL/81445300/detail</t>
  </si>
  <si>
    <t>哥伦比亚国家石油</t>
  </si>
  <si>
    <t>www.lixinger.com/analytics/company/nyse/EC/144440600/detail</t>
  </si>
  <si>
    <t>宾州电力</t>
  </si>
  <si>
    <t>www.lixinger.com/analytics/company/nyse/PPL/92222400/detail</t>
  </si>
  <si>
    <t>泛美白银</t>
  </si>
  <si>
    <t>www.lixinger.com/analytics/company/nasdaq/PAAS/77199200/detail</t>
  </si>
  <si>
    <t>携程</t>
  </si>
  <si>
    <t>www.lixinger.com/analytics/company/nasdaq/TCOM/126923800/detail</t>
  </si>
  <si>
    <t>雾芯科技</t>
  </si>
  <si>
    <t>www.lixinger.com/analytics/company/nyse/RLX/182836500/detail</t>
  </si>
  <si>
    <t>SCHNEIDER NATIONAL INC</t>
  </si>
  <si>
    <t>www.lixinger.com/analytics/company/nyse/SNDR/169206300/detail</t>
  </si>
  <si>
    <t>NOBLE CORP PLC</t>
  </si>
  <si>
    <t>www.lixinger.com/analytics/company/nyse/NE/189526200/detail</t>
  </si>
  <si>
    <t>伊格尔矿业</t>
  </si>
  <si>
    <t>www.lixinger.com/analytics/company/nyse/AEM/280900/detail</t>
  </si>
  <si>
    <t>VIR BIOTECHNOLOGY INC</t>
  </si>
  <si>
    <t>www.lixinger.com/analytics/company/nasdaq/VIR/170643100/detail</t>
  </si>
  <si>
    <t>巴西石油公司</t>
  </si>
  <si>
    <t>www.lixinger.com/analytics/company/nyse/PBR/111963900/detail</t>
  </si>
  <si>
    <t>卡波特油气</t>
  </si>
  <si>
    <t>www.lixinger.com/analytics/company/nyse/CTRA/85847000/detail</t>
  </si>
  <si>
    <t>亨斯曼材料</t>
  </si>
  <si>
    <t>www.lixinger.com/analytics/company/nyse/HUN/130795400/detail</t>
  </si>
  <si>
    <t>黑莓</t>
  </si>
  <si>
    <t>www.lixinger.com/analytics/company/nyse/BB/107023500/detail</t>
  </si>
  <si>
    <t>西科国际</t>
  </si>
  <si>
    <t>www.lixinger.com/analytics/company/nyse/WCC/92900800/detail</t>
  </si>
  <si>
    <t>POTLATCHDELTIC CORP</t>
  </si>
  <si>
    <t>www.lixinger.com/analytics/company/nasdaq/PCH/133874900/detail</t>
  </si>
  <si>
    <t>biorad实验室</t>
  </si>
  <si>
    <t>www.lixinger.com/analytics/company/nyse/BIO/1220800/detail</t>
  </si>
  <si>
    <t>阿斯伯里汽车集团</t>
  </si>
  <si>
    <t>www.lixinger.com/analytics/company/nyse/ABG/114498000/detail</t>
  </si>
  <si>
    <t>NUTRIEN LTD</t>
  </si>
  <si>
    <t>www.lixinger.com/analytics/company/nyse/NTR/172596400/detail</t>
  </si>
  <si>
    <t>美国铝业公司</t>
  </si>
  <si>
    <t>www.lixinger.com/analytics/company/nyse/AA/167514900/detail</t>
  </si>
  <si>
    <t>PEABODY ENERGY CORP</t>
  </si>
  <si>
    <t>www.lixinger.com/analytics/company/nyse/BTU/106472800/detail</t>
  </si>
  <si>
    <t>RENEW ENERGY GLOBAL PLC</t>
  </si>
  <si>
    <t>www.lixinger.com/analytics/company/nasdaq/RNW/184876300/detail</t>
  </si>
  <si>
    <t>培生</t>
  </si>
  <si>
    <t>www.lixinger.com/analytics/company/nyse/PSO/93832300/detail</t>
  </si>
  <si>
    <t>www.lixinger.com/analytics/company/nyse/MRO/10177800/detail</t>
  </si>
  <si>
    <t>encore缆线</t>
  </si>
  <si>
    <t>www.lixinger.com/analytics/company/nasdaq/WIRE/85046000/detail</t>
  </si>
  <si>
    <t>达纳</t>
  </si>
  <si>
    <t>www.lixinger.com/analytics/company/nyse/DAN/2678000/detail</t>
  </si>
  <si>
    <t>百度</t>
  </si>
  <si>
    <t>www.lixinger.com/analytics/company/nasdaq/BIDU/132909900/detail</t>
  </si>
  <si>
    <t>微博</t>
  </si>
  <si>
    <t>www.lixinger.com/analytics/company/nasdaq/WB/159576100/detail</t>
  </si>
  <si>
    <t>阿拉斯加航空</t>
  </si>
  <si>
    <t>www.lixinger.com/analytics/company/nyse/ALK/76642100/detail</t>
  </si>
  <si>
    <t>欧迪办公</t>
  </si>
  <si>
    <t>www.lixinger.com/analytics/company/nasdaq/ODP/80024000/detail</t>
  </si>
  <si>
    <t>博格华纳</t>
  </si>
  <si>
    <t>www.lixinger.com/analytics/company/nyse/BWA/90825500/detail</t>
  </si>
  <si>
    <t>B2GOLD CORP</t>
  </si>
  <si>
    <t>www.lixinger.com/analytics/company/nyse/BTG/142993700/detail</t>
  </si>
  <si>
    <t>福克斯公司a</t>
  </si>
  <si>
    <t>www.lixinger.com/analytics/company/nasdaq/FOXA/175430100/detail</t>
  </si>
  <si>
    <t>nrg能源</t>
  </si>
  <si>
    <t>www.lixinger.com/analytics/company/nyse/NRG/101387100/detail</t>
  </si>
  <si>
    <t>登士柏</t>
  </si>
  <si>
    <t>www.lixinger.com/analytics/company/nasdaq/XRAY/81847900/detail</t>
  </si>
  <si>
    <t>mks仪器</t>
  </si>
  <si>
    <t>www.lixinger.com/analytics/company/nasdaq/MKSI/104950200/detail</t>
  </si>
  <si>
    <t>LIBERTY BROADBAND CORP</t>
  </si>
  <si>
    <t>www.lixinger.com/analytics/company/nasdaq/LBRDA/161198300/detail</t>
  </si>
  <si>
    <t>杜邦</t>
  </si>
  <si>
    <t>www.lixinger.com/analytics/company/nyse/DD/166670000/detail</t>
  </si>
  <si>
    <t>道达尔</t>
  </si>
  <si>
    <t>www.lixinger.com/analytics/company/nyse/TTE/87976400/detail</t>
  </si>
  <si>
    <t>万国数据</t>
  </si>
  <si>
    <t>www.lixinger.com/analytics/company/nasdaq/GDS/152612500/detail</t>
  </si>
  <si>
    <t>巴里克黄金</t>
  </si>
  <si>
    <t>www.lixinger.com/analytics/company/nyse/GOLD/75689400/detail</t>
  </si>
  <si>
    <t>PACTIV EVERGREEN INC</t>
  </si>
  <si>
    <t>www.lixinger.com/analytics/company/nasdaq/PTVE/152750800/detail</t>
  </si>
  <si>
    <t>诺基亚</t>
  </si>
  <si>
    <t>www.lixinger.com/analytics/company/nyse/NOK/92461300/detail</t>
  </si>
  <si>
    <t>EDGEWELL PERSONAL CARE CO</t>
  </si>
  <si>
    <t>www.lixinger.com/analytics/company/nyse/EPC/109675200/detail</t>
  </si>
  <si>
    <t>360数科</t>
  </si>
  <si>
    <t>www.lixinger.com/analytics/company/nasdaq/QFIN/174153000/detail</t>
  </si>
  <si>
    <t>阿里特</t>
  </si>
  <si>
    <t>www.lixinger.com/analytics/company/nyse/ALE/6675600/detail</t>
  </si>
  <si>
    <t>国际纸业</t>
  </si>
  <si>
    <t>www.lixinger.com/analytics/company/nyse/IP/5143400/detail</t>
  </si>
  <si>
    <t>DXC TECHNOLOGY CO</t>
  </si>
  <si>
    <t>www.lixinger.com/analytics/company/nyse/DXC/168856800/detail</t>
  </si>
  <si>
    <t>BOISE CASCADE CO</t>
  </si>
  <si>
    <t>www.lixinger.com/analytics/company/nyse/BCC/132858100/detail</t>
  </si>
  <si>
    <t>ULTRAPAR HOLDINGS INC</t>
  </si>
  <si>
    <t>www.lixinger.com/analytics/company/nyse/UGP/109497200/detail</t>
  </si>
  <si>
    <t>新闻集团classa</t>
  </si>
  <si>
    <t>www.lixinger.com/analytics/company/nasdaq/NWSA/156470800/detail</t>
  </si>
  <si>
    <t>ARCONIC CORP</t>
  </si>
  <si>
    <t>www.lixinger.com/analytics/company/nyse/ARNC/179098200/detail</t>
  </si>
  <si>
    <t>westlake化学</t>
  </si>
  <si>
    <t>www.lixinger.com/analytics/company/nyse/WLK/126282300/detail</t>
  </si>
  <si>
    <t>ENVISTA HOLDINGS CORP</t>
  </si>
  <si>
    <t>www.lixinger.com/analytics/company/nyse/NVST/175707300/detail</t>
  </si>
  <si>
    <t>西帕纳卡资本</t>
  </si>
  <si>
    <t>www.lixinger.com/analytics/company/nyse/PNW/76462200/detail</t>
  </si>
  <si>
    <t>好未来</t>
  </si>
  <si>
    <t>www.lixinger.com/analytics/company/nyse/TAL/149962000/detail</t>
  </si>
  <si>
    <t>coinbaseglobal incclassa</t>
  </si>
  <si>
    <t>www.lixinger.com/analytics/company/nasdaq/COIN/167978800/detail</t>
  </si>
  <si>
    <t>布鲁克自动化</t>
  </si>
  <si>
    <t>www.lixinger.com/analytics/company/nasdaq/AZTA/93397400/detail</t>
  </si>
  <si>
    <t>仲量联行</t>
  </si>
  <si>
    <t>www.lixinger.com/analytics/company/nyse/JLL/103797600/detail</t>
  </si>
  <si>
    <t>MINERALS TECHNOLOGIES INC</t>
  </si>
  <si>
    <t>www.lixinger.com/analytics/company/nyse/MTX/89101400/detail</t>
  </si>
  <si>
    <t>ugi公用事业</t>
  </si>
  <si>
    <t>www.lixinger.com/analytics/company/nyse/UGI/88461400/detail</t>
  </si>
  <si>
    <t>佩恩国民博彩</t>
  </si>
  <si>
    <t>www.lixinger.com/analytics/company/nasdaq/PENN/92173800/detail</t>
  </si>
  <si>
    <t>MEXICAN ECONOMIC DEVELOPMENT INC</t>
  </si>
  <si>
    <t>www.lixinger.com/analytics/company/nyse/FMX/106173600/detail</t>
  </si>
  <si>
    <t>COMPANHIA DE SANEAMENTO BASICO DO ESTADO DE SAO PAULO-SABESP</t>
  </si>
  <si>
    <t>www.lixinger.com/analytics/company/nyse/SBS/117085800/detail</t>
  </si>
  <si>
    <t>美国美盛</t>
  </si>
  <si>
    <t>www.lixinger.com/analytics/company/nyse/MOS/128578500/detail</t>
  </si>
  <si>
    <t>雷勃电气</t>
  </si>
  <si>
    <t>www.lixinger.com/analytics/company/nyse/RRX/8281100/detail</t>
  </si>
  <si>
    <t>都市服饰</t>
  </si>
  <si>
    <t>www.lixinger.com/analytics/company/nasdaq/URBN/91261500/detail</t>
  </si>
  <si>
    <t>戴恩国际</t>
  </si>
  <si>
    <t>www.lixinger.com/analytics/company/nyse/DCP/133806500/detail</t>
  </si>
  <si>
    <t>SCORPIO TANKERS INC</t>
  </si>
  <si>
    <t>www.lixinger.com/analytics/company/nyse/STNG/148393400/detail</t>
  </si>
  <si>
    <t>克里夫天然资源</t>
  </si>
  <si>
    <t>www.lixinger.com/analytics/company/nyse/CLF/76406500/detail</t>
  </si>
  <si>
    <t>YAMANA GOLD INC</t>
  </si>
  <si>
    <t>www.lixinger.com/analytics/company/nyse/AUY/126408900/detail</t>
  </si>
  <si>
    <t>SHELL PLC</t>
  </si>
  <si>
    <t>www.lixinger.com/analytics/company/nyse/SHEL/130696500/detail</t>
  </si>
  <si>
    <t>SM ENERGY CO</t>
  </si>
  <si>
    <t>www.lixinger.com/analytics/company/nyse/SM/89353800/detail</t>
  </si>
  <si>
    <t>KNIGHT-SWIFT TRANSPORTATION HOLDINGS INC</t>
  </si>
  <si>
    <t>www.lixinger.com/analytics/company/nyse/KNX/149269100/detail</t>
  </si>
  <si>
    <t>梯瓦制药</t>
  </si>
  <si>
    <t>www.lixinger.com/analytics/company/nyse/TEVA/81868600/detail</t>
  </si>
  <si>
    <t>盖尔道钢铁</t>
  </si>
  <si>
    <t>www.lixinger.com/analytics/company/nyse/GGB/107340400/detail</t>
  </si>
  <si>
    <t>梅思恩</t>
  </si>
  <si>
    <t>www.lixinger.com/analytics/company/nasdaq/MEOH/88697700/detail</t>
  </si>
  <si>
    <t>SOUTHWEST GAS HOLDINGS INC</t>
  </si>
  <si>
    <t>www.lixinger.com/analytics/company/nyse/SWX/169211500/detail</t>
  </si>
  <si>
    <t>卡比海运</t>
  </si>
  <si>
    <t>www.lixinger.com/analytics/company/nyse/KEX/5604700/detail</t>
  </si>
  <si>
    <t>汽车之家</t>
  </si>
  <si>
    <t>www.lixinger.com/analytics/company/nyse/ATHM/152763600/detail</t>
  </si>
  <si>
    <t>ARCOSA INC</t>
  </si>
  <si>
    <t>www.lixinger.com/analytics/company/nyse/ACA/173944500/detail</t>
  </si>
  <si>
    <t>艾睿</t>
  </si>
  <si>
    <t>www.lixinger.com/analytics/company/nyse/ARW/753600/detail</t>
  </si>
  <si>
    <t>美国史丹利公司</t>
  </si>
  <si>
    <t>www.lixinger.com/analytics/company/nyse/SWK/9355600/detail</t>
  </si>
  <si>
    <t>联合原生态食品</t>
  </si>
  <si>
    <t>www.lixinger.com/analytics/company/nyse/UNFI/102085900/detail</t>
  </si>
  <si>
    <t>petcohealth&amp;wellnesscoinc</t>
  </si>
  <si>
    <t>www.lixinger.com/analytics/company/nasdaq/WOOF/182647000/detail</t>
  </si>
  <si>
    <t>ADAPTHEALTH CORP</t>
  </si>
  <si>
    <t>www.lixinger.com/analytics/company/nasdaq/AHCO/172525500/detail</t>
  </si>
  <si>
    <t>WOODSIDE ENERGY GROUP LTD</t>
  </si>
  <si>
    <t>www.lixinger.com/analytics/company/nyse/WDS/84455100/detail</t>
  </si>
  <si>
    <t>窥得儿医药</t>
  </si>
  <si>
    <t>www.lixinger.com/analytics/company/nasdaq/QDEL/190632400/detail</t>
  </si>
  <si>
    <t>环汇有限公司</t>
  </si>
  <si>
    <t>www.lixinger.com/analytics/company/nyse/GPN/112336000/detail</t>
  </si>
  <si>
    <t>CHORD ENERGY CORP</t>
  </si>
  <si>
    <t>www.lixinger.com/analytics/company/nasdaq/CHRD/148615900/detail</t>
  </si>
  <si>
    <t>英美烟草</t>
  </si>
  <si>
    <t>www.lixinger.com/analytics/company/nyse/BTI/130352300/detail</t>
  </si>
  <si>
    <t>美光科技</t>
  </si>
  <si>
    <t>www.lixinger.com/analytics/company/nasdaq/MU/72312500/detail</t>
  </si>
  <si>
    <t>FRONTLINE LTD</t>
  </si>
  <si>
    <t>www.lixinger.com/analytics/company/nyse/FRO/91329000/detail</t>
  </si>
  <si>
    <t>福特汽车</t>
  </si>
  <si>
    <t>www.lixinger.com/analytics/company/nyse/F/3799600/detail</t>
  </si>
  <si>
    <t>汽车一组</t>
  </si>
  <si>
    <t>www.lixinger.com/analytics/company/nyse/GPI/103120300/detail</t>
  </si>
  <si>
    <t>泰森食品</t>
  </si>
  <si>
    <t>www.lixinger.com/analytics/company/nyse/TSN/10049300/detail</t>
  </si>
  <si>
    <t>LIBERTY MEDIA CORP</t>
  </si>
  <si>
    <t>www.lixinger.com/analytics/company/nasdaq/FWONA/156038500/detail</t>
  </si>
  <si>
    <t>新聚思</t>
  </si>
  <si>
    <t>www.lixinger.com/analytics/company/nyse/SNX/117739400/detail</t>
  </si>
  <si>
    <t>网侦系统</t>
  </si>
  <si>
    <t>www.lixinger.com/analytics/company/nasdaq/NTCT/107807500/detail</t>
  </si>
  <si>
    <t>索尔工业</t>
  </si>
  <si>
    <t>www.lixinger.com/analytics/company/nyse/THO/73026300/detail</t>
  </si>
  <si>
    <t>英特尔</t>
  </si>
  <si>
    <t>www.lixinger.com/analytics/company/nasdaq/INTC/5086300/detail</t>
  </si>
  <si>
    <t>GATES INDUSTRIAL CORP PLC</t>
  </si>
  <si>
    <t>www.lixinger.com/analytics/company/nyse/GTES/171851200/detail</t>
  </si>
  <si>
    <t>ENERGY TRANSFER LP</t>
  </si>
  <si>
    <t>www.lixinger.com/analytics/company/nyse/ET/127618700/detail</t>
  </si>
  <si>
    <t>阿特斯太阳能</t>
  </si>
  <si>
    <t>www.lixinger.com/analytics/company/nasdaq/CSIQ/137587700/detail</t>
  </si>
  <si>
    <t>SPIRIT AIRLINES INC</t>
  </si>
  <si>
    <t>www.lixinger.com/analytics/company/nyse/SAVE/149871000/detail</t>
  </si>
  <si>
    <t>埃尼石油</t>
  </si>
  <si>
    <t>www.lixinger.com/analytics/company/nyse/E/100224200/detail</t>
  </si>
  <si>
    <t>HF SINCLAIR CORP</t>
  </si>
  <si>
    <t>www.lixinger.com/analytics/company/nyse/DINO/191565700/detail</t>
  </si>
  <si>
    <t>利西亚车行</t>
  </si>
  <si>
    <t>www.lixinger.com/analytics/company/nyse/LAD/102312800/detail</t>
  </si>
  <si>
    <t>PBF ENERGY INC</t>
  </si>
  <si>
    <t>www.lixinger.com/analytics/company/nyse/PBF/153450400/detail</t>
  </si>
  <si>
    <t>STONECO LTD</t>
  </si>
  <si>
    <t>www.lixinger.com/analytics/company/nasdaq/STNE/174543100/detail</t>
  </si>
  <si>
    <t>industriasbachocosabdecvadseachrepr12shares'b'</t>
  </si>
  <si>
    <t>www.lixinger.com/analytics/company/nyse/IBA/104489600/detail</t>
  </si>
  <si>
    <t>富乐客</t>
  </si>
  <si>
    <t>www.lixinger.com/analytics/company/nyse/FL/85020900/detail</t>
  </si>
  <si>
    <t>otc</t>
  </si>
  <si>
    <t>BAYTEX ENERGY CORP</t>
  </si>
  <si>
    <t>www.lixinger.com/analytics/company/otc/BTEGF/127949500/detail</t>
  </si>
  <si>
    <t>武田制药</t>
  </si>
  <si>
    <t>www.lixinger.com/analytics/company/nyse/TAK/139506400/detail</t>
  </si>
  <si>
    <t>SYNEOS HEALTH INC</t>
  </si>
  <si>
    <t>www.lixinger.com/analytics/company/nasdaq/SYNH/161095000/detail</t>
  </si>
  <si>
    <t>艾斯本</t>
  </si>
  <si>
    <t>www.lixinger.com/analytics/company/nasdaq/AZPN/189798200/detail</t>
  </si>
  <si>
    <t>NOMAD FOODS LTD</t>
  </si>
  <si>
    <t>www.lixinger.com/analytics/company/nyse/NOMD/165171700/detail</t>
  </si>
  <si>
    <t>慧与</t>
  </si>
  <si>
    <t>www.lixinger.com/analytics/company/nyse/HPE/164559000/detail</t>
  </si>
  <si>
    <t>卡夫亨氏</t>
  </si>
  <si>
    <t>www.lixinger.com/analytics/company/nasdaq/KHC/163745900/detail</t>
  </si>
  <si>
    <t>TIM SA</t>
  </si>
  <si>
    <t>www.lixinger.com/analytics/company/nyse/TIMB/182616800/detail</t>
  </si>
  <si>
    <t>百利高</t>
  </si>
  <si>
    <t>www.lixinger.com/analytics/company/nyse/PRGO/158536400/detail</t>
  </si>
  <si>
    <t>泰克资源有限公司</t>
  </si>
  <si>
    <t>www.lixinger.com/analytics/company/nyse/TECK/88698600/detail</t>
  </si>
  <si>
    <t>robinhoodmarkets incclassa</t>
  </si>
  <si>
    <t>www.lixinger.com/analytics/company/nasdaq/HOOD/178387900/detail</t>
  </si>
  <si>
    <t>RESIDEO TECHNOLOGIES INC</t>
  </si>
  <si>
    <t>www.lixinger.com/analytics/company/nyse/REZI/174033200/detail</t>
  </si>
  <si>
    <t>基立福</t>
  </si>
  <si>
    <t>www.lixinger.com/analytics/company/nasdaq/GRFS/143856900/detail</t>
  </si>
  <si>
    <t>GALAPAGOS NV</t>
  </si>
  <si>
    <t>www.lixinger.com/analytics/company/nasdaq/GLPG/142187600/detail</t>
  </si>
  <si>
    <t>卫讯公司</t>
  </si>
  <si>
    <t>www.lixinger.com/analytics/company/nasdaq/VSAT/79772100/detail</t>
  </si>
  <si>
    <t>MATSON INC</t>
  </si>
  <si>
    <t>www.lixinger.com/analytics/company/nyse/MATX/345300/detail</t>
  </si>
  <si>
    <t>PVH CORP</t>
  </si>
  <si>
    <t>www.lixinger.com/analytics/company/nyse/PVH/7823900/detail</t>
  </si>
  <si>
    <t>TRONOX HOLDINGS PLC</t>
  </si>
  <si>
    <t>www.lixinger.com/analytics/company/nyse/TROX/153080400/detail</t>
  </si>
  <si>
    <t>阿根廷ypf</t>
  </si>
  <si>
    <t>www.lixinger.com/analytics/company/nyse/YPF/90485100/detail</t>
  </si>
  <si>
    <t>rivianautomotive inc</t>
  </si>
  <si>
    <t>www.lixinger.com/analytics/company/nasdaq/RIVN/187417800/detail</t>
  </si>
  <si>
    <t>SSR MINING INC</t>
  </si>
  <si>
    <t>www.lixinger.com/analytics/company/nasdaq/SSRM/92163800/detail</t>
  </si>
  <si>
    <t>卡罗韦高尔夫</t>
  </si>
  <si>
    <t>www.lixinger.com/analytics/company/nyse/MODG/83746500/detail</t>
  </si>
  <si>
    <t>COHERENT CORP</t>
  </si>
  <si>
    <t>www.lixinger.com/analytics/company/nasdaq/COHR/82031800/detail</t>
  </si>
  <si>
    <t>佳能</t>
  </si>
  <si>
    <t>www.lixinger.com/analytics/company/nyse/CAJ/1698800/detail</t>
  </si>
  <si>
    <t>骏利亨德森集团</t>
  </si>
  <si>
    <t>www.lixinger.com/analytics/company/nyse/JHG/127417300/detail</t>
  </si>
  <si>
    <t>CLARIVATE PLC</t>
  </si>
  <si>
    <t>www.lixinger.com/analytics/company/nyse/CLVT/176404600/detail</t>
  </si>
  <si>
    <t>南非萨索尔</t>
  </si>
  <si>
    <t>www.lixinger.com/analytics/company/nyse/SSL/31459000/detail</t>
  </si>
  <si>
    <t>安富利</t>
  </si>
  <si>
    <t>www.lixinger.com/analytics/company/nasdaq/AVT/885800/detail</t>
  </si>
  <si>
    <t>西班牙电信</t>
  </si>
  <si>
    <t>www.lixinger.com/analytics/company/nyse/TEF/81405200/detail</t>
  </si>
  <si>
    <t>金罗斯黄金</t>
  </si>
  <si>
    <t>www.lixinger.com/analytics/company/nyse/KGC/70181800/detail</t>
  </si>
  <si>
    <t>SEABOARD CORP</t>
  </si>
  <si>
    <t>www.lixinger.com/analytics/company/nyse/SEB/8812100/detail</t>
  </si>
  <si>
    <t>西部数据</t>
  </si>
  <si>
    <t>www.lixinger.com/analytics/company/nasdaq/WDC/10604000/detail</t>
  </si>
  <si>
    <t>丰田汽车</t>
  </si>
  <si>
    <t>www.lixinger.com/analytics/company/nyse/TM/109451700/detail</t>
  </si>
  <si>
    <t>莫霍克工业公司</t>
  </si>
  <si>
    <t>www.lixinger.com/analytics/company/nyse/MHK/85196800/detail</t>
  </si>
  <si>
    <t>巴西电信</t>
  </si>
  <si>
    <t>www.lixinger.com/analytics/company/nyse/VIV/106611900/detail</t>
  </si>
  <si>
    <t>富矿溪能源</t>
  </si>
  <si>
    <t>www.lixinger.com/analytics/company/nyse/CIVI/150958900/detail</t>
  </si>
  <si>
    <t>科尔法克斯</t>
  </si>
  <si>
    <t>www.lixinger.com/analytics/company/nyse/ENOV/142080000/detail</t>
  </si>
  <si>
    <t>飞利浦</t>
  </si>
  <si>
    <t>www.lixinger.com/analytics/company/nyse/PHG/31321600/detail</t>
  </si>
  <si>
    <t>晶科能源</t>
  </si>
  <si>
    <t>www.lixinger.com/analytics/company/nyse/JKS/148151300/detail</t>
  </si>
  <si>
    <t>TWILIO INC</t>
  </si>
  <si>
    <t>www.lixinger.com/analytics/company/nyse/TWLO/144766900/detail</t>
  </si>
  <si>
    <t>ELANCO ANIMAL HEALTH INC</t>
  </si>
  <si>
    <t>www.lixinger.com/analytics/company/nyse/ELAN/173910400/detail</t>
  </si>
  <si>
    <t>BAUSCH &amp; LOMB CORP</t>
  </si>
  <si>
    <t>www.lixinger.com/analytics/company/nyse/BLCO/186074200/detail</t>
  </si>
  <si>
    <t>PLAINS ALL AMERICAN PIPELINE LP</t>
  </si>
  <si>
    <t>www.lixinger.com/analytics/company/nasdaq/PAA/107042300/detail</t>
  </si>
  <si>
    <t>法国电信公司</t>
  </si>
  <si>
    <t>www.lixinger.com/analytics/company/nyse/ORAN/103814300/detail</t>
  </si>
  <si>
    <t>墨西哥电视</t>
  </si>
  <si>
    <t>www.lixinger.com/analytics/company/nyse/TV/91289200/detail</t>
  </si>
  <si>
    <t>西弗雷泽木业</t>
  </si>
  <si>
    <t>www.lixinger.com/analytics/company/nyse/WFG/140238800/detail</t>
  </si>
  <si>
    <t>STELLANTIS NV</t>
  </si>
  <si>
    <t>www.lixinger.com/analytics/company/nyse/STLA/160548400/detail</t>
  </si>
  <si>
    <t>WESTROCK CO</t>
  </si>
  <si>
    <t>www.lixinger.com/analytics/company/nyse/WRK/173284500/detail</t>
  </si>
  <si>
    <t>GRANITE REAL ESTATE INVESTMENT TRUST</t>
  </si>
  <si>
    <t>www.lixinger.com/analytics/company/nyse/GRP.U/156453800/detail</t>
  </si>
  <si>
    <t>通用汽车</t>
  </si>
  <si>
    <t>www.lixinger.com/analytics/company/nyse/GM/146785800/detail</t>
  </si>
  <si>
    <t>巴西航空工业</t>
  </si>
  <si>
    <t>www.lixinger.com/analytics/company/nyse/ERJ/135544400/detail</t>
  </si>
  <si>
    <t>施乐</t>
  </si>
  <si>
    <t>www.lixinger.com/analytics/company/nasdaq/XRX/177045000/detail</t>
  </si>
  <si>
    <t>VIATRIS INC</t>
  </si>
  <si>
    <t>www.lixinger.com/analytics/company/nasdaq/VTRS/179204400/detail</t>
  </si>
  <si>
    <t>iac/interactivecorpnew</t>
  </si>
  <si>
    <t>www.lixinger.com/analytics/company/nasdaq/IAC/180022700/detail</t>
  </si>
  <si>
    <t>柯尔百货</t>
  </si>
  <si>
    <t>www.lixinger.com/analytics/company/nyse/KSS/88563900/detail</t>
  </si>
  <si>
    <t>SUNRUN INC</t>
  </si>
  <si>
    <t>www.lixinger.com/analytics/company/nasdaq/RUN/146936700/detail</t>
  </si>
  <si>
    <t>费森尤斯医疗</t>
  </si>
  <si>
    <t>www.lixinger.com/analytics/company/nyse/FMS/133314100/detail</t>
  </si>
  <si>
    <t>格雷厄姆控股</t>
  </si>
  <si>
    <t>www.lixinger.com/analytics/company/nyse/GHC/10488900/detail</t>
  </si>
  <si>
    <t>LIGHTSPEED COMMERCE INC</t>
  </si>
  <si>
    <t>www.lixinger.com/analytics/company/nyse/LSPD/182330600/detail</t>
  </si>
  <si>
    <t>大全新能源</t>
  </si>
  <si>
    <t>www.lixinger.com/analytics/company/nyse/DQ/147764100/detail</t>
  </si>
  <si>
    <t>MILLICOM INTERNATIONAL CELLULAR SA</t>
  </si>
  <si>
    <t>www.lixinger.com/analytics/company/nasdaq/TIGO/91295800/detail</t>
  </si>
  <si>
    <t>巴西电力</t>
  </si>
  <si>
    <t>www.lixinger.com/analytics/company/nyse/EBR/143912400/detail</t>
  </si>
  <si>
    <t>TELADOC HEALTH INC</t>
  </si>
  <si>
    <t>www.lixinger.com/analytics/company/nyse/TDOC/147744900/detail</t>
  </si>
  <si>
    <t>日月光半导体</t>
  </si>
  <si>
    <t>www.lixinger.com/analytics/company/nyse/ASX/112241100/detail</t>
  </si>
  <si>
    <t>固特异轮胎橡胶</t>
  </si>
  <si>
    <t>www.lixinger.com/analytics/company/nasdaq/GT/4258200/detail</t>
  </si>
  <si>
    <t>美国钢铁</t>
  </si>
  <si>
    <t>www.lixinger.com/analytics/company/nyse/X/116330200/detail</t>
  </si>
  <si>
    <t>沃达丰</t>
  </si>
  <si>
    <t>www.lixinger.com/analytics/company/nasdaq/VOD/83992300/detail</t>
  </si>
  <si>
    <t>探索频道</t>
  </si>
  <si>
    <t>www.lixinger.com/analytics/company/nasdaq/WBD/143710700/detail</t>
  </si>
  <si>
    <t>派拉蒙环球b</t>
  </si>
  <si>
    <t>www.lixinger.com/analytics/company/nasdaq/PARA/81382800/detail</t>
  </si>
  <si>
    <t>安赛乐米塔尔</t>
  </si>
  <si>
    <t>www.lixinger.com/analytics/company/nyse/MT/124342900/detail</t>
  </si>
  <si>
    <t>natura&amp;coholdingsa</t>
  </si>
  <si>
    <t>www.lixinger.com/analytics/company/nyse/NTCO/177696700/detail</t>
  </si>
  <si>
    <t>韩国电信</t>
  </si>
  <si>
    <t>www.lixinger.com/analytics/company/nyse/KT/89245000/detail</t>
  </si>
  <si>
    <t>欢聚时代</t>
  </si>
  <si>
    <t>www.lixinger.com/analytics/company/nasdaq/YY/153023800/detail</t>
  </si>
  <si>
    <t>本田汽车</t>
  </si>
  <si>
    <t>www.lixinger.com/analytics/company/nyse/HMC/71515300/detail</t>
  </si>
  <si>
    <t>浦项钢铁</t>
  </si>
  <si>
    <t>www.lixinger.com/analytics/company/nyse/PKX/88913200/detail</t>
  </si>
  <si>
    <t>LUMEN TECHNOLOGIES INC</t>
  </si>
  <si>
    <t>www.lixinger.com/analytics/company/nyse/LUMN/1892600/detail</t>
  </si>
  <si>
    <t>自由全球classa</t>
  </si>
  <si>
    <t>www.lixinger.com/analytics/company/nasdaq/LBTYA/157058500/detail</t>
  </si>
  <si>
    <t>以星航运</t>
  </si>
  <si>
    <t>www.lixinger.com/analytics/company/nyse/ZIM/165412600/detail</t>
  </si>
  <si>
    <t>TRANSOCEAN LTD</t>
  </si>
  <si>
    <t>www.lixinger.com/analytics/company/nyse/RIG/145150500/detail</t>
  </si>
  <si>
    <t>COVETRUS INC</t>
  </si>
  <si>
    <t>www.lixinger.com/analytics/company/nasdaq/CVET/175283600/detail</t>
  </si>
  <si>
    <t>大陆能源</t>
  </si>
  <si>
    <t>www.lixinger.com/analytics/company/nyse/CLR/73283400/detail</t>
  </si>
  <si>
    <t>IRONSOURCE LTD</t>
  </si>
  <si>
    <t>www.lixinger.com/analytics/company/nyse/IS/183743000/detail</t>
  </si>
  <si>
    <t>来宝集团</t>
  </si>
  <si>
    <t>www.lixinger.com/analytics/company/nyse/NE/145889100/detail</t>
  </si>
  <si>
    <t>尼尔森</t>
  </si>
  <si>
    <t>www.lixinger.com/analytics/company/nyse/NLSN/149263300/detail</t>
  </si>
  <si>
    <t>SHELL MIDSTREAM PARTNERS LP</t>
  </si>
  <si>
    <t>www.lixinger.com/analytics/company/nyse/SHLX/161046600/detail</t>
  </si>
  <si>
    <t>TERMINIX GLOBAL HOLDINGS INC</t>
  </si>
  <si>
    <t>www.lixinger.com/analytics/company/nyse/TMX/142887500/detail</t>
  </si>
  <si>
    <t>AMCX</t>
  </si>
  <si>
    <t>AGX</t>
  </si>
  <si>
    <t>ASRT</t>
  </si>
  <si>
    <t>AVIR</t>
  </si>
  <si>
    <t>ATKR</t>
  </si>
  <si>
    <t>BKE</t>
  </si>
  <si>
    <t>CLMB</t>
  </si>
  <si>
    <t>CODX</t>
  </si>
  <si>
    <t>DLHC</t>
  </si>
  <si>
    <t>DVAX</t>
  </si>
  <si>
    <t>MO</t>
  </si>
  <si>
    <t>AMN</t>
  </si>
  <si>
    <t>DELL</t>
  </si>
  <si>
    <t>DGRX</t>
  </si>
  <si>
    <t>ERF</t>
  </si>
  <si>
    <t>EXPD</t>
  </si>
  <si>
    <t>FLGT</t>
  </si>
  <si>
    <t>GTX</t>
  </si>
  <si>
    <t>GPRO</t>
  </si>
  <si>
    <t>HVT</t>
  </si>
  <si>
    <t>HSII</t>
  </si>
  <si>
    <t>HPQ</t>
  </si>
  <si>
    <t>HDSN</t>
  </si>
  <si>
    <t>INVA</t>
  </si>
  <si>
    <t>IRWD</t>
  </si>
  <si>
    <t>ITOS</t>
  </si>
  <si>
    <t>JILL</t>
  </si>
  <si>
    <t>MCFT</t>
  </si>
  <si>
    <t>MED</t>
  </si>
  <si>
    <t>MRNA</t>
  </si>
  <si>
    <t>PRDO</t>
  </si>
  <si>
    <t>PFE</t>
  </si>
  <si>
    <t>RHI</t>
  </si>
  <si>
    <t>SCPL</t>
  </si>
  <si>
    <t>SIGA</t>
  </si>
  <si>
    <t>SWN</t>
  </si>
  <si>
    <t>TNET</t>
  </si>
  <si>
    <t>UNTC</t>
  </si>
  <si>
    <t>VNDA</t>
  </si>
  <si>
    <t>HCC</t>
  </si>
  <si>
    <t>WSM</t>
  </si>
  <si>
    <t>WW</t>
  </si>
  <si>
    <t>'W','DPZ','SABR','EVOP','ACDC','BBWI','YUM','KNTK','FUN','BHC','MYOV','CCOI','OGN','IHG','OTIS','BA','NTNX','BOX','BCRX','BRBR','TDG','PZZA','LOW','WING','MLCO','CAH','LESL','PTCT','RNG','WYNN','DBX','VRSN','PM','MAS','ALVO','MTCH','HRB','FICO','HCA','LII','SPLK','ETSY','MCD','MCK','WEBR','MSCI','STX','OSH','PLNT','TPX','HLT','PLTK','UI','BOWL','FTNT','WIX','AON','SPR','MSI','ABC','INSM','LYV','CYTK','MTD','ALNY','HD','WK','ZTO','SSD','MGEE','CBZ','MIDD','RIO','SPGI','HEP','SAP','IGT','OLN','LEG','HCM','ESLT','WPM','ABEV','PNR','SLAB','CNM','SHOO','CWEN','BDX','SNA','PCAR','MMS','AGCO','DRVN','H','CRCT','DGX','SYNA','EQNR','WIT','TRU','VRNT','WPP','AYI','IART','BLD','GIL','SKY','MGM','JCI','GFI','ALV','SIM','LKQ','TEX','BDC','TKC','BC','EXAS','SWKS','UAL','SPXC','HQY','RYN','UTHR','WTW','INST','FLR','HI','NEX','CPA','MTZ','META','DAR','CMS','ACHC','CIEN','LFUS','GNRC','DASH','NCNO','WEC','FSLR','GTLS','CNXC','NUVA','KOF','CWT','PLXS','CCCS','GLW','DTM','JD','AMED','LIVN','SMCI','MAXR','PFGC','ASO','PDCO','ICE','NUS','J','UAA','BRC','TMUS','ORA','GO','SUZ','BILL','DORM','LTHM','CEG','CRUS','CTSH','PXD','FUTU','PKI','ESAB','GE','IR','SUPN','XOM','CE','TKR','ARCH','RBC','FRPT','DIOD','FLS','ACIW','CERT','TDY','FTV','AN','LYB','NVT','MRTX','BAK','FUL','CCJ','BERY','CEIX','AY','LITE','ZWS','IOSP','SMPL','JNPR','SNN','KWR','CHT','XEL','SQ','NXST','FLEX','COO','CME','PSN','AGTI','OLLI','SSNC','AU','CACI','CRM','RPRX','FCFS','AZEK','NCR','VLO','EVO','ADI','CEQP','SIG','PTEN','S','CVCO','MTDR','ABCL','SO','BEKE','HOG','XPO','STLD','ONTO','NSIT','CABO','BMBL','INFA','CVX','ONEM','ASGN','ZBH','LHX','TXT','PPC','OUT','KLIC','EXEL','OTEX','ESE','ROKU','ITRI','INGR','RTX','SJM','DNA','LH','MQ','ENS','QRVO','EPD','DOW','ST','OSK','SPB','MPC','MDT','OTTR','ZD','WY','BKR','FISV','MLI','OI','CALM','YMM','SCL','GXO','CMCSA','AIMC','SGRY','ROG','USFD','TAC','OMCL','BABA','PAG','UFPI','APG','UNVR','SRCL','BECN','NUE','WHR','PBH','OKTA','OXY','LBRT','ICLR','ICUI','UNF','IDA','NEM','GRAB','CAE','MOG.A','APP','EMN','ADM','NVEI','SKX','HAYW','AVNT','FDX','VIPS','ESI','HELE','WERN','MRVL','CRSP','AEO','IPGP','TTWO','BP','BLDR','MAN','ICL','BNTX','PINC','KMX','WAB','CNP','AMD','CIG','CWK','NEP','GEF','AMKR','LUV','UHS','CSAN','CD','OC','ETR','HP','NPO','RS','ARLP','LEA','OGE','MDU','SUM','JOBY','XPEV','ZG','ZG','OR','CTLT','EURN','CMC','DIS','HL','ABM','GMS','ALC','AKO.B','PSX','EXC','ASH','AMR','MRCY','PLUG','LCII','WMK','PCG','SBSW','CCU','CNC','KMT','OGS','CTVA','ADNT','ERIC','SANM','M','TWNK','QS','CVS','EDU','AG','RCM','RUSHA','IMO','SAGE','CVE','CRH','POST','IHS','FTI','WOR','KFY','B','TRMD','ITGR','KD','MGA','NOV','GPS','ED','ATO','CRC','SNY','HUBG','IFF','TGNA','THS','PAGP','BG','VSH','VST','UMC','BKH','AGI','NWL','EC','PPL','PAAS','TCOM','RLX','SNDR','NE','AEM','VIR','PBR','CTRA','HUN','BB','WCC','PCH','BIO','ABG','NTR','AA','BTU','RNW','PSO','MRO','WIRE','DAN','BIDU','WB','ALK','ODP','BWA','BTG','FOXA','NRG','XRAY','MKSI','LBRDA','DD','TTE','GDS','GOLD','PTVE','NOK','EPC','QFIN','ALE','IP','DXC','BCC','UGP','NWSA','ARNC','WLK','NVST','PNW','TAL','COIN','AZTA','JLL','MTX','UGI','PENN','FMX','SBS','MOS','RRX','URBN','DCP','STNG','CLF','AUY','SHEL','SM','KNX','TEVA','GGB','MEOH','SWX','KEX','ATHM','ACA','ARW','SWK','UNFI','WOOF','AHCO','WDS','QDEL','GPN','CHRD','BTI','MU','FRO','F','GPI','TSN','FWONA','SNX','NTCT','THO','INTC','GTES','ET','CSIQ','SAVE','E','DINO','LAD','PBF','STNE','IBA','FL','BTEGF','TAK','SYNH','AZPN','NOMD','HPE','KHC','TIMB','PRGO','TECK','HOOD','REZI','GRFS','GLPG','VSAT','MATX','PVH','TROX','YPF','RIVN','SSRM','MODG','COHR','CAJ','JHG','CLVT','SSL','AVT','TEF','KGC','SEB','WDC','TM','MHK','VIV','CIVI','ENOV','PHG','JKS','TWLO','ELAN','BLCO','PAA','ORAN','TV','WFG','STLA','WRK','GRP.U','GM','ERJ','XRX','VTRS','IAC','KSS','RUN','FMS','GHC','LSPD','DQ','TIGO','EBR','TDOC','ASX','GT','X','VOD','WBD','PARA','MT','NTCO','KT','YY','HMC','PKX','LUMN','LBTYA','ZIM','RIG','CVET','CLR','IS','NE','NLSN','SHLX','TMX','AMCX','AGX','ASRT','AVIR','ATKR','BKE','CLMB','CODX','DLHC','DVAX','MO','AMN','DELL','DGRX','ERF','EXPD','FLGT','GTX','GPRO','HVT','HSII','HPQ','HDSN','INVA','IRWD','ITOS','JILL','MCFT','MED','MRNA','PRDO','PFE','RHI','SCPL','SIGA','SWN','TNET','UNTC','VNDA','HCC','WSM','WW'</t>
  </si>
  <si>
    <t>600507</t>
  </si>
  <si>
    <t>方大特钢</t>
  </si>
  <si>
    <t>特钢</t>
  </si>
  <si>
    <t>600662</t>
  </si>
  <si>
    <t>外服控股</t>
  </si>
  <si>
    <t>互联网信息服务</t>
  </si>
  <si>
    <t>000651</t>
  </si>
  <si>
    <t>格力电器</t>
  </si>
  <si>
    <t>600782</t>
  </si>
  <si>
    <t>新钢股份</t>
  </si>
  <si>
    <t>普钢</t>
  </si>
  <si>
    <t>000550</t>
  </si>
  <si>
    <t>江铃汽车</t>
  </si>
  <si>
    <t>商用载货车</t>
  </si>
  <si>
    <t>000523</t>
  </si>
  <si>
    <t>002116</t>
  </si>
  <si>
    <t>600546</t>
  </si>
  <si>
    <t>002668</t>
  </si>
  <si>
    <t>000928</t>
  </si>
  <si>
    <t>000921</t>
  </si>
  <si>
    <t>601699</t>
  </si>
  <si>
    <t>002356</t>
  </si>
  <si>
    <t>002030</t>
  </si>
  <si>
    <t>300390</t>
  </si>
  <si>
    <t>605166</t>
  </si>
  <si>
    <t>600777</t>
  </si>
  <si>
    <t>000626</t>
  </si>
  <si>
    <t>600511</t>
  </si>
  <si>
    <t>300158</t>
  </si>
  <si>
    <t>000822</t>
  </si>
  <si>
    <t>600078</t>
  </si>
  <si>
    <t>002758</t>
  </si>
  <si>
    <t>601117</t>
  </si>
  <si>
    <t>000707</t>
  </si>
  <si>
    <t>600846</t>
  </si>
  <si>
    <t>002756</t>
  </si>
  <si>
    <t>002164</t>
  </si>
  <si>
    <t>600389</t>
  </si>
  <si>
    <t>002240</t>
  </si>
  <si>
    <t>600820</t>
  </si>
  <si>
    <t>000404</t>
  </si>
  <si>
    <t>000792</t>
  </si>
  <si>
    <t>002460</t>
  </si>
  <si>
    <t>600438</t>
  </si>
  <si>
    <t>600113</t>
  </si>
  <si>
    <t>300639</t>
  </si>
  <si>
    <t>603565</t>
  </si>
  <si>
    <t>002466</t>
  </si>
  <si>
    <t>605399</t>
  </si>
  <si>
    <t>601928</t>
  </si>
  <si>
    <t>600188</t>
  </si>
  <si>
    <t>002175</t>
  </si>
  <si>
    <t>600403</t>
  </si>
  <si>
    <t>600035</t>
  </si>
  <si>
    <t>600596</t>
  </si>
  <si>
    <t>002759</t>
  </si>
  <si>
    <t>300256</t>
  </si>
  <si>
    <t>600382</t>
  </si>
  <si>
    <t>600104</t>
  </si>
  <si>
    <t>300343</t>
  </si>
  <si>
    <t>300773</t>
  </si>
  <si>
    <t>600348</t>
  </si>
  <si>
    <t>000848</t>
  </si>
  <si>
    <t>603519</t>
  </si>
  <si>
    <t>600284</t>
  </si>
  <si>
    <t>603071</t>
  </si>
  <si>
    <t>603213</t>
  </si>
  <si>
    <t>600518</t>
  </si>
  <si>
    <t>600121</t>
  </si>
  <si>
    <t>000408</t>
  </si>
  <si>
    <t>600123</t>
  </si>
  <si>
    <t>600970</t>
  </si>
  <si>
    <t>'301338.SZ','688322.SS','001316.SZ','002617.SZ','001339.SZ','002247.SZ','605068.SS','300701.SZ','002975.SZ','301212.SZ','603023.SS','688110.SS','301149.SZ','300239.SZ','301270.SZ','002892.SZ','605296.SS','301200.SZ','001238.SZ','600523.SS','601958.SS','300251.SZ','000975.SZ','600211.SS','300548.SZ','002275.SZ','688108.SS','300821.SZ','301234.SZ','300951.SZ','002577.SZ','605580.SS','001266.SZ','301128.SZ','300921.SZ','300887.SZ','000962.SZ','603888.SS','300943.SZ','300853.SZ','001234.SZ','600993.SS','000860.SZ','605339.SS','688291.SS','601975.SS','688080.SS','301349.SZ','002515.SZ','688511.SS','001259.SZ','688045.SS','688292.SS','605198.SS','603099.SS','300768.SZ','000810.SZ','688280.SS','301171.SZ','000913.SZ','002820.SZ','001226.SZ','002597.SZ','301175.SZ','301097.SZ','301056.SZ','603516.SS','688656.SS','300845.SZ','603992.SS','002145.SZ','688626.SS','000519.SZ','300817.SZ','603303.SS','688282.SS','600770.SS','603528.SS','300843.SZ','603160.SS','688020.SS','688058.SS','301023.SZ','002884.SZ','300445.SZ','300570.SZ','300494.SZ','605077.SS','688169.SS','002497.SZ','002749.SZ','688061.SS','002651.SZ','688076.SS','002486.SZ','300654.SZ','688689.SS','600749.SS','300502.SZ','002136.SZ','301298.SZ','301102.SZ','300351.SZ','300451.SZ','002695.SZ','600602.SS','301138.SZ','002362.SZ','688410.SS','600241.SS','605305.SS','301285.SZ','688033.SS','000935.SZ','688310.SS','002148.SZ','688409.SS','601890.SS','688137.SS','002835.SZ','300939.SZ','300888.SZ','603155.SS','688196.SS','300369.SZ','600426.SS','605009.SS','002315.SZ','300333.SZ','301159.SZ','600576.SS','601595.SS','300796.SZ','301181.SZ','301369.SZ','001231.SZ','605080.SS','002978.SZ','688267.SS','301238.SZ','688246.SS','603583.SS','300791.SZ','000893.SZ','301083.SZ','301191.SZ','300770.SZ','300766.SZ','603237.SS','000538.SZ','300993.SZ','603922.SS','301215.SZ','301119.SZ','300819.SZ','300915.SZ','603551.SS','688132.SS','603387.SS','002001.SZ','300667.SZ','000423.SZ','603533.SS','001216.SZ','300360.SZ','300922.SZ','603757.SS','301016.SZ','300378.SZ','688244.SS','600566.SS','600538.SS','300414.SZ','002760.SZ','002580.SZ','688566.SS','002984.SZ','003027.SZ','301282.SZ','301331.SZ','300497.SZ','300294.SZ','300018.SZ','301130.SZ','688030.SS','600557.SS','301218.SZ','688303.SS','002982.SZ','688286.SS','688087.SS','002646.SZ','002833.SZ','300531.SZ','300673.SZ','300397.SZ','301067.SZ','000403.SZ','605028.SS','002354.SZ','300792.SZ','301185.SZ','002033.SZ','300066.SZ','688613.SS','002970.SZ','688981.SS','301300.SZ','002561.SZ','601089.SS','300288.SZ','300527.SZ','688302.SS','002194.SZ','600750.SS','301188.SZ','300642.SZ','688273.SS','002166.SZ','301103.SZ','002609.SZ','603189.SS','301009.SZ','603128.SS','300112.SZ','300109.SZ','301132.SZ','300765.SZ','605398.SS','300928.SZ','002956.SZ','603217.SS','688580.SS','688136.SS','002127.SZ','002755.SZ','688387.SS','301152.SZ','300785.SZ','300825.SZ','001332.SZ','300786.SZ','301136.SZ','300985.SZ','300873.SZ','600616.SS','300365.SZ','605599.SS','603040.SS','300317.SZ','688658.SS','688608.SS','301000.SZ','603599.SS','001212.SZ','002660.SZ','301100.SZ','600226.SS','301121.SZ','301107.SZ','600783.SS','300305.SZ','601969.SS','301019.SZ','688203.SS','002650.SZ','000416.SZ','301077.SZ','002643.SZ','605086.SS','600645.SS','603068.SS','605377.SS','600053.SS','301049.SZ','688687.SS','000513.SZ','300248.SZ','301201.SZ','001331.SZ','688079.SS','300892.SZ','300543.SZ','605259.SS','301092.SZ','003010.SZ','300875.SZ','300448.SZ','688176.SS','300386.SZ','300456.SZ','603199.SS','002405.SZ','603258.SS','688182.SS','002933.SZ','300039.SZ','300660.SZ','605555.SS','002312.SZ','600110.SS','002678.SZ','301389.SZ','688217.SS','002020.SZ','600641.SS','002270.SZ','001217.SZ','605033.SS','300908.SZ','688168.SS','301187.SZ','688265.SS','603187.SS','300935.SZ','600246.SS','002993.SZ','300676.SZ','000997.SZ','688189.SS','688230.SS','688210.SS','600419.SS','300860.SZ','301027.SZ','002152.SZ','300798.SZ','600977.SS','002790.SZ','300105.SZ','605588.SS','300007.SZ','002308.SZ','301222.SZ','002869.SZ','688130.SS','002773.SZ','002825.SZ','300236.SZ','301003.SZ','301163.SZ','301047.SZ','605136.SS','605507.SS','300042.SZ','688163.SS','600868.SS','002332.SZ','603015.SS','600573.SS','002658.SZ','300139.SZ','000729.SZ','603698.SS','688039.SS','002273.SZ','603859.SS','600201.SS','688325.SS','002229.SZ','002705.SZ','600054.SS','300170.SZ','300562.SZ','300429.SZ','300901.SZ','002900.SZ','002495.SZ','603711.SS','300130.SZ','688455.SS','301326.SZ','688115.SS','301205.SZ','688125.SS','301220.SZ','603052.SS','600838.SS','688158.SS','301042.SZ','002819.SZ','301258.SZ','600062.SS','300810.SZ','301006.SZ','603798.SS','603587.SS','002263.SZ','300741.SZ','605090.SS','301248.SZ','603956.SS','000722.SZ','002444.SZ','002297.SZ','603087.SS','300597.SZ','605389.SS','603109.SS','300989.SZ','301127.SZ','000045.SZ','300107.SZ','603102.SS','300801.SZ','301197.SZ','603201.SS','300965.SZ','000888.SZ','688207.SS','003008.SZ','300959.SZ','600730.SS','300246.SZ','000565.SZ','603115.SS','688799.SS','688353.SS','600735.SS','301221.SZ','301086.SZ','603002.SS','002330.SZ','600880.SS','603810.SS','603535.SS','301190.SZ','688228.SS','001210.SZ','600724.SS','000869.SZ','605289.SS','301366.SZ','300683.SZ','688049.SS','301166.SZ','600794.SS','300148.SZ','300081.SZ','300006.SZ','300308.SZ','600640.SS','301135.SZ','688330.SS','300822.SZ','603687.SS','601156.SS','300435.SZ','300315.SZ','600613.SS','300155.SZ','603301.SS','300016.SZ','688175.SS','603106.SS','603010.SS','688227.SS','688767.SS','605018.SS','605180.SS','300183.SZ','603036.SS','688426.SS','301186.SZ','301217.SZ','300002.SZ','603393.SS','603948.SS','688416.SS','301309.SZ','001230.SZ','688335.SS','301227.SZ','300788.SZ','601579.SS','300609.SZ','002174.SZ','603339.SS','301106.SZ','603790.SS','688253.SS','601116.SS','605169.SS','301219.SZ','688275.SS','300818.SZ','300652.SZ','300805.SZ','301318.SZ','600007.SS','301110.SZ','688011.SS','688338.SS','688073.SS','688289.SS','600080.SS','301150.SZ','300771.SZ','003023.SZ','688553.SS','002012.SZ','600679.SS','000429.SZ','601225.SS','300968.SZ','301065.SZ','603168.SS','002461.SZ','605003.SS','003018.SZ','301176.SZ','601388.SS','301115.SZ','301139.SZ','300326.SZ','688332.SS','301265.SZ','002519.SZ','000715.SZ','300306.SZ','603390.SS','300245.SZ','688336.SS','003041.SZ','002962.SZ','301279.SZ','603630.SS','300193.SZ','603999.SS','688312.SS','600380.SS','000859.SZ','300079.SZ','301365.SZ','430139.SZ','600746.SS','301123.SZ','300289.SZ','002649.SZ','300485.SZ','688393.SS','688737.SS','603508.SS','603230.SS','002053.SZ','300641.SZ','603006.SS','002492.SZ','301330.SZ','000676.SZ','301290.SZ','300729.SZ','301206.SZ','688571.SS','002951.SZ','601568.SS','605336.SS','000096.SZ','000529.SZ','603950.SS','300834.SZ','301237.SZ','600866.SS','688550.SS','600135.SS','603079.SS','600398.SS','600859.SS','000886.SZ','688062.SS','001209.SZ','688184.SS','688095.SS','603096.SS','603165.SS','600636.SS','301199.SZ','603579.SS','688317.SS','301356.SZ','600059.SS','002331.SZ','605566.SS','300735.SZ','300154.SZ','000537.SZ','301108.SZ','603163.SS','600229.SS','688172.SS','600179.SS','002038.SZ','688151.SS','688068.SS','301087.SZ','002064.SZ','301088.SZ','002469.SZ','603767.SS','600527.SS','688569.SS','600516.SS','300004.SZ','603556.SS','600825.SS','002108.SZ','601360.SS','300017.SZ','002763.SZ','600814.SS','603758.SS','600618.SS','688069.SS','002173.SZ','301093.SZ','600187.SS','300137.SZ','603041.SS','002181.SZ','300196.SZ','600650.SS','002932.SZ','301148.SZ','000813.SZ','300133.SZ','600271.SS','002252.SZ','601872.SS','002243.SZ','600106.SS','000636.SZ','301196.SZ','300883.SZ','688788.SS','301151.SZ','601218.SS','601515.SS','603077.SS','301061.SZ','688399.SS','600167.SS','605189.SS','600987.SS','301276.SZ','002177.SZ','603590.SS','688075.SS','002100.SZ','601088.SS','300259.SZ','300381.SZ','688298.SS','600252.SS','605577.SS','603511.SS','000631.SZ','600052.SS','000833.SZ','688739.SS','605288.SS','600535.SS','603585.SS','002381.SZ','003016.SZ','600249.SS','600955.SS','001296.SZ','300800.SZ','300695.SZ','300970.SZ','688370.SS','601921.SS','601001.SS','603610.SS','605500.SS','002558.SZ','300976.SZ','000919.SZ','002026.SZ','601616.SS','605177.SS','001218.SZ','002224.SZ','001288.SZ','688606.SS','000655.SZ','002022.SZ','601222.SS','002588.SZ','600830.SS','000557.SZ','605100.SS','600395.SS','002659.SZ','603766.SS','600938.SS','002627.SZ','000690.SZ','603788.SS','688057.SS','300572.SZ','002435.SZ','000731.SZ','601098.SS','000639.SZ','002195.SZ','603586.SS','603095.SS','002432.SZ','000912.SZ','601228.SS','600097.SS','300230.SZ','000036.SZ','002887.SZ','002638.SZ','000088.SZ','000419.SZ','002282.SZ','600633.SS','300983.SZ','002322.SZ','300599.SZ','000099.SZ','600503.SS','600874.SS','300291.SZ','002106.SZ','600018.SS','002109.SZ','601996.SS','600420.SS','000725.SZ','600854.SS','603869.SS','600628.SS','600125.SS','000635.SZ','600568.SS','000828.SZ','001213.SZ','002091.SZ','002772.SZ','600012.SS','601811.SS','601019.SS','000789.SZ','000719.SZ','000923.SZ','603727.SS','603900.SS','601018.SS','002574.SZ','601989.SS','600751.SS','300271.SZ','601188.SS','300981.SZ','002406.SZ','600075.SS','601801.SS','300677.SZ','603116.SS','688459.SS','601326.SS','002393.SZ','000552.SZ','601919.SS','002440.SZ','600037.SS','600219.SS','601000.SS','603003.SS','601101.SS','600585.SS','002582.SZ','600971.SS','601006.SS','002067.SZ','600637.SS','002233.SZ','600373.SS','600997.SS','600676.SS','002382.SZ','000726.SZ','000627.SZ','600126.SS','000623.SZ','600716.SS','601107.SS','600894.SS','600507.SS','600662.SS','000651.SZ','600782.SS','000550.SZ','000523.SZ','002116.SZ','600546.SS','002668.SZ','000928.SZ','000921.SZ','601699.SS','002356.SZ','002030.SZ','300390.SZ','605166.SS','600777.SS','000626.SZ','600511.SS','300158.SZ','000822.SZ','600078.SS','002758.SZ','601117.SS','000707.SZ','600846.SS','002756.SZ','002164.SZ','600389.SS','002240.SZ','600820.SS','000404.SZ','000792.SZ','002460.SZ','600438.SS','600113.SS','300639.SZ','603565.SS','002466.SZ','605399.SS','601928.SS','600188.SS','002175.SZ','600403.SS','600035.SS','600596.SS','002759.SZ','300256.SZ','600382.SS','600104.SS','300343.SZ','300773.SZ','600348.SS','000848.SZ','603519.SS','600284.SS','603071.SS','603213.SS','600518.SS','600121.SS','000408.SZ','600123.SS','600970.SS'</t>
  </si>
  <si>
    <t>Date of Data</t>
  </si>
  <si>
    <t>Code</t>
  </si>
  <si>
    <t>Nikkei Industrial Classification</t>
  </si>
  <si>
    <t>Sector</t>
  </si>
  <si>
    <t>Weight</t>
  </si>
  <si>
    <t>NISSUI CORP.</t>
  </si>
  <si>
    <t>Fishery</t>
  </si>
  <si>
    <t>Consumer Goods</t>
  </si>
  <si>
    <t>INPEX CORP.</t>
  </si>
  <si>
    <t>Mining</t>
  </si>
  <si>
    <t>Materials</t>
  </si>
  <si>
    <t>COMSYS HOLDINGS CORP.</t>
  </si>
  <si>
    <t>Construction</t>
  </si>
  <si>
    <t>Capital Goods/Others</t>
  </si>
  <si>
    <t>TAISEI CORP.</t>
  </si>
  <si>
    <t>OBAYASHI CORP.</t>
  </si>
  <si>
    <t>SHIMIZU CORP.</t>
  </si>
  <si>
    <t>HASEKO CORP.</t>
  </si>
  <si>
    <t>KAJIMA CORP.</t>
  </si>
  <si>
    <t>DAIWA HOUSE IND. CO., LTD.</t>
  </si>
  <si>
    <t>SEKISUI HOUSE, LTD.</t>
  </si>
  <si>
    <t>JGC HOLDINGS CORP.</t>
  </si>
  <si>
    <t>NISSHIN SEIFUN GROUP INC.</t>
  </si>
  <si>
    <t>Foods</t>
  </si>
  <si>
    <t>MEIJI HOLDINGS CO., LTD.</t>
  </si>
  <si>
    <t>NH FOODS LTD.</t>
  </si>
  <si>
    <t>M3, INC.</t>
  </si>
  <si>
    <t>Services</t>
  </si>
  <si>
    <t>DENA CO., LTD.</t>
  </si>
  <si>
    <t>SAPPORO HOLDINGS LTD.</t>
  </si>
  <si>
    <t>ASAHI GROUP HOLDINGS, LTD.</t>
  </si>
  <si>
    <t>KIRIN HOLDINGS CO., LTD.</t>
  </si>
  <si>
    <t>TAKARA HOLDINGS INC.</t>
  </si>
  <si>
    <t>SOJITZ CORP.</t>
  </si>
  <si>
    <t>Trading Companies</t>
  </si>
  <si>
    <t>KIKKOMAN CORP.</t>
  </si>
  <si>
    <t>AJINOMOTO CO., INC.</t>
  </si>
  <si>
    <t>NICHIREI CORP.</t>
  </si>
  <si>
    <t>JAPAN TOBACCO INC.</t>
  </si>
  <si>
    <t>J.FRONT RETAILING CO., LTD.</t>
  </si>
  <si>
    <t>Retail</t>
  </si>
  <si>
    <t>ISETAN MITSUKOSHI HOLDINGS LTD.</t>
  </si>
  <si>
    <t>TOYOBO CO., LTD.</t>
  </si>
  <si>
    <t>Textiles &amp; Apparel</t>
  </si>
  <si>
    <t>TOKYU FUDOSAN HOLDINGS CORP.</t>
  </si>
  <si>
    <t>Real Estate</t>
  </si>
  <si>
    <t>SEVEN &amp; I HOLDINGS CO., LTD.</t>
  </si>
  <si>
    <t>TEIJIN LTD.</t>
  </si>
  <si>
    <t>TORAY INDUSTRIES, INC.</t>
  </si>
  <si>
    <t>KURARAY CO., LTD.</t>
  </si>
  <si>
    <t>Chemicals</t>
  </si>
  <si>
    <t>ASAHI KASEI CORP.</t>
  </si>
  <si>
    <t>SUMCO CORP.</t>
  </si>
  <si>
    <t>Nonferrous Metals</t>
  </si>
  <si>
    <t>NEXON CO., LTD.</t>
  </si>
  <si>
    <t>OJI HOLDINGS CORP.</t>
  </si>
  <si>
    <t>Pulp &amp; Paper</t>
  </si>
  <si>
    <t>NIPPON PAPER INDUSTRIES CO., LTD.</t>
  </si>
  <si>
    <t>SHOWA DENKO K.K.</t>
  </si>
  <si>
    <t>SUMITOMO CHEMICAL CO., LTD.</t>
  </si>
  <si>
    <t>NISSAN CHEMICAL CORP.</t>
  </si>
  <si>
    <t>TOSOH CORP.</t>
  </si>
  <si>
    <t>TOKUYAMA CORP.</t>
  </si>
  <si>
    <t>DENKA CO., LTD.</t>
  </si>
  <si>
    <t>SHIN-ETSU CHEMICAL CO., LTD.</t>
  </si>
  <si>
    <t>KYOWA KIRIN CO., LTD.</t>
  </si>
  <si>
    <t>Pharmaceuticals</t>
  </si>
  <si>
    <t>Technology</t>
  </si>
  <si>
    <t>MITSUI CHEMICALS, INC.</t>
  </si>
  <si>
    <t>MITSUBISHI CHEMICAL GROUP CORP.</t>
  </si>
  <si>
    <t>UBE CORP.</t>
  </si>
  <si>
    <t>DENTSU GROUP INC.</t>
  </si>
  <si>
    <t>KAO CORP.</t>
  </si>
  <si>
    <t>TAKEDA PHARMACEUTICAL CO., LTD.</t>
  </si>
  <si>
    <t>ASTELLAS PHARMA INC.</t>
  </si>
  <si>
    <t>SUMITOMO PHARMA CO., LTD.</t>
  </si>
  <si>
    <t>SHIONOGI &amp; CO., LTD.</t>
  </si>
  <si>
    <t>CHUGAI PHARMACEUTICAL CO., LTD.</t>
  </si>
  <si>
    <t>EISAI CO., LTD.</t>
  </si>
  <si>
    <t>TERUMO CORP.</t>
  </si>
  <si>
    <t>Precision Instruments</t>
  </si>
  <si>
    <t>DAIICHI SANKYO CO., LTD.</t>
  </si>
  <si>
    <t>OTSUKA HOLDINGS CO., LTD.</t>
  </si>
  <si>
    <t>DIC CORP.</t>
  </si>
  <si>
    <t>Z HOLDINGS CORP.</t>
  </si>
  <si>
    <t>TREND MICRO INC.</t>
  </si>
  <si>
    <t>CYBERAGENT, INC.</t>
  </si>
  <si>
    <t>RAKUTEN GROUP, INC.</t>
  </si>
  <si>
    <t>FUJIFILM HOLDINGS CORP.</t>
  </si>
  <si>
    <t>KONICA MINOLTA, INC.</t>
  </si>
  <si>
    <t>SHISEIDO CO., LTD.</t>
  </si>
  <si>
    <t>IDEMITSU KOSAN CO., LTD.</t>
  </si>
  <si>
    <t>Petroleum</t>
  </si>
  <si>
    <t>ENEOS HOLDINGS, INC.</t>
  </si>
  <si>
    <t>THE YOKOHAMA RUBBER CO., LTD.</t>
  </si>
  <si>
    <t>Rubber</t>
  </si>
  <si>
    <t>BRIDGESTONE CORP.</t>
  </si>
  <si>
    <t>AGC INC.</t>
  </si>
  <si>
    <t>Glass &amp; Ceramics</t>
  </si>
  <si>
    <t>NIPPON SHEET GLASS CO., LTD.</t>
  </si>
  <si>
    <t>NIPPON ELECTRIC GLASS CO., LTD.</t>
  </si>
  <si>
    <t>SUMITOMO OSAKA CEMENT CO., LTD.</t>
  </si>
  <si>
    <t>TAIHEIYO CEMENT CORP.</t>
  </si>
  <si>
    <t>TOKAI CARBON CO., LTD.</t>
  </si>
  <si>
    <t>TOTO LTD.</t>
  </si>
  <si>
    <t>NGK INSULATORS, LTD.</t>
  </si>
  <si>
    <t>NIPPON STEEL CORP.</t>
  </si>
  <si>
    <t>Steel</t>
  </si>
  <si>
    <t>KOBE STEEL, LTD.</t>
  </si>
  <si>
    <t>JFE HOLDINGS, INC.</t>
  </si>
  <si>
    <t>PACIFIC METALS CO., LTD.</t>
  </si>
  <si>
    <t>THE JAPAN STEEL WORKS, LTD.</t>
  </si>
  <si>
    <t>Machinery</t>
  </si>
  <si>
    <t>NIPPON LIGHT METAL HOLDINGS CO., LTD.</t>
  </si>
  <si>
    <t>MITSUI MINING &amp; SMELTING CO.</t>
  </si>
  <si>
    <t>TOHO ZINC CO., LTD.</t>
  </si>
  <si>
    <t>MITSUBISHI MATERIALS CORP.</t>
  </si>
  <si>
    <t>SUMITOMO METAL MINING CO., LTD.</t>
  </si>
  <si>
    <t>DOWA HOLDINGS CO., LTD.</t>
  </si>
  <si>
    <t>FURUKAWA ELECTRIC CO., LTD.</t>
  </si>
  <si>
    <t>SUMITOMO ELECTRIC IND., LTD.</t>
  </si>
  <si>
    <t>FUJIKURA LTD.</t>
  </si>
  <si>
    <t>SHIZUOKA FINANCIAL GROUP, INC.</t>
  </si>
  <si>
    <t>Banking</t>
  </si>
  <si>
    <t>Financials</t>
  </si>
  <si>
    <t>RECRUIT HOLDINGS CO., LTD.</t>
  </si>
  <si>
    <t>OKUMA CORP.</t>
  </si>
  <si>
    <t>AMADA CO., LTD.</t>
  </si>
  <si>
    <t>JAPAN POST HOLDINGS CO., LTD.</t>
  </si>
  <si>
    <t>SMC CORP.</t>
  </si>
  <si>
    <t>KOMATSU LTD.</t>
  </si>
  <si>
    <t>SUMITOMO HEAVY IND., LTD.</t>
  </si>
  <si>
    <t>HITACHI CONST. MACH. CO., LTD.</t>
  </si>
  <si>
    <t>KUBOTA CORP.</t>
  </si>
  <si>
    <t>EBARA CORP.</t>
  </si>
  <si>
    <t>DAIKIN INDUSTRIES, LTD.</t>
  </si>
  <si>
    <t>NSK LTD.</t>
  </si>
  <si>
    <t>NTN CORP.</t>
  </si>
  <si>
    <t>JTEKT CORP.</t>
  </si>
  <si>
    <t>MINEBEA MITSUMI INC.</t>
  </si>
  <si>
    <t>Electric Machinery</t>
  </si>
  <si>
    <t>HITACHI, LTD.</t>
  </si>
  <si>
    <t>MITSUBISHI ELECTRIC CORP.</t>
  </si>
  <si>
    <t>FUJI ELECTRIC CO., LTD.</t>
  </si>
  <si>
    <t>YASKAWA ELECTRIC CORP.</t>
  </si>
  <si>
    <t>NIDEC CORP.</t>
  </si>
  <si>
    <t>OMRON CORP.</t>
  </si>
  <si>
    <t>GS YUASA CORP.</t>
  </si>
  <si>
    <t>NEC CORP.</t>
  </si>
  <si>
    <t>FUJITSU LTD.</t>
  </si>
  <si>
    <t>SEIKO EPSON CORP.</t>
  </si>
  <si>
    <t>PANASONIC HOLDINGS CORP.</t>
  </si>
  <si>
    <t>SHARP CORP.</t>
  </si>
  <si>
    <t>SONY GROUP CORP.</t>
  </si>
  <si>
    <t>TDK CORP.</t>
  </si>
  <si>
    <t>ALPS ALPINE CO., LTD.</t>
  </si>
  <si>
    <t>YOKOGAWA ELECTRIC CORP.</t>
  </si>
  <si>
    <t>ADVANTEST CORP.</t>
  </si>
  <si>
    <t>KEYENCE CORP.</t>
  </si>
  <si>
    <t>DENSO CORP.</t>
  </si>
  <si>
    <t>CASIO COMPUTER CO., LTD.</t>
  </si>
  <si>
    <t>FANUC CORP.</t>
  </si>
  <si>
    <t>KYOCERA CORP.</t>
  </si>
  <si>
    <t>TAIYO YUDEN CO., LTD.</t>
  </si>
  <si>
    <t>MURATA MANUFACTURING CO., LTD.</t>
  </si>
  <si>
    <t>NITTO DENKO CORP.</t>
  </si>
  <si>
    <t>MITSUI E&amp;S HOLDINGS CO., LTD.</t>
  </si>
  <si>
    <t>Shipbuilding</t>
  </si>
  <si>
    <t>HITACHI ZOSEN CORP.</t>
  </si>
  <si>
    <t>MITSUBISHI HEAVY IND., LTD.</t>
  </si>
  <si>
    <t>KAWASAKI HEAVY IND., LTD.</t>
  </si>
  <si>
    <t>IHI CORP.</t>
  </si>
  <si>
    <t>CONCORDIA FINANCIAL GROUP, LTD.</t>
  </si>
  <si>
    <t>NISSAN MOTOR CO., LTD.</t>
  </si>
  <si>
    <t>Automobiles &amp; Auto parts</t>
  </si>
  <si>
    <t>ISUZU MOTORS LTD.</t>
  </si>
  <si>
    <t>TOYOTA MOTOR CORP.</t>
  </si>
  <si>
    <t>HINO MOTORS, LTD.</t>
  </si>
  <si>
    <t>MITSUBISHI MOTORS CORP.</t>
  </si>
  <si>
    <t>MAZDA MOTOR CORP.</t>
  </si>
  <si>
    <t>HONDA MOTOR CO., LTD.</t>
  </si>
  <si>
    <t>SUZUKI MOTOR CORP.</t>
  </si>
  <si>
    <t>SUBARU CORP.</t>
  </si>
  <si>
    <t>YAMAHA MOTOR CO., LTD.</t>
  </si>
  <si>
    <t>NIKON CORP.</t>
  </si>
  <si>
    <t>OLYMPUS CORP.</t>
  </si>
  <si>
    <t>SCREEN HOLDINGS CO., LTD.</t>
  </si>
  <si>
    <t>HOYA CORP.</t>
  </si>
  <si>
    <t>CANON INC.</t>
  </si>
  <si>
    <t>RICOH CO., LTD.</t>
  </si>
  <si>
    <t>CITIZEN WATCH CO., LTD.</t>
  </si>
  <si>
    <t>BANDAI NAMCO HOLDINGS INC.</t>
  </si>
  <si>
    <t>Other Manufacturing</t>
  </si>
  <si>
    <t>TOPPAN INC.</t>
  </si>
  <si>
    <t>DAI NIPPON PRINTING CO., LTD.</t>
  </si>
  <si>
    <t>YAMAHA CORP.</t>
  </si>
  <si>
    <t>NINTENDO CO., LTD.</t>
  </si>
  <si>
    <t>ITOCHU CORP.</t>
  </si>
  <si>
    <t>MARUBENI CORP.</t>
  </si>
  <si>
    <t>TOYOTA TSUSHO CORP.</t>
  </si>
  <si>
    <t>MITSUI &amp; CO., LTD.</t>
  </si>
  <si>
    <t>TOKYO ELECTRON LTD.</t>
  </si>
  <si>
    <t>SUMITOMO CORP.</t>
  </si>
  <si>
    <t>MITSUBISHI CORP.</t>
  </si>
  <si>
    <t>TAKASHIMAYA CO., LTD.</t>
  </si>
  <si>
    <t>MARUI GROUP CO., LTD.</t>
  </si>
  <si>
    <t>CREDIT SAISON CO., LTD.</t>
  </si>
  <si>
    <t>Other Financial Services</t>
  </si>
  <si>
    <t>AEON CO., LTD.</t>
  </si>
  <si>
    <t>AOZORA BANK, LTD.</t>
  </si>
  <si>
    <t>MITSUBISHI UFJ FINANCIAL GROUP, INC.</t>
  </si>
  <si>
    <t>RESONA HOLDINGS, INC.</t>
  </si>
  <si>
    <t>SUMITOMO MITSUI TRUST HOLDINGS, INC.</t>
  </si>
  <si>
    <t>SUMITOMO MITSUI FINANCIAL GROUP, INC.</t>
  </si>
  <si>
    <t>THE CHIBA BANK, LTD.</t>
  </si>
  <si>
    <t>FUKUOKA FINANCIAL GROUP, INC.</t>
  </si>
  <si>
    <t>MIZUHO FINANCIAL GROUP, INC.</t>
  </si>
  <si>
    <t>ORIX CORP.</t>
  </si>
  <si>
    <t>DAIWA SECURITIES GROUP INC.</t>
  </si>
  <si>
    <t>Securities</t>
  </si>
  <si>
    <t>NOMURA HOLDINGS, INC.</t>
  </si>
  <si>
    <t>MATSUI SECURITIES CO., LTD.</t>
  </si>
  <si>
    <t>SOMPO HOLDINGS, INC.</t>
  </si>
  <si>
    <t>Insurance</t>
  </si>
  <si>
    <t>JAPAN EXCHANGE GROUP, INC.</t>
  </si>
  <si>
    <t>MS&amp;AD INSURANCE GROUP HOLDINGS, INC.</t>
  </si>
  <si>
    <t>DAI-ICHI LIFE HOLDINGS, INC.</t>
  </si>
  <si>
    <t>TOKIO MARINE HOLDINGS, INC.</t>
  </si>
  <si>
    <t>T&amp;D HOLDINGS, INC.</t>
  </si>
  <si>
    <t>MITSUI FUDOSAN CO., LTD.</t>
  </si>
  <si>
    <t>MITSUBISHI ESTATE CO., LTD.</t>
  </si>
  <si>
    <t>TOKYO TATEMONO CO., LTD.</t>
  </si>
  <si>
    <t>SUMITOMO REALTY &amp; DEVELOPMENT CO., LTD.</t>
  </si>
  <si>
    <t>TOBU RAILWAY CO., LTD.</t>
  </si>
  <si>
    <t>Railway &amp; Bus</t>
  </si>
  <si>
    <t>Transportation and Utilities</t>
  </si>
  <si>
    <t>TOKYU CORP.</t>
  </si>
  <si>
    <t>ODAKYU ELECTRIC RAILWAY CO., LTD.</t>
  </si>
  <si>
    <t>KEIO CORP.</t>
  </si>
  <si>
    <t>KEISEI ELECTRIC RAILWAY CO., LTD.</t>
  </si>
  <si>
    <t>EAST JAPAN RAILWAY CO.</t>
  </si>
  <si>
    <t>WEST JAPAN RAILWAY CO.</t>
  </si>
  <si>
    <t>CENTRAL JAPAN RAILWAY CO., LTD.</t>
  </si>
  <si>
    <t>YAMATO HOLDINGS CO., LTD.</t>
  </si>
  <si>
    <t>Land Transport</t>
  </si>
  <si>
    <t>NIPPON YUSEN K.K.</t>
  </si>
  <si>
    <t>Marine Transport</t>
  </si>
  <si>
    <t>MITSUI O.S.K.LINES, LTD.</t>
  </si>
  <si>
    <t>KAWASAKI KISEN KAISHA, LTD.</t>
  </si>
  <si>
    <t>NIPPON EXPRESS HOLDINGS, INC.</t>
  </si>
  <si>
    <t>ANA HOLDINGS INC.</t>
  </si>
  <si>
    <t>Air Transport</t>
  </si>
  <si>
    <t>MITSUBISHI LOGISTICS CORP.</t>
  </si>
  <si>
    <t>Warehousing</t>
  </si>
  <si>
    <t>NIPPON TELEGRAPH &amp; TELEPHONE CORP.</t>
  </si>
  <si>
    <t>Communications</t>
  </si>
  <si>
    <t>KDDI CORP.</t>
  </si>
  <si>
    <t>SOFTBANK CORP.</t>
  </si>
  <si>
    <t>TOKYO ELECTRIC POWER COMPANY HOLDINGS, I</t>
  </si>
  <si>
    <t>Electric Power</t>
  </si>
  <si>
    <t>CHUBU ELECTRIC POWER CO., INC.</t>
  </si>
  <si>
    <t>THE KANSAI ELECTRIC POWER CO., INC.</t>
  </si>
  <si>
    <t>TOKYO GAS CO., LTD.</t>
  </si>
  <si>
    <t>Gas</t>
  </si>
  <si>
    <t>OSAKA GAS CO., LTD.</t>
  </si>
  <si>
    <t>TOHO CO., LTD</t>
  </si>
  <si>
    <t>NTT DATA CORP.</t>
  </si>
  <si>
    <t>SECOM CO., LTD.</t>
  </si>
  <si>
    <t>KONAMI GROUP CORP.</t>
  </si>
  <si>
    <t>FAST RETAILING CO., LTD.</t>
  </si>
  <si>
    <t>SOFTBANK GROUP CORP.</t>
  </si>
  <si>
    <t>This material is a copyrightable work of Nikkei. It is prohibited to copy, reproduce, reprint, or circulate all or part of this material in any form without Nikkeifs permission.</t>
  </si>
  <si>
    <t>1332T','1605T','1721T','1801T','1802T','1803T','1808T','1812T','1925T','1928T','1963T','2002T','2269T','2282T','2413T','2432T','2501T','2502T','2503T','2531T','2768T','2801T','2802T','2871T','2914T','3086T','3099T','3101T','3289T','3382T','3401T','3402T','3405T','3407T','3436T','3659T','3861T','3863T','4004T','4005T','4021T','4042T','4043T','4061T','4063T','4151T','4183T','4188T','4208T','4324T','4452T','4502T','4503T','4506T','4507T','4519T','4523T','4543T','4568T','4578T','4631T','4689T','4704T','4751T','4755T','4901T','4902T','4911T','5019T','5020T','5101T','5108T','5201T','5202T','5214T','5232T','5233T','5301T','5332T','5333T','5401T','5406T','5411T','5541T','5631T','5703T','5706T','5707T','5711T','5713T','5714T','5801T','5802T','5803T','5831T','6098T','6103T','6113T','6178T','6273T','6301T','6302T','6305T','6326T','6361T','6367T','6471T','6472T','6473T','6479T','6501T','6503T','6504T','6506T','6594T','6645T','6674T','6701T','6702T','6724T','6752T','6753T','6758T','6762T','6770T','6841T','6857T','6861T','6902T','6952T','6954T','6971T','6976T','6981T','6988T','7003T','7004T','7011T','7012T','7013T','7186T','7201T','7202T','7203T','7205T','7211T','7261T','7267T','7269T','7270T','7272T','7731T','7733T','7735T','7741T','7751T','7752T','7762T','7832T','7911T','7912T','7951T','7974T','8001T','8002T','8015T','8031T','8035T','8053T','8058T','8233T','8252T','8253T','8267T','8304T','8306T','8308T','8309T','8316T','8331T','8354T','8411T','8591T','8601T','8604T','8628T','8630T','8697T','8725T','8750T','8766T','8795T','8801T','8802T','8804T','8830T','9001T','9005T','9007T','9008T','9009T','9020T','9021T','9022T','9064T','9101T','9104T','9107T','9147T','9202T','9301T','9432T','9433T','9434T','9501T','9502T','9503T','9531T','9532T','9602T','9613T','9735T','9766T','9983T','9984T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</si>
</sst>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_);_(* \(#,##0.0\)_)\ ;_(* 0_)"/>
    <numFmt numFmtId="165" formatCode="_(* #,##0.0#_);_(* \(#,##0.0#\)_)\ ;_(* 0_)"/>
    <numFmt numFmtId="166" formatCode="_(* #,##0.0##_);_(* \(#,##0.0##\)_)\ ;_(* 0_)"/>
    <numFmt numFmtId="167" formatCode="_(\ #,##0.0#_);_(\(\ #,##0.0#\)_);_(\ &quot; - &quot;_)"/>
  </numFmts>
  <fonts count="21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</font>
    <font>
      <b/>
      <sz val="13"/>
      <color indexed="8"/>
      <name val="Verdana"/>
    </font>
    <font>
      <b/>
      <sz val="12"/>
      <color indexed="8"/>
      <name val="Verdana"/>
    </font>
    <font>
      <b/>
      <sz val="10"/>
      <color indexed="9"/>
      <name val="Arial"/>
    </font>
    <font>
      <b/>
      <u val="singleAccounting"/>
      <sz val="8"/>
      <color indexed="8"/>
      <name val="Verdana"/>
    </font>
    <font>
      <b/>
      <sz val="8"/>
      <color indexed="9"/>
      <name val="Verdana"/>
    </font>
    <font>
      <b/>
      <u val="singleAccounting"/>
      <sz val="8"/>
      <color indexed="8"/>
      <name val="Arial"/>
    </font>
    <font>
      <sz val="8"/>
      <color indexed="8"/>
      <name val="Arial"/>
    </font>
    <font>
      <vertAlign val="superscript"/>
      <sz val="8"/>
      <color indexed="8"/>
      <name val="Arial"/>
    </font>
    <font>
      <vertAlign val="subscript"/>
      <sz val="8"/>
      <color indexed="8"/>
      <name val="Arial"/>
    </font>
    <font>
      <b/>
      <sz val="8"/>
      <color indexed="8"/>
      <name val="Arial"/>
    </font>
    <font>
      <i/>
      <sz val="8"/>
      <color indexed="8"/>
      <name val="Arial"/>
    </font>
    <font>
      <sz val="1"/>
      <color indexed="9"/>
      <name val="Symbol"/>
    </font>
    <font>
      <sz val="10"/>
      <color indexed="8"/>
      <name val="Arial"/>
    </font>
    <font>
      <b/>
      <sz val="8"/>
      <color indexed="8"/>
      <name val="Verdana"/>
    </font>
    <font>
      <b/>
      <sz val="8"/>
      <name val="Arial"/>
    </font>
  </fonts>
  <fills count="6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60"/>
        <bgColor indexed="64"/>
      </patternFill>
    </fill>
  </fills>
  <borders count="1">
    <border>
      <left/>
      <right/>
      <top/>
      <bottom/>
      <diagonal/>
    </border>
  </borders>
  <cellStyleXfs count="19">
    <xf numFmtId="0" fontId="0" fillId="0" borderId="0"/>
    <xf numFmtId="0" fontId="6" fillId="0" borderId="0" applyAlignment="0"/>
    <xf numFmtId="0" fontId="7" fillId="0" borderId="0" applyAlignment="0"/>
    <xf numFmtId="0" fontId="8" fillId="2" borderId="0" applyAlignment="0"/>
    <xf numFmtId="0" fontId="9" fillId="3" borderId="0" applyAlignment="0"/>
    <xf numFmtId="0" fontId="10" fillId="4" borderId="0" applyAlignment="0"/>
    <xf numFmtId="0" fontId="11" fillId="5" borderId="0" applyAlignment="0"/>
    <xf numFmtId="0" fontId="12" fillId="0" borderId="0" applyAlignment="0"/>
    <xf numFmtId="0" fontId="13" fillId="0" borderId="0" applyAlignment="0"/>
    <xf numFmtId="0" fontId="14" fillId="0" borderId="0" applyAlignment="0"/>
    <xf numFmtId="0" fontId="15" fillId="0" borderId="0" applyAlignment="0"/>
    <xf numFmtId="0" fontId="16" fillId="0" borderId="0" applyAlignment="0"/>
    <xf numFmtId="0" fontId="15" fillId="0" borderId="0" applyAlignment="0">
      <alignment wrapText="1"/>
    </xf>
    <xf numFmtId="0" fontId="17" fillId="0" borderId="0" applyAlignment="0"/>
    <xf numFmtId="0" fontId="18" fillId="0" borderId="0" applyAlignment="0"/>
    <xf numFmtId="0" fontId="19" fillId="0" borderId="0" applyAlignment="0"/>
    <xf numFmtId="0" fontId="4" fillId="0" borderId="0"/>
    <xf numFmtId="0" fontId="3" fillId="0" borderId="0"/>
    <xf numFmtId="0" fontId="1" fillId="0" borderId="0"/>
  </cellStyleXfs>
  <cellXfs count="30">
    <xf numFmtId="0" fontId="5" fillId="0" borderId="0" xfId="0" applyFont="1"/>
    <xf numFmtId="0" fontId="6" fillId="0" borderId="0" xfId="0" applyFont="1"/>
    <xf numFmtId="0" fontId="12" fillId="0" borderId="0" xfId="7" applyAlignment="1">
      <alignment horizontal="left" vertical="top" wrapText="1"/>
    </xf>
    <xf numFmtId="0" fontId="11" fillId="5" borderId="0" xfId="6" applyAlignment="1">
      <alignment horizontal="left" wrapText="1"/>
    </xf>
    <xf numFmtId="49" fontId="20" fillId="0" borderId="0" xfId="0" applyNumberFormat="1" applyFont="1" applyAlignment="1">
      <alignment horizontal="left" vertical="top" wrapText="1"/>
    </xf>
    <xf numFmtId="49" fontId="5" fillId="0" borderId="0" xfId="0" applyNumberFormat="1" applyFont="1" applyAlignment="1">
      <alignment horizontal="left" vertical="top" wrapText="1"/>
    </xf>
    <xf numFmtId="0" fontId="5" fillId="0" borderId="0" xfId="0" applyFont="1" applyAlignment="1">
      <alignment vertical="top" wrapText="1"/>
    </xf>
    <xf numFmtId="165" fontId="5" fillId="0" borderId="0" xfId="0" applyNumberFormat="1" applyFont="1" applyAlignment="1">
      <alignment horizontal="right" vertical="top" wrapText="1"/>
    </xf>
    <xf numFmtId="164" fontId="5" fillId="0" borderId="0" xfId="0" applyNumberFormat="1" applyFont="1" applyAlignment="1">
      <alignment horizontal="right" vertical="top" wrapText="1"/>
    </xf>
    <xf numFmtId="0" fontId="11" fillId="5" borderId="0" xfId="6" applyAlignment="1">
      <alignment horizontal="right" wrapText="1"/>
    </xf>
    <xf numFmtId="166" fontId="5" fillId="0" borderId="0" xfId="0" applyNumberFormat="1" applyFont="1" applyAlignment="1">
      <alignment horizontal="right" vertical="top" wrapText="1"/>
    </xf>
    <xf numFmtId="0" fontId="5" fillId="0" borderId="0" xfId="0" applyFont="1" applyAlignment="1">
      <alignment horizontal="left" vertical="top" wrapText="1"/>
    </xf>
    <xf numFmtId="1" fontId="5" fillId="0" borderId="0" xfId="0" applyNumberFormat="1" applyFont="1" applyAlignment="1">
      <alignment horizontal="left" vertical="top" wrapText="1"/>
    </xf>
    <xf numFmtId="49" fontId="10" fillId="4" borderId="0" xfId="0" applyNumberFormat="1" applyFont="1" applyFill="1" applyAlignment="1">
      <alignment horizontal="left"/>
    </xf>
    <xf numFmtId="0" fontId="10" fillId="4" borderId="0" xfId="0" applyFont="1" applyFill="1" applyAlignment="1">
      <alignment horizontal="left"/>
    </xf>
    <xf numFmtId="0" fontId="11" fillId="5" borderId="0" xfId="0" applyFont="1" applyFill="1" applyAlignment="1">
      <alignment horizontal="center" wrapText="1"/>
    </xf>
    <xf numFmtId="0" fontId="15" fillId="0" borderId="0" xfId="0" applyFont="1"/>
    <xf numFmtId="167" fontId="12" fillId="0" borderId="0" xfId="0" applyNumberFormat="1" applyFont="1" applyAlignment="1">
      <alignment horizontal="right"/>
    </xf>
    <xf numFmtId="0" fontId="12" fillId="0" borderId="0" xfId="0" applyFont="1" applyAlignment="1">
      <alignment horizontal="right"/>
    </xf>
    <xf numFmtId="0" fontId="11" fillId="5" borderId="0" xfId="0" applyFont="1" applyFill="1"/>
    <xf numFmtId="49" fontId="12" fillId="0" borderId="0" xfId="0" applyNumberFormat="1" applyFont="1" applyAlignment="1">
      <alignment vertical="top"/>
    </xf>
    <xf numFmtId="0" fontId="17" fillId="0" borderId="0" xfId="13" applyAlignment="1"/>
    <xf numFmtId="0" fontId="4" fillId="0" borderId="0" xfId="16"/>
    <xf numFmtId="0" fontId="4" fillId="0" borderId="0" xfId="16" quotePrefix="1"/>
    <xf numFmtId="0" fontId="3" fillId="0" borderId="0" xfId="17"/>
    <xf numFmtId="0" fontId="2" fillId="0" borderId="0" xfId="17" applyFont="1"/>
    <xf numFmtId="0" fontId="1" fillId="0" borderId="0" xfId="18"/>
    <xf numFmtId="14" fontId="1" fillId="0" borderId="0" xfId="18" applyNumberFormat="1"/>
    <xf numFmtId="10" fontId="1" fillId="0" borderId="0" xfId="18" applyNumberFormat="1"/>
    <xf numFmtId="0" fontId="1" fillId="0" borderId="0" xfId="18" quotePrefix="1"/>
  </cellXfs>
  <cellStyles count="19">
    <cellStyle name="ChartingText" xfId="14" xr:uid="{00000000-0005-0000-0000-000000000000}"/>
    <cellStyle name="CHPTop" xfId="15" xr:uid="{00000000-0005-0000-0000-000001000000}"/>
    <cellStyle name="ColumnHeaderNormal" xfId="6" xr:uid="{00000000-0005-0000-0000-000002000000}"/>
    <cellStyle name="Invisible" xfId="13" xr:uid="{00000000-0005-0000-0000-000003000000}"/>
    <cellStyle name="NewColumnHeaderNormal" xfId="4" xr:uid="{00000000-0005-0000-0000-000004000000}"/>
    <cellStyle name="NewSectionHeaderNormal" xfId="3" xr:uid="{00000000-0005-0000-0000-000005000000}"/>
    <cellStyle name="NewTitleNormal" xfId="2" xr:uid="{00000000-0005-0000-0000-000006000000}"/>
    <cellStyle name="Normal" xfId="0" builtinId="0"/>
    <cellStyle name="Normal 2" xfId="16" xr:uid="{2404A238-A35F-4939-A0EC-86125A71E93B}"/>
    <cellStyle name="Normal 3" xfId="17" xr:uid="{4A656CF8-3623-497C-8F9A-DE6267A02CB6}"/>
    <cellStyle name="Normal 4" xfId="18" xr:uid="{18254CCA-E380-4A48-B828-7124F8E9A2C9}"/>
    <cellStyle name="SectionHeaderNormal" xfId="5" xr:uid="{00000000-0005-0000-0000-000008000000}"/>
    <cellStyle name="SubScript" xfId="9" xr:uid="{00000000-0005-0000-0000-000009000000}"/>
    <cellStyle name="SuperScript" xfId="8" xr:uid="{00000000-0005-0000-0000-00000A000000}"/>
    <cellStyle name="TextBold" xfId="10" xr:uid="{00000000-0005-0000-0000-00000B000000}"/>
    <cellStyle name="TextItalic" xfId="11" xr:uid="{00000000-0005-0000-0000-00000C000000}"/>
    <cellStyle name="TextNormal" xfId="7" xr:uid="{00000000-0005-0000-0000-00000D000000}"/>
    <cellStyle name="TitleNormal" xfId="1" xr:uid="{00000000-0005-0000-0000-00000E000000}"/>
    <cellStyle name="Total" xfId="12" builtinId="25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FA4040"/>
      <rgbColor rgb="00FFFFEB"/>
      <rgbColor rgb="00EEEEEE"/>
      <rgbColor rgb="00F0F0DC"/>
      <rgbColor rgb="00993366"/>
      <rgbColor rgb="00F5F5E1"/>
      <rgbColor rgb="00004080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635000</xdr:colOff>
      <xdr:row>2</xdr:row>
      <xdr:rowOff>57150</xdr:rowOff>
    </xdr:to>
    <xdr:pic>
      <xdr:nvPicPr>
        <xdr:cNvPr id="1026" name="Picture 2">
          <a:extLst>
            <a:ext uri="{FF2B5EF4-FFF2-40B4-BE49-F238E27FC236}">
              <a16:creationId xmlns:a16="http://schemas.microsoft.com/office/drawing/2014/main" id="{7BA1F153-776B-8C45-3D92-4555415EA9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63500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641350</xdr:colOff>
      <xdr:row>2</xdr:row>
      <xdr:rowOff>57150</xdr:rowOff>
    </xdr:to>
    <xdr:pic>
      <xdr:nvPicPr>
        <xdr:cNvPr id="3074" name="Picture 2">
          <a:extLst>
            <a:ext uri="{FF2B5EF4-FFF2-40B4-BE49-F238E27FC236}">
              <a16:creationId xmlns:a16="http://schemas.microsoft.com/office/drawing/2014/main" id="{0095372F-E83C-F8B9-7B1F-F7BCD5515B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64135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641350</xdr:colOff>
      <xdr:row>2</xdr:row>
      <xdr:rowOff>57150</xdr:rowOff>
    </xdr:to>
    <xdr:pic>
      <xdr:nvPicPr>
        <xdr:cNvPr id="5122" name="Picture 2">
          <a:extLst>
            <a:ext uri="{FF2B5EF4-FFF2-40B4-BE49-F238E27FC236}">
              <a16:creationId xmlns:a16="http://schemas.microsoft.com/office/drawing/2014/main" id="{59620209-6085-3CDD-E072-BFC1B7B54A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64135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410000" mc:Ignorable="a14" a14:legacySpreadsheetColorIndex="65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410000" mc:Ignorable="a14" a14:legacySpreadsheetColorIndex="65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>
    <outlinePr summaryBelow="0" summaryRight="0"/>
    <pageSetUpPr autoPageBreaks="0"/>
  </sheetPr>
  <dimension ref="A6:M217"/>
  <sheetViews>
    <sheetView topLeftCell="A139" zoomScaleNormal="100" workbookViewId="0">
      <selection activeCell="E215" sqref="E215"/>
    </sheetView>
  </sheetViews>
  <sheetFormatPr defaultRowHeight="10" x14ac:dyDescent="0.2"/>
  <cols>
    <col min="1" max="1" width="25.81640625" customWidth="1"/>
    <col min="2" max="5" width="15.81640625" customWidth="1"/>
    <col min="6" max="7" width="40.81640625" customWidth="1"/>
    <col min="8" max="12" width="25.81640625" customWidth="1"/>
    <col min="13" max="13" width="40.81640625" customWidth="1"/>
  </cols>
  <sheetData>
    <row r="6" spans="1:13" ht="16.5" customHeight="1" x14ac:dyDescent="0.35">
      <c r="A6" s="1" t="s">
        <v>0</v>
      </c>
    </row>
    <row r="8" spans="1:13" ht="79.25" customHeight="1" x14ac:dyDescent="0.55000000000000004">
      <c r="A8" s="3" t="s">
        <v>1</v>
      </c>
      <c r="B8" s="3" t="s">
        <v>2</v>
      </c>
      <c r="C8" s="3"/>
      <c r="D8" s="3"/>
      <c r="E8" s="3"/>
      <c r="F8" s="3" t="s">
        <v>3</v>
      </c>
      <c r="G8" s="3" t="s">
        <v>4</v>
      </c>
      <c r="H8" s="9" t="s">
        <v>5</v>
      </c>
      <c r="I8" s="9" t="s">
        <v>6</v>
      </c>
      <c r="J8" s="9" t="s">
        <v>7</v>
      </c>
      <c r="K8" s="9" t="s">
        <v>8</v>
      </c>
      <c r="L8" s="9" t="s">
        <v>9</v>
      </c>
      <c r="M8" s="3" t="s">
        <v>10</v>
      </c>
    </row>
    <row r="9" spans="1:13" ht="150" x14ac:dyDescent="0.2">
      <c r="A9" s="2" t="s">
        <v>11</v>
      </c>
      <c r="B9" s="2" t="s">
        <v>12</v>
      </c>
      <c r="C9" s="2" t="str">
        <f>RIGHT(B9,SUM(LEN(B9)-LEN(SUBSTITUTE(B9,{"0","1","2","3","4","5","6","7","8","9"},""))))</f>
        <v>6663</v>
      </c>
      <c r="D9" s="2" t="str">
        <f>IF(LEN(C9)=4,C9,IF(LEN(C9)&lt;4,REPT("0",4-LEN(C9))&amp;C9))</f>
        <v>6663</v>
      </c>
      <c r="E9" s="2" t="str">
        <f>"'"&amp;D9&amp;".HK"&amp;"'"</f>
        <v>'6663.HK'</v>
      </c>
      <c r="F9" s="4" t="s">
        <v>13</v>
      </c>
      <c r="G9" s="6" t="s">
        <v>14</v>
      </c>
      <c r="H9" s="7">
        <v>4.66</v>
      </c>
      <c r="I9" s="8">
        <v>-114.7</v>
      </c>
      <c r="J9" s="8">
        <v>512</v>
      </c>
      <c r="K9" s="8">
        <v>20.5</v>
      </c>
      <c r="L9" s="7">
        <v>1.99</v>
      </c>
      <c r="M9" s="11" t="s">
        <v>15</v>
      </c>
    </row>
    <row r="10" spans="1:13" ht="110" x14ac:dyDescent="0.2">
      <c r="A10" s="2" t="s">
        <v>16</v>
      </c>
      <c r="B10" s="2" t="s">
        <v>17</v>
      </c>
      <c r="C10" s="2" t="str">
        <f>RIGHT(B10,SUM(LEN(B10)-LEN(SUBSTITUTE(B10,{"0","1","2","3","4","5","6","7","8","9"},""))))</f>
        <v>1689</v>
      </c>
      <c r="D10" s="2" t="str">
        <f t="shared" ref="D10:D22" si="0">IF(LEN(C10)=4,C10,IF(LEN(C10)&lt;4,REPT("0",4-LEN(C10))&amp;C10))</f>
        <v>1689</v>
      </c>
      <c r="E10" s="2" t="str">
        <f t="shared" ref="E10:E22" si="1">"'"&amp;D10&amp;".HK"&amp;"'"</f>
        <v>'1689.HK'</v>
      </c>
      <c r="F10" s="4" t="s">
        <v>18</v>
      </c>
      <c r="G10" s="6" t="s">
        <v>14</v>
      </c>
      <c r="H10" s="7">
        <v>2.19</v>
      </c>
      <c r="I10" s="8">
        <v>-134.19999999999999</v>
      </c>
      <c r="J10" s="8">
        <v>848.7</v>
      </c>
      <c r="K10" s="8">
        <v>38.5</v>
      </c>
      <c r="L10" s="7">
        <v>1.97</v>
      </c>
      <c r="M10" s="11" t="s">
        <v>19</v>
      </c>
    </row>
    <row r="11" spans="1:13" ht="140" x14ac:dyDescent="0.2">
      <c r="A11" s="2" t="s">
        <v>20</v>
      </c>
      <c r="B11" s="2" t="s">
        <v>21</v>
      </c>
      <c r="C11" s="2" t="str">
        <f>RIGHT(B11,SUM(LEN(B11)-LEN(SUBSTITUTE(B11,{"0","1","2","3","4","5","6","7","8","9"},""))))</f>
        <v>1458</v>
      </c>
      <c r="D11" s="2" t="str">
        <f t="shared" si="0"/>
        <v>1458</v>
      </c>
      <c r="E11" s="2" t="str">
        <f t="shared" si="1"/>
        <v>'1458.HK'</v>
      </c>
      <c r="F11" s="4" t="s">
        <v>22</v>
      </c>
      <c r="G11" s="6" t="s">
        <v>14</v>
      </c>
      <c r="H11" s="7">
        <v>3.84</v>
      </c>
      <c r="I11" s="8">
        <v>-1917.5</v>
      </c>
      <c r="J11" s="8">
        <v>8887.4</v>
      </c>
      <c r="K11" s="8">
        <v>36.6</v>
      </c>
      <c r="L11" s="7">
        <v>1.87</v>
      </c>
      <c r="M11" s="11" t="s">
        <v>23</v>
      </c>
    </row>
    <row r="12" spans="1:13" ht="60" x14ac:dyDescent="0.2">
      <c r="A12" s="2" t="s">
        <v>24</v>
      </c>
      <c r="B12" s="2" t="s">
        <v>25</v>
      </c>
      <c r="C12" s="2" t="str">
        <f>RIGHT(B12,SUM(LEN(B12)-LEN(SUBSTITUTE(B12,{"0","1","2","3","4","5","6","7","8","9"},""))))</f>
        <v>1425</v>
      </c>
      <c r="D12" s="2" t="str">
        <f t="shared" si="0"/>
        <v>1425</v>
      </c>
      <c r="E12" s="2" t="str">
        <f t="shared" si="1"/>
        <v>'1425.HK'</v>
      </c>
      <c r="F12" s="4" t="s">
        <v>26</v>
      </c>
      <c r="G12" s="6" t="s">
        <v>14</v>
      </c>
      <c r="H12" s="7">
        <v>1.54</v>
      </c>
      <c r="I12" s="8">
        <v>-189.1</v>
      </c>
      <c r="J12" s="8">
        <v>825</v>
      </c>
      <c r="K12" s="8">
        <v>30.2</v>
      </c>
      <c r="L12" s="7">
        <v>1.85</v>
      </c>
      <c r="M12" s="11" t="s">
        <v>27</v>
      </c>
    </row>
    <row r="13" spans="1:13" ht="130" x14ac:dyDescent="0.2">
      <c r="A13" s="2" t="s">
        <v>28</v>
      </c>
      <c r="B13" s="2" t="s">
        <v>29</v>
      </c>
      <c r="C13" s="2" t="str">
        <f>RIGHT(B13,SUM(LEN(B13)-LEN(SUBSTITUTE(B13,{"0","1","2","3","4","5","6","7","8","9"},""))))</f>
        <v>1448</v>
      </c>
      <c r="D13" s="2" t="str">
        <f t="shared" si="0"/>
        <v>1448</v>
      </c>
      <c r="E13" s="2" t="str">
        <f t="shared" si="1"/>
        <v>'1448.HK'</v>
      </c>
      <c r="F13" s="4" t="s">
        <v>30</v>
      </c>
      <c r="G13" s="6" t="s">
        <v>14</v>
      </c>
      <c r="H13" s="7">
        <v>2.2799999999999998</v>
      </c>
      <c r="I13" s="8">
        <v>-2747.9</v>
      </c>
      <c r="J13" s="8">
        <v>11244.2</v>
      </c>
      <c r="K13" s="8">
        <v>23.4</v>
      </c>
      <c r="L13" s="7">
        <v>1.85</v>
      </c>
      <c r="M13" s="11" t="s">
        <v>31</v>
      </c>
    </row>
    <row r="14" spans="1:13" ht="40" x14ac:dyDescent="0.2">
      <c r="A14" s="2" t="s">
        <v>32</v>
      </c>
      <c r="B14" s="2" t="s">
        <v>33</v>
      </c>
      <c r="C14" s="2" t="str">
        <f>RIGHT(B14,SUM(LEN(B14)-LEN(SUBSTITUTE(B14,{"0","1","2","3","4","5","6","7","8","9"},""))))</f>
        <v>2150</v>
      </c>
      <c r="D14" s="2" t="str">
        <f t="shared" si="0"/>
        <v>2150</v>
      </c>
      <c r="E14" s="2" t="str">
        <f t="shared" si="1"/>
        <v>'2150.HK'</v>
      </c>
      <c r="F14" s="4" t="s">
        <v>34</v>
      </c>
      <c r="G14" s="6" t="s">
        <v>14</v>
      </c>
      <c r="H14" s="7">
        <v>3.22</v>
      </c>
      <c r="I14" s="8">
        <v>-3247.4</v>
      </c>
      <c r="J14" s="8">
        <v>10513.7</v>
      </c>
      <c r="K14" s="8">
        <v>32.5</v>
      </c>
      <c r="L14" s="7">
        <v>1.82</v>
      </c>
      <c r="M14" s="5" t="s">
        <v>35</v>
      </c>
    </row>
    <row r="15" spans="1:13" ht="30" x14ac:dyDescent="0.2">
      <c r="A15" s="2" t="s">
        <v>36</v>
      </c>
      <c r="B15" s="2" t="s">
        <v>37</v>
      </c>
      <c r="C15" s="2" t="str">
        <f>RIGHT(B15,SUM(LEN(B15)-LEN(SUBSTITUTE(B15,{"0","1","2","3","4","5","6","7","8","9"},""))))</f>
        <v>6616</v>
      </c>
      <c r="D15" s="2" t="str">
        <f t="shared" si="0"/>
        <v>6616</v>
      </c>
      <c r="E15" s="2" t="str">
        <f t="shared" si="1"/>
        <v>'6616.HK'</v>
      </c>
      <c r="F15" s="4" t="s">
        <v>38</v>
      </c>
      <c r="G15" s="6" t="s">
        <v>14</v>
      </c>
      <c r="H15" s="7">
        <v>7.08</v>
      </c>
      <c r="I15" s="8">
        <v>-1726.5</v>
      </c>
      <c r="J15" s="8">
        <v>4814.7</v>
      </c>
      <c r="K15" s="8">
        <v>10</v>
      </c>
      <c r="L15" s="7">
        <v>1.82</v>
      </c>
      <c r="M15" s="5" t="s">
        <v>39</v>
      </c>
    </row>
    <row r="16" spans="1:13" ht="170" x14ac:dyDescent="0.2">
      <c r="A16" s="2" t="s">
        <v>40</v>
      </c>
      <c r="B16" s="2" t="s">
        <v>41</v>
      </c>
      <c r="C16" s="2" t="str">
        <f>RIGHT(B16,SUM(LEN(B16)-LEN(SUBSTITUTE(B16,{"0","1","2","3","4","5","6","7","8","9"},""))))</f>
        <v>1945</v>
      </c>
      <c r="D16" s="2" t="str">
        <f t="shared" si="0"/>
        <v>1945</v>
      </c>
      <c r="E16" s="2" t="str">
        <f t="shared" si="1"/>
        <v>'1945.HK'</v>
      </c>
      <c r="F16" s="4" t="s">
        <v>42</v>
      </c>
      <c r="G16" s="6" t="s">
        <v>14</v>
      </c>
      <c r="H16" s="7">
        <v>4.9000000000000004</v>
      </c>
      <c r="I16" s="8">
        <v>-658.4</v>
      </c>
      <c r="J16" s="8">
        <v>1033.5999999999999</v>
      </c>
      <c r="K16" s="8">
        <v>20.9</v>
      </c>
      <c r="L16" s="7">
        <v>1.76</v>
      </c>
      <c r="M16" s="11" t="s">
        <v>43</v>
      </c>
    </row>
    <row r="17" spans="1:13" ht="130" x14ac:dyDescent="0.2">
      <c r="A17" s="2" t="s">
        <v>44</v>
      </c>
      <c r="B17" s="2" t="s">
        <v>45</v>
      </c>
      <c r="C17" s="2" t="str">
        <f>RIGHT(B17,SUM(LEN(B17)-LEN(SUBSTITUTE(B17,{"0","1","2","3","4","5","6","7","8","9"},""))))</f>
        <v>1475</v>
      </c>
      <c r="D17" s="2" t="str">
        <f t="shared" si="0"/>
        <v>1475</v>
      </c>
      <c r="E17" s="2" t="str">
        <f t="shared" si="1"/>
        <v>'1475.HK'</v>
      </c>
      <c r="F17" s="4" t="s">
        <v>46</v>
      </c>
      <c r="G17" s="6" t="s">
        <v>14</v>
      </c>
      <c r="H17" s="7">
        <v>2.44</v>
      </c>
      <c r="I17" s="8">
        <v>-2033.5</v>
      </c>
      <c r="J17" s="8">
        <v>6689.7</v>
      </c>
      <c r="K17" s="8">
        <v>21.7</v>
      </c>
      <c r="L17" s="7">
        <v>1.75</v>
      </c>
      <c r="M17" s="11" t="s">
        <v>47</v>
      </c>
    </row>
    <row r="18" spans="1:13" ht="180" x14ac:dyDescent="0.2">
      <c r="A18" s="2" t="s">
        <v>48</v>
      </c>
      <c r="B18" s="2" t="s">
        <v>49</v>
      </c>
      <c r="C18" s="2" t="str">
        <f>RIGHT(B18,SUM(LEN(B18)-LEN(SUBSTITUTE(B18,{"0","1","2","3","4","5","6","7","8","9"},""))))</f>
        <v>1586</v>
      </c>
      <c r="D18" s="2" t="str">
        <f t="shared" si="0"/>
        <v>1586</v>
      </c>
      <c r="E18" s="2" t="str">
        <f t="shared" si="1"/>
        <v>'1586.HK'</v>
      </c>
      <c r="F18" s="4" t="s">
        <v>50</v>
      </c>
      <c r="G18" s="6" t="s">
        <v>14</v>
      </c>
      <c r="H18" s="7">
        <v>1.44</v>
      </c>
      <c r="I18" s="8">
        <v>-24.4</v>
      </c>
      <c r="J18" s="8">
        <v>644</v>
      </c>
      <c r="K18" s="8">
        <v>36</v>
      </c>
      <c r="L18" s="7">
        <v>1.7</v>
      </c>
      <c r="M18" s="11" t="s">
        <v>51</v>
      </c>
    </row>
    <row r="19" spans="1:13" ht="130" x14ac:dyDescent="0.2">
      <c r="A19" s="2" t="s">
        <v>52</v>
      </c>
      <c r="B19" s="2" t="s">
        <v>53</v>
      </c>
      <c r="C19" s="2" t="str">
        <f>RIGHT(B19,SUM(LEN(B19)-LEN(SUBSTITUTE(B19,{"0","1","2","3","4","5","6","7","8","9"},""))))</f>
        <v>580</v>
      </c>
      <c r="D19" s="2" t="str">
        <f t="shared" si="0"/>
        <v>0580</v>
      </c>
      <c r="E19" s="2" t="str">
        <f t="shared" si="1"/>
        <v>'0580.HK'</v>
      </c>
      <c r="F19" s="4" t="s">
        <v>54</v>
      </c>
      <c r="G19" s="6" t="s">
        <v>14</v>
      </c>
      <c r="H19" s="7">
        <v>3.54</v>
      </c>
      <c r="I19" s="8">
        <v>-615.9</v>
      </c>
      <c r="J19" s="8">
        <v>3235.2</v>
      </c>
      <c r="K19" s="8">
        <v>24.3</v>
      </c>
      <c r="L19" s="7">
        <v>1.66</v>
      </c>
      <c r="M19" s="11" t="s">
        <v>55</v>
      </c>
    </row>
    <row r="20" spans="1:13" ht="80" x14ac:dyDescent="0.2">
      <c r="A20" s="2" t="s">
        <v>56</v>
      </c>
      <c r="B20" s="2" t="s">
        <v>57</v>
      </c>
      <c r="C20" s="2" t="str">
        <f>RIGHT(B20,SUM(LEN(B20)-LEN(SUBSTITUTE(B20,{"0","1","2","3","4","5","6","7","8","9"},""))))</f>
        <v>1935</v>
      </c>
      <c r="D20" s="2" t="str">
        <f t="shared" si="0"/>
        <v>1935</v>
      </c>
      <c r="E20" s="2" t="str">
        <f t="shared" si="1"/>
        <v>'1935.HK'</v>
      </c>
      <c r="F20" s="4" t="s">
        <v>58</v>
      </c>
      <c r="G20" s="6" t="s">
        <v>14</v>
      </c>
      <c r="H20" s="7">
        <v>2.31</v>
      </c>
      <c r="I20" s="8">
        <v>-1569.5</v>
      </c>
      <c r="J20" s="8">
        <v>3633.9</v>
      </c>
      <c r="K20" s="8">
        <v>19.2</v>
      </c>
      <c r="L20" s="7">
        <v>1.63</v>
      </c>
      <c r="M20" s="11" t="s">
        <v>59</v>
      </c>
    </row>
    <row r="21" spans="1:13" ht="100" x14ac:dyDescent="0.2">
      <c r="A21" s="2" t="s">
        <v>60</v>
      </c>
      <c r="B21" s="2" t="s">
        <v>61</v>
      </c>
      <c r="C21" s="2" t="str">
        <f>RIGHT(B21,SUM(LEN(B21)-LEN(SUBSTITUTE(B21,{"0","1","2","3","4","5","6","7","8","9"},""))))</f>
        <v>9899</v>
      </c>
      <c r="D21" s="2" t="str">
        <f t="shared" si="0"/>
        <v>9899</v>
      </c>
      <c r="E21" s="2" t="str">
        <f t="shared" si="1"/>
        <v>'9899.HK'</v>
      </c>
      <c r="F21" s="4" t="s">
        <v>62</v>
      </c>
      <c r="G21" s="6" t="s">
        <v>14</v>
      </c>
      <c r="H21" s="7">
        <v>3.88</v>
      </c>
      <c r="I21" s="8">
        <v>-8115.5</v>
      </c>
      <c r="J21" s="8">
        <v>17260.099999999999</v>
      </c>
      <c r="K21" s="8">
        <v>21.4</v>
      </c>
      <c r="L21" s="7">
        <v>1.62</v>
      </c>
      <c r="M21" s="11" t="s">
        <v>63</v>
      </c>
    </row>
    <row r="22" spans="1:13" ht="90" x14ac:dyDescent="0.2">
      <c r="A22" s="2" t="s">
        <v>64</v>
      </c>
      <c r="B22" s="2" t="s">
        <v>65</v>
      </c>
      <c r="C22" s="2" t="str">
        <f>RIGHT(B22,SUM(LEN(B22)-LEN(SUBSTITUTE(B22,{"0","1","2","3","4","5","6","7","8","9"},""))))</f>
        <v>9699</v>
      </c>
      <c r="D22" s="2" t="str">
        <f t="shared" si="0"/>
        <v>9699</v>
      </c>
      <c r="E22" s="2" t="str">
        <f t="shared" si="1"/>
        <v>'9699.HK'</v>
      </c>
      <c r="F22" s="4" t="s">
        <v>66</v>
      </c>
      <c r="G22" s="6" t="s">
        <v>14</v>
      </c>
      <c r="H22" s="7">
        <v>4.2699999999999996</v>
      </c>
      <c r="I22" s="8">
        <v>-3475.2</v>
      </c>
      <c r="J22" s="8">
        <v>6114.1</v>
      </c>
      <c r="K22" s="8">
        <v>21.4</v>
      </c>
      <c r="L22" s="7">
        <v>1.61</v>
      </c>
      <c r="M22" s="11" t="s">
        <v>67</v>
      </c>
    </row>
    <row r="23" spans="1:13" ht="190" hidden="1" x14ac:dyDescent="0.2">
      <c r="A23" s="2" t="s">
        <v>68</v>
      </c>
      <c r="B23" s="2" t="s">
        <v>69</v>
      </c>
      <c r="C23" s="2" t="str">
        <f>RIGHT(B23,SUM(LEN(B23)-LEN(SUBSTITUTE(B23,{"0","1","2","3","4","5","6","7","8","9"},""))))</f>
        <v/>
      </c>
      <c r="D23" s="2"/>
      <c r="E23" s="2"/>
      <c r="F23" s="5" t="s">
        <v>14</v>
      </c>
      <c r="G23" s="6" t="s">
        <v>70</v>
      </c>
      <c r="H23" s="7">
        <v>1.81</v>
      </c>
      <c r="I23" s="8">
        <v>-6018.4</v>
      </c>
      <c r="J23" s="8">
        <v>13675.2</v>
      </c>
      <c r="K23" s="8">
        <v>37.700000000000003</v>
      </c>
      <c r="L23" s="7">
        <v>1.59</v>
      </c>
      <c r="M23" s="11" t="s">
        <v>71</v>
      </c>
    </row>
    <row r="24" spans="1:13" ht="90" x14ac:dyDescent="0.2">
      <c r="A24" s="2" t="s">
        <v>72</v>
      </c>
      <c r="B24" s="2" t="s">
        <v>73</v>
      </c>
      <c r="C24" s="2" t="str">
        <f>RIGHT(B24,SUM(LEN(B24)-LEN(SUBSTITUTE(B24,{"0","1","2","3","4","5","6","7","8","9"},""))))</f>
        <v>6820</v>
      </c>
      <c r="D24" s="2" t="str">
        <f t="shared" ref="D24:D87" si="2">IF(LEN(C24)=4,C24,IF(LEN(C24)&lt;4,REPT("0",4-LEN(C24))&amp;C24))</f>
        <v>6820</v>
      </c>
      <c r="E24" s="2" t="str">
        <f t="shared" ref="E24:E80" si="3">"'"&amp;D24&amp;".HK"&amp;"'"</f>
        <v>'6820.HK'</v>
      </c>
      <c r="F24" s="4" t="s">
        <v>74</v>
      </c>
      <c r="G24" s="6" t="s">
        <v>14</v>
      </c>
      <c r="H24" s="7">
        <v>8.1</v>
      </c>
      <c r="I24" s="8">
        <v>-1317.9</v>
      </c>
      <c r="J24" s="8">
        <v>2573.4</v>
      </c>
      <c r="K24" s="7">
        <v>8.8699999999999992</v>
      </c>
      <c r="L24" s="7">
        <v>1.56</v>
      </c>
      <c r="M24" s="11" t="s">
        <v>75</v>
      </c>
    </row>
    <row r="25" spans="1:13" ht="150" x14ac:dyDescent="0.2">
      <c r="A25" s="2" t="s">
        <v>76</v>
      </c>
      <c r="B25" s="2" t="s">
        <v>77</v>
      </c>
      <c r="C25" s="2" t="str">
        <f>RIGHT(B25,SUM(LEN(B25)-LEN(SUBSTITUTE(B25,{"0","1","2","3","4","5","6","7","8","9"},""))))</f>
        <v>8032</v>
      </c>
      <c r="D25" s="2" t="str">
        <f t="shared" si="2"/>
        <v>8032</v>
      </c>
      <c r="E25" s="2" t="str">
        <f t="shared" si="3"/>
        <v>'8032.HK'</v>
      </c>
      <c r="F25" s="4" t="s">
        <v>78</v>
      </c>
      <c r="G25" s="6" t="s">
        <v>14</v>
      </c>
      <c r="H25" s="7">
        <v>3.59</v>
      </c>
      <c r="I25" s="8">
        <v>-2634.8</v>
      </c>
      <c r="J25" s="8">
        <v>11798.3</v>
      </c>
      <c r="K25" s="8">
        <v>14.9</v>
      </c>
      <c r="L25" s="7">
        <v>1.55</v>
      </c>
      <c r="M25" s="11" t="s">
        <v>79</v>
      </c>
    </row>
    <row r="26" spans="1:13" ht="140" x14ac:dyDescent="0.2">
      <c r="A26" s="2" t="s">
        <v>80</v>
      </c>
      <c r="B26" s="2" t="s">
        <v>81</v>
      </c>
      <c r="C26" s="2" t="str">
        <f>RIGHT(B26,SUM(LEN(B26)-LEN(SUBSTITUTE(B26,{"0","1","2","3","4","5","6","7","8","9"},""))))</f>
        <v>265</v>
      </c>
      <c r="D26" s="2" t="str">
        <f t="shared" si="2"/>
        <v>0265</v>
      </c>
      <c r="E26" s="2" t="str">
        <f t="shared" si="3"/>
        <v>'0265.HK'</v>
      </c>
      <c r="F26" s="4" t="s">
        <v>82</v>
      </c>
      <c r="G26" s="6" t="s">
        <v>14</v>
      </c>
      <c r="H26" s="7">
        <v>2.19</v>
      </c>
      <c r="I26" s="8">
        <v>-187.7</v>
      </c>
      <c r="J26" s="8">
        <v>749.5</v>
      </c>
      <c r="K26" s="8">
        <v>27.6</v>
      </c>
      <c r="L26" s="7">
        <v>1.5</v>
      </c>
      <c r="M26" s="11" t="s">
        <v>83</v>
      </c>
    </row>
    <row r="27" spans="1:13" ht="110" x14ac:dyDescent="0.2">
      <c r="A27" s="2" t="s">
        <v>84</v>
      </c>
      <c r="B27" s="2" t="s">
        <v>85</v>
      </c>
      <c r="C27" s="2" t="str">
        <f>RIGHT(B27,SUM(LEN(B27)-LEN(SUBSTITUTE(B27,{"0","1","2","3","4","5","6","7","8","9"},""))))</f>
        <v>1483</v>
      </c>
      <c r="D27" s="2" t="str">
        <f t="shared" si="2"/>
        <v>1483</v>
      </c>
      <c r="E27" s="2" t="str">
        <f t="shared" si="3"/>
        <v>'1483.HK'</v>
      </c>
      <c r="F27" s="4" t="s">
        <v>86</v>
      </c>
      <c r="G27" s="6" t="s">
        <v>14</v>
      </c>
      <c r="H27" s="7">
        <v>3.29</v>
      </c>
      <c r="I27" s="8">
        <v>-329.3</v>
      </c>
      <c r="J27" s="8">
        <v>803</v>
      </c>
      <c r="K27" s="8">
        <v>22.7</v>
      </c>
      <c r="L27" s="7">
        <v>1.5</v>
      </c>
      <c r="M27" s="11" t="s">
        <v>87</v>
      </c>
    </row>
    <row r="28" spans="1:13" ht="140" x14ac:dyDescent="0.2">
      <c r="A28" s="2" t="s">
        <v>88</v>
      </c>
      <c r="B28" s="2" t="s">
        <v>89</v>
      </c>
      <c r="C28" s="2" t="str">
        <f>RIGHT(B28,SUM(LEN(B28)-LEN(SUBSTITUTE(B28,{"0","1","2","3","4","5","6","7","8","9"},""))))</f>
        <v>1995</v>
      </c>
      <c r="D28" s="2" t="str">
        <f t="shared" si="2"/>
        <v>1995</v>
      </c>
      <c r="E28" s="2" t="str">
        <f t="shared" si="3"/>
        <v>'1995.HK'</v>
      </c>
      <c r="F28" s="4" t="s">
        <v>90</v>
      </c>
      <c r="G28" s="6" t="s">
        <v>14</v>
      </c>
      <c r="H28" s="7">
        <v>2.15</v>
      </c>
      <c r="I28" s="8">
        <v>-5441.2</v>
      </c>
      <c r="J28" s="8">
        <v>8326.2999999999993</v>
      </c>
      <c r="K28" s="8">
        <v>35.4</v>
      </c>
      <c r="L28" s="7">
        <v>1.43</v>
      </c>
      <c r="M28" s="11" t="s">
        <v>91</v>
      </c>
    </row>
    <row r="29" spans="1:13" ht="100" x14ac:dyDescent="0.2">
      <c r="A29" s="2" t="s">
        <v>92</v>
      </c>
      <c r="B29" s="2" t="s">
        <v>93</v>
      </c>
      <c r="C29" s="2" t="str">
        <f>RIGHT(B29,SUM(LEN(B29)-LEN(SUBSTITUTE(B29,{"0","1","2","3","4","5","6","7","8","9"},""))))</f>
        <v>9986</v>
      </c>
      <c r="D29" s="2" t="str">
        <f t="shared" si="2"/>
        <v>9986</v>
      </c>
      <c r="E29" s="2" t="str">
        <f t="shared" si="3"/>
        <v>'9986.HK'</v>
      </c>
      <c r="F29" s="4" t="s">
        <v>94</v>
      </c>
      <c r="G29" s="6" t="s">
        <v>14</v>
      </c>
      <c r="H29" s="7">
        <v>4.0599999999999996</v>
      </c>
      <c r="I29" s="8">
        <v>-296.5</v>
      </c>
      <c r="J29" s="8">
        <v>560</v>
      </c>
      <c r="K29" s="8">
        <v>25.1</v>
      </c>
      <c r="L29" s="7">
        <v>1.39</v>
      </c>
      <c r="M29" s="11" t="s">
        <v>95</v>
      </c>
    </row>
    <row r="30" spans="1:13" ht="40" x14ac:dyDescent="0.2">
      <c r="A30" s="2" t="s">
        <v>96</v>
      </c>
      <c r="B30" s="2" t="s">
        <v>97</v>
      </c>
      <c r="C30" s="2" t="str">
        <f>RIGHT(B30,SUM(LEN(B30)-LEN(SUBSTITUTE(B30,{"0","1","2","3","4","5","6","7","8","9"},""))))</f>
        <v>2101</v>
      </c>
      <c r="D30" s="2" t="str">
        <f t="shared" si="2"/>
        <v>2101</v>
      </c>
      <c r="E30" s="2" t="str">
        <f t="shared" si="3"/>
        <v>'2101.HK'</v>
      </c>
      <c r="F30" s="4" t="s">
        <v>98</v>
      </c>
      <c r="G30" s="6" t="s">
        <v>14</v>
      </c>
      <c r="H30" s="7">
        <v>2.96</v>
      </c>
      <c r="I30" s="8">
        <v>-255</v>
      </c>
      <c r="J30" s="8">
        <v>1869.7</v>
      </c>
      <c r="K30" s="8">
        <v>15.5</v>
      </c>
      <c r="L30" s="7">
        <v>1.37</v>
      </c>
      <c r="M30" s="5" t="s">
        <v>99</v>
      </c>
    </row>
    <row r="31" spans="1:13" ht="60" x14ac:dyDescent="0.2">
      <c r="A31" s="2" t="s">
        <v>100</v>
      </c>
      <c r="B31" s="2" t="s">
        <v>101</v>
      </c>
      <c r="C31" s="2" t="str">
        <f>RIGHT(B31,SUM(LEN(B31)-LEN(SUBSTITUTE(B31,{"0","1","2","3","4","5","6","7","8","9"},""))))</f>
        <v>2265</v>
      </c>
      <c r="D31" s="2" t="str">
        <f t="shared" si="2"/>
        <v>2265</v>
      </c>
      <c r="E31" s="2" t="str">
        <f t="shared" si="3"/>
        <v>'2265.HK'</v>
      </c>
      <c r="F31" s="4" t="s">
        <v>102</v>
      </c>
      <c r="G31" s="6" t="s">
        <v>14</v>
      </c>
      <c r="H31" s="7">
        <v>3.51</v>
      </c>
      <c r="I31" s="8">
        <v>-247.9</v>
      </c>
      <c r="J31" s="8">
        <v>660</v>
      </c>
      <c r="K31" s="8">
        <v>37.700000000000003</v>
      </c>
      <c r="L31" s="7">
        <v>1.37</v>
      </c>
      <c r="M31" s="11" t="s">
        <v>103</v>
      </c>
    </row>
    <row r="32" spans="1:13" ht="170" x14ac:dyDescent="0.2">
      <c r="A32" s="2" t="s">
        <v>104</v>
      </c>
      <c r="B32" s="2" t="s">
        <v>105</v>
      </c>
      <c r="C32" s="2" t="str">
        <f>RIGHT(B32,SUM(LEN(B32)-LEN(SUBSTITUTE(B32,{"0","1","2","3","4","5","6","7","8","9"},""))))</f>
        <v>1971</v>
      </c>
      <c r="D32" s="2" t="str">
        <f t="shared" si="2"/>
        <v>1971</v>
      </c>
      <c r="E32" s="2" t="str">
        <f t="shared" si="3"/>
        <v>'1971.HK'</v>
      </c>
      <c r="F32" s="4" t="s">
        <v>106</v>
      </c>
      <c r="G32" s="6" t="s">
        <v>14</v>
      </c>
      <c r="H32" s="7">
        <v>1.84</v>
      </c>
      <c r="I32" s="8">
        <v>-854.6</v>
      </c>
      <c r="J32" s="8">
        <v>1328</v>
      </c>
      <c r="K32" s="8">
        <v>39.5</v>
      </c>
      <c r="L32" s="7">
        <v>1.36</v>
      </c>
      <c r="M32" s="11" t="s">
        <v>107</v>
      </c>
    </row>
    <row r="33" spans="1:13" ht="180" x14ac:dyDescent="0.2">
      <c r="A33" s="2" t="s">
        <v>108</v>
      </c>
      <c r="B33" s="2" t="s">
        <v>109</v>
      </c>
      <c r="C33" s="2" t="str">
        <f>RIGHT(B33,SUM(LEN(B33)-LEN(SUBSTITUTE(B33,{"0","1","2","3","4","5","6","7","8","9"},""))))</f>
        <v>6626</v>
      </c>
      <c r="D33" s="2" t="str">
        <f t="shared" si="2"/>
        <v>6626</v>
      </c>
      <c r="E33" s="2" t="str">
        <f t="shared" si="3"/>
        <v>'6626.HK'</v>
      </c>
      <c r="F33" s="4" t="s">
        <v>110</v>
      </c>
      <c r="G33" s="6" t="s">
        <v>14</v>
      </c>
      <c r="H33" s="7">
        <v>2.89</v>
      </c>
      <c r="I33" s="8">
        <v>-4601.1000000000004</v>
      </c>
      <c r="J33" s="8">
        <v>4961.8</v>
      </c>
      <c r="K33" s="8">
        <v>39.799999999999997</v>
      </c>
      <c r="L33" s="7">
        <v>1.35</v>
      </c>
      <c r="M33" s="11" t="s">
        <v>111</v>
      </c>
    </row>
    <row r="34" spans="1:13" ht="100" x14ac:dyDescent="0.2">
      <c r="A34" s="2" t="s">
        <v>112</v>
      </c>
      <c r="B34" s="2" t="s">
        <v>113</v>
      </c>
      <c r="C34" s="2" t="str">
        <f>RIGHT(B34,SUM(LEN(B34)-LEN(SUBSTITUTE(B34,{"0","1","2","3","4","5","6","7","8","9"},""))))</f>
        <v>6100</v>
      </c>
      <c r="D34" s="2" t="str">
        <f t="shared" si="2"/>
        <v>6100</v>
      </c>
      <c r="E34" s="2" t="str">
        <f t="shared" si="3"/>
        <v>'6100.HK'</v>
      </c>
      <c r="F34" s="4" t="s">
        <v>114</v>
      </c>
      <c r="G34" s="6" t="s">
        <v>14</v>
      </c>
      <c r="H34" s="7">
        <v>1.04</v>
      </c>
      <c r="I34" s="8">
        <v>-1580.3</v>
      </c>
      <c r="J34" s="8">
        <v>4869.3</v>
      </c>
      <c r="K34" s="8">
        <v>34.6</v>
      </c>
      <c r="L34" s="7">
        <v>1.3</v>
      </c>
      <c r="M34" s="11" t="s">
        <v>115</v>
      </c>
    </row>
    <row r="35" spans="1:13" ht="110" x14ac:dyDescent="0.2">
      <c r="A35" s="2" t="s">
        <v>116</v>
      </c>
      <c r="B35" s="2" t="s">
        <v>117</v>
      </c>
      <c r="C35" s="2" t="str">
        <f>RIGHT(B35,SUM(LEN(B35)-LEN(SUBSTITUTE(B35,{"0","1","2","3","4","5","6","7","8","9"},""))))</f>
        <v>1925</v>
      </c>
      <c r="D35" s="2" t="str">
        <f t="shared" si="2"/>
        <v>1925</v>
      </c>
      <c r="E35" s="2" t="str">
        <f t="shared" si="3"/>
        <v>'1925.HK'</v>
      </c>
      <c r="F35" s="4" t="s">
        <v>118</v>
      </c>
      <c r="G35" s="6" t="s">
        <v>14</v>
      </c>
      <c r="H35" s="7">
        <v>2.14</v>
      </c>
      <c r="I35" s="8">
        <v>-154.4</v>
      </c>
      <c r="J35" s="8">
        <v>563</v>
      </c>
      <c r="K35" s="8">
        <v>31.4</v>
      </c>
      <c r="L35" s="7">
        <v>1.24</v>
      </c>
      <c r="M35" s="11" t="s">
        <v>119</v>
      </c>
    </row>
    <row r="36" spans="1:13" ht="80" x14ac:dyDescent="0.2">
      <c r="A36" s="2" t="s">
        <v>120</v>
      </c>
      <c r="B36" s="2" t="s">
        <v>121</v>
      </c>
      <c r="C36" s="2" t="str">
        <f>RIGHT(B36,SUM(LEN(B36)-LEN(SUBSTITUTE(B36,{"0","1","2","3","4","5","6","7","8","9"},""))))</f>
        <v>1543</v>
      </c>
      <c r="D36" s="2" t="str">
        <f t="shared" si="2"/>
        <v>1543</v>
      </c>
      <c r="E36" s="2" t="str">
        <f t="shared" si="3"/>
        <v>'1543.HK'</v>
      </c>
      <c r="F36" s="4" t="s">
        <v>122</v>
      </c>
      <c r="G36" s="6" t="s">
        <v>14</v>
      </c>
      <c r="H36" s="7">
        <v>8.67</v>
      </c>
      <c r="I36" s="8">
        <v>-421.1</v>
      </c>
      <c r="J36" s="8">
        <v>2965.5</v>
      </c>
      <c r="K36" s="8">
        <v>31.2</v>
      </c>
      <c r="L36" s="7">
        <v>1.24</v>
      </c>
      <c r="M36" s="11" t="s">
        <v>123</v>
      </c>
    </row>
    <row r="37" spans="1:13" ht="130" x14ac:dyDescent="0.2">
      <c r="A37" s="2" t="s">
        <v>124</v>
      </c>
      <c r="B37" s="2" t="s">
        <v>125</v>
      </c>
      <c r="C37" s="2" t="str">
        <f>RIGHT(B37,SUM(LEN(B37)-LEN(SUBSTITUTE(B37,{"0","1","2","3","4","5","6","7","8","9"},""))))</f>
        <v>9983</v>
      </c>
      <c r="D37" s="2" t="str">
        <f t="shared" si="2"/>
        <v>9983</v>
      </c>
      <c r="E37" s="2" t="str">
        <f t="shared" si="3"/>
        <v>'9983.HK'</v>
      </c>
      <c r="F37" s="4" t="s">
        <v>126</v>
      </c>
      <c r="G37" s="6" t="s">
        <v>14</v>
      </c>
      <c r="H37" s="7">
        <v>2.5</v>
      </c>
      <c r="I37" s="8">
        <v>-2786</v>
      </c>
      <c r="J37" s="8">
        <v>4083.9</v>
      </c>
      <c r="K37" s="8">
        <v>39.299999999999997</v>
      </c>
      <c r="L37" s="7">
        <v>1.2</v>
      </c>
      <c r="M37" s="11" t="s">
        <v>127</v>
      </c>
    </row>
    <row r="38" spans="1:13" ht="80" x14ac:dyDescent="0.2">
      <c r="A38" s="2" t="s">
        <v>128</v>
      </c>
      <c r="B38" s="2" t="s">
        <v>129</v>
      </c>
      <c r="C38" s="2" t="str">
        <f>RIGHT(B38,SUM(LEN(B38)-LEN(SUBSTITUTE(B38,{"0","1","2","3","4","5","6","7","8","9"},""))))</f>
        <v>6858</v>
      </c>
      <c r="D38" s="2" t="str">
        <f t="shared" si="2"/>
        <v>6858</v>
      </c>
      <c r="E38" s="2" t="str">
        <f t="shared" si="3"/>
        <v>'6858.HK'</v>
      </c>
      <c r="F38" s="4" t="s">
        <v>130</v>
      </c>
      <c r="G38" s="6" t="s">
        <v>14</v>
      </c>
      <c r="H38" s="7">
        <v>1.47</v>
      </c>
      <c r="I38" s="8">
        <v>-309</v>
      </c>
      <c r="J38" s="8">
        <v>1968.3</v>
      </c>
      <c r="K38" s="8">
        <v>38.799999999999997</v>
      </c>
      <c r="L38" s="7">
        <v>1.2</v>
      </c>
      <c r="M38" s="11" t="s">
        <v>131</v>
      </c>
    </row>
    <row r="39" spans="1:13" ht="120" x14ac:dyDescent="0.2">
      <c r="A39" s="2" t="s">
        <v>132</v>
      </c>
      <c r="B39" s="2" t="s">
        <v>133</v>
      </c>
      <c r="C39" s="2" t="str">
        <f>RIGHT(B39,SUM(LEN(B39)-LEN(SUBSTITUTE(B39,{"0","1","2","3","4","5","6","7","8","9"},""))))</f>
        <v>1970</v>
      </c>
      <c r="D39" s="2" t="str">
        <f t="shared" si="2"/>
        <v>1970</v>
      </c>
      <c r="E39" s="2" t="str">
        <f t="shared" si="3"/>
        <v>'1970.HK'</v>
      </c>
      <c r="F39" s="4" t="s">
        <v>134</v>
      </c>
      <c r="G39" s="6" t="s">
        <v>14</v>
      </c>
      <c r="H39" s="7">
        <v>2.86</v>
      </c>
      <c r="I39" s="8">
        <v>-734.2</v>
      </c>
      <c r="J39" s="8">
        <v>2169.5</v>
      </c>
      <c r="K39" s="8">
        <v>27.4</v>
      </c>
      <c r="L39" s="7">
        <v>1.19</v>
      </c>
      <c r="M39" s="11" t="s">
        <v>135</v>
      </c>
    </row>
    <row r="40" spans="1:13" ht="140" x14ac:dyDescent="0.2">
      <c r="A40" s="2" t="s">
        <v>136</v>
      </c>
      <c r="B40" s="2" t="s">
        <v>137</v>
      </c>
      <c r="C40" s="2" t="str">
        <f>RIGHT(B40,SUM(LEN(B40)-LEN(SUBSTITUTE(B40,{"0","1","2","3","4","5","6","7","8","9"},""))))</f>
        <v>799</v>
      </c>
      <c r="D40" s="2" t="str">
        <f t="shared" si="2"/>
        <v>0799</v>
      </c>
      <c r="E40" s="2" t="str">
        <f t="shared" si="3"/>
        <v>'0799.HK'</v>
      </c>
      <c r="F40" s="4" t="s">
        <v>138</v>
      </c>
      <c r="G40" s="6" t="s">
        <v>14</v>
      </c>
      <c r="H40" s="7">
        <v>2.29</v>
      </c>
      <c r="I40" s="8">
        <v>-1797.8</v>
      </c>
      <c r="J40" s="8">
        <v>3651.9</v>
      </c>
      <c r="K40" s="8">
        <v>25.6</v>
      </c>
      <c r="L40" s="7">
        <v>1.19</v>
      </c>
      <c r="M40" s="11" t="s">
        <v>139</v>
      </c>
    </row>
    <row r="41" spans="1:13" ht="80" x14ac:dyDescent="0.2">
      <c r="A41" s="2" t="s">
        <v>140</v>
      </c>
      <c r="B41" s="2" t="s">
        <v>141</v>
      </c>
      <c r="C41" s="2" t="str">
        <f>RIGHT(B41,SUM(LEN(B41)-LEN(SUBSTITUTE(B41,{"0","1","2","3","4","5","6","7","8","9"},""))))</f>
        <v>6668</v>
      </c>
      <c r="D41" s="2" t="str">
        <f t="shared" si="2"/>
        <v>6668</v>
      </c>
      <c r="E41" s="2" t="str">
        <f t="shared" si="3"/>
        <v>'6668.HK'</v>
      </c>
      <c r="F41" s="4" t="s">
        <v>142</v>
      </c>
      <c r="G41" s="6" t="s">
        <v>14</v>
      </c>
      <c r="H41" s="7">
        <v>5.68</v>
      </c>
      <c r="I41" s="8">
        <v>-1481.7</v>
      </c>
      <c r="J41" s="8">
        <v>1550.2</v>
      </c>
      <c r="K41" s="8">
        <v>20.5</v>
      </c>
      <c r="L41" s="7">
        <v>1.19</v>
      </c>
      <c r="M41" s="11" t="s">
        <v>143</v>
      </c>
    </row>
    <row r="42" spans="1:13" ht="140" x14ac:dyDescent="0.2">
      <c r="A42" s="2" t="s">
        <v>144</v>
      </c>
      <c r="B42" s="2" t="s">
        <v>145</v>
      </c>
      <c r="C42" s="2" t="str">
        <f>RIGHT(B42,SUM(LEN(B42)-LEN(SUBSTITUTE(B42,{"0","1","2","3","4","5","6","7","8","9"},""))))</f>
        <v>189</v>
      </c>
      <c r="D42" s="2" t="str">
        <f t="shared" si="2"/>
        <v>0189</v>
      </c>
      <c r="E42" s="2" t="str">
        <f t="shared" si="3"/>
        <v>'0189.HK'</v>
      </c>
      <c r="F42" s="4" t="s">
        <v>146</v>
      </c>
      <c r="G42" s="6" t="s">
        <v>14</v>
      </c>
      <c r="H42" s="7">
        <v>1.46</v>
      </c>
      <c r="I42" s="8">
        <v>-5631.2</v>
      </c>
      <c r="J42" s="8">
        <v>19178.8</v>
      </c>
      <c r="K42" s="8">
        <v>27.6</v>
      </c>
      <c r="L42" s="7">
        <v>1.18</v>
      </c>
      <c r="M42" s="11" t="s">
        <v>147</v>
      </c>
    </row>
    <row r="43" spans="1:13" ht="50" x14ac:dyDescent="0.2">
      <c r="A43" s="2" t="s">
        <v>148</v>
      </c>
      <c r="B43" s="2" t="s">
        <v>149</v>
      </c>
      <c r="C43" s="2" t="str">
        <f>RIGHT(B43,SUM(LEN(B43)-LEN(SUBSTITUTE(B43,{"0","1","2","3","4","5","6","7","8","9"},""))))</f>
        <v>606</v>
      </c>
      <c r="D43" s="2" t="str">
        <f t="shared" si="2"/>
        <v>0606</v>
      </c>
      <c r="E43" s="2" t="str">
        <f t="shared" si="3"/>
        <v>'0606.HK'</v>
      </c>
      <c r="F43" s="4" t="s">
        <v>150</v>
      </c>
      <c r="G43" s="6" t="s">
        <v>14</v>
      </c>
      <c r="H43" s="7">
        <v>4.91</v>
      </c>
      <c r="I43" s="8">
        <v>-3545</v>
      </c>
      <c r="J43" s="8">
        <v>3589.7</v>
      </c>
      <c r="K43" s="8">
        <v>20.100000000000001</v>
      </c>
      <c r="L43" s="7">
        <v>1.18</v>
      </c>
      <c r="M43" s="12" t="s">
        <v>151</v>
      </c>
    </row>
    <row r="44" spans="1:13" ht="100" x14ac:dyDescent="0.2">
      <c r="A44" s="2" t="s">
        <v>152</v>
      </c>
      <c r="B44" s="2" t="s">
        <v>153</v>
      </c>
      <c r="C44" s="2" t="str">
        <f>RIGHT(B44,SUM(LEN(B44)-LEN(SUBSTITUTE(B44,{"0","1","2","3","4","5","6","7","8","9"},""))))</f>
        <v>709</v>
      </c>
      <c r="D44" s="2" t="str">
        <f t="shared" si="2"/>
        <v>0709</v>
      </c>
      <c r="E44" s="2" t="str">
        <f t="shared" si="3"/>
        <v>'0709.HK'</v>
      </c>
      <c r="F44" s="4" t="s">
        <v>154</v>
      </c>
      <c r="G44" s="6" t="s">
        <v>14</v>
      </c>
      <c r="H44" s="7">
        <v>1.31</v>
      </c>
      <c r="I44" s="8">
        <v>-238</v>
      </c>
      <c r="J44" s="8">
        <v>2859.5</v>
      </c>
      <c r="K44" s="8">
        <v>39.1</v>
      </c>
      <c r="L44" s="7">
        <v>1.17</v>
      </c>
      <c r="M44" s="11" t="s">
        <v>155</v>
      </c>
    </row>
    <row r="45" spans="1:13" ht="150" x14ac:dyDescent="0.2">
      <c r="A45" s="2" t="s">
        <v>156</v>
      </c>
      <c r="B45" s="2" t="s">
        <v>157</v>
      </c>
      <c r="C45" s="2" t="str">
        <f>RIGHT(B45,SUM(LEN(B45)-LEN(SUBSTITUTE(B45,{"0","1","2","3","4","5","6","7","8","9"},""))))</f>
        <v>543</v>
      </c>
      <c r="D45" s="2" t="str">
        <f t="shared" si="2"/>
        <v>0543</v>
      </c>
      <c r="E45" s="2" t="str">
        <f t="shared" si="3"/>
        <v>'0543.HK'</v>
      </c>
      <c r="F45" s="4" t="s">
        <v>158</v>
      </c>
      <c r="G45" s="6" t="s">
        <v>14</v>
      </c>
      <c r="H45" s="7">
        <v>2.54</v>
      </c>
      <c r="I45" s="8">
        <v>-590.70000000000005</v>
      </c>
      <c r="J45" s="8">
        <v>1109</v>
      </c>
      <c r="K45" s="8">
        <v>26.5</v>
      </c>
      <c r="L45" s="7">
        <v>1.1299999999999999</v>
      </c>
      <c r="M45" s="11" t="s">
        <v>159</v>
      </c>
    </row>
    <row r="46" spans="1:13" ht="170" x14ac:dyDescent="0.2">
      <c r="A46" s="2" t="s">
        <v>160</v>
      </c>
      <c r="B46" s="2" t="s">
        <v>161</v>
      </c>
      <c r="C46" s="2" t="str">
        <f>RIGHT(B46,SUM(LEN(B46)-LEN(SUBSTITUTE(B46,{"0","1","2","3","4","5","6","7","8","9"},""))))</f>
        <v>3658</v>
      </c>
      <c r="D46" s="2" t="str">
        <f t="shared" si="2"/>
        <v>3658</v>
      </c>
      <c r="E46" s="2" t="str">
        <f t="shared" si="3"/>
        <v>'3658.HK'</v>
      </c>
      <c r="F46" s="4" t="s">
        <v>162</v>
      </c>
      <c r="G46" s="6" t="s">
        <v>14</v>
      </c>
      <c r="H46" s="7">
        <v>2.83</v>
      </c>
      <c r="I46" s="8">
        <v>-1276.8</v>
      </c>
      <c r="J46" s="8">
        <v>1302.5999999999999</v>
      </c>
      <c r="K46" s="8">
        <v>36</v>
      </c>
      <c r="L46" s="7">
        <v>1.1200000000000001</v>
      </c>
      <c r="M46" s="11" t="s">
        <v>163</v>
      </c>
    </row>
    <row r="47" spans="1:13" ht="150" x14ac:dyDescent="0.2">
      <c r="A47" s="2" t="s">
        <v>164</v>
      </c>
      <c r="B47" s="2" t="s">
        <v>165</v>
      </c>
      <c r="C47" s="2" t="str">
        <f>RIGHT(B47,SUM(LEN(B47)-LEN(SUBSTITUTE(B47,{"0","1","2","3","4","5","6","7","8","9"},""))))</f>
        <v>1303</v>
      </c>
      <c r="D47" s="2" t="str">
        <f t="shared" si="2"/>
        <v>1303</v>
      </c>
      <c r="E47" s="2" t="str">
        <f t="shared" si="3"/>
        <v>'1303.HK'</v>
      </c>
      <c r="F47" s="4" t="s">
        <v>166</v>
      </c>
      <c r="G47" s="6" t="s">
        <v>14</v>
      </c>
      <c r="H47" s="7">
        <v>1.78</v>
      </c>
      <c r="I47" s="8">
        <v>-287.2</v>
      </c>
      <c r="J47" s="8">
        <v>550.79999999999995</v>
      </c>
      <c r="K47" s="8">
        <v>29.8</v>
      </c>
      <c r="L47" s="7">
        <v>1.1100000000000001</v>
      </c>
      <c r="M47" s="11" t="s">
        <v>167</v>
      </c>
    </row>
    <row r="48" spans="1:13" ht="40" x14ac:dyDescent="0.2">
      <c r="A48" s="2" t="s">
        <v>168</v>
      </c>
      <c r="B48" s="2" t="s">
        <v>169</v>
      </c>
      <c r="C48" s="2" t="str">
        <f>RIGHT(B48,SUM(LEN(B48)-LEN(SUBSTITUTE(B48,{"0","1","2","3","4","5","6","7","8","9"},""))))</f>
        <v>1651</v>
      </c>
      <c r="D48" s="2" t="str">
        <f t="shared" si="2"/>
        <v>1651</v>
      </c>
      <c r="E48" s="2" t="str">
        <f t="shared" si="3"/>
        <v>'1651.HK'</v>
      </c>
      <c r="F48" s="4" t="s">
        <v>170</v>
      </c>
      <c r="G48" s="6" t="s">
        <v>14</v>
      </c>
      <c r="H48" s="7">
        <v>1.47</v>
      </c>
      <c r="I48" s="8">
        <v>-655.5</v>
      </c>
      <c r="J48" s="8">
        <v>3031.2</v>
      </c>
      <c r="K48" s="8">
        <v>36.799999999999997</v>
      </c>
      <c r="L48" s="7">
        <v>1.1100000000000001</v>
      </c>
      <c r="M48" s="5" t="s">
        <v>171</v>
      </c>
    </row>
    <row r="49" spans="1:13" ht="60" x14ac:dyDescent="0.2">
      <c r="A49" s="2" t="s">
        <v>172</v>
      </c>
      <c r="B49" s="2" t="s">
        <v>173</v>
      </c>
      <c r="C49" s="2" t="str">
        <f>RIGHT(B49,SUM(LEN(B49)-LEN(SUBSTITUTE(B49,{"0","1","2","3","4","5","6","7","8","9"},""))))</f>
        <v>8479</v>
      </c>
      <c r="D49" s="2" t="str">
        <f t="shared" si="2"/>
        <v>8479</v>
      </c>
      <c r="E49" s="2" t="str">
        <f t="shared" si="3"/>
        <v>'8479.HK'</v>
      </c>
      <c r="F49" s="4" t="s">
        <v>174</v>
      </c>
      <c r="G49" s="6" t="s">
        <v>14</v>
      </c>
      <c r="H49" s="7">
        <v>2.69</v>
      </c>
      <c r="I49" s="7">
        <v>-5.21</v>
      </c>
      <c r="J49" s="8">
        <v>530.1</v>
      </c>
      <c r="K49" s="8">
        <v>35.200000000000003</v>
      </c>
      <c r="L49" s="7">
        <v>1.1000000000000001</v>
      </c>
      <c r="M49" s="11" t="s">
        <v>175</v>
      </c>
    </row>
    <row r="50" spans="1:13" ht="60" x14ac:dyDescent="0.2">
      <c r="A50" s="2" t="s">
        <v>176</v>
      </c>
      <c r="B50" s="2" t="s">
        <v>177</v>
      </c>
      <c r="C50" s="2" t="str">
        <f>RIGHT(B50,SUM(LEN(B50)-LEN(SUBSTITUTE(B50,{"0","1","2","3","4","5","6","7","8","9"},""))))</f>
        <v>2180</v>
      </c>
      <c r="D50" s="2" t="str">
        <f t="shared" si="2"/>
        <v>2180</v>
      </c>
      <c r="E50" s="2" t="str">
        <f t="shared" si="3"/>
        <v>'2180.HK'</v>
      </c>
      <c r="F50" s="4" t="s">
        <v>178</v>
      </c>
      <c r="G50" s="6" t="s">
        <v>14</v>
      </c>
      <c r="H50" s="7">
        <v>2.79</v>
      </c>
      <c r="I50" s="8">
        <v>-1272.3</v>
      </c>
      <c r="J50" s="8">
        <v>1649.7</v>
      </c>
      <c r="K50" s="8">
        <v>33.200000000000003</v>
      </c>
      <c r="L50" s="7">
        <v>1.1000000000000001</v>
      </c>
      <c r="M50" s="11" t="s">
        <v>179</v>
      </c>
    </row>
    <row r="51" spans="1:13" ht="130" x14ac:dyDescent="0.2">
      <c r="A51" s="2" t="s">
        <v>180</v>
      </c>
      <c r="B51" s="2" t="s">
        <v>181</v>
      </c>
      <c r="C51" s="2" t="str">
        <f>RIGHT(B51,SUM(LEN(B51)-LEN(SUBSTITUTE(B51,{"0","1","2","3","4","5","6","7","8","9"},""))))</f>
        <v>1357</v>
      </c>
      <c r="D51" s="2" t="str">
        <f t="shared" si="2"/>
        <v>1357</v>
      </c>
      <c r="E51" s="2" t="str">
        <f t="shared" si="3"/>
        <v>'1357.HK'</v>
      </c>
      <c r="F51" s="4" t="s">
        <v>182</v>
      </c>
      <c r="G51" s="6" t="s">
        <v>14</v>
      </c>
      <c r="H51" s="7">
        <v>2.1800000000000002</v>
      </c>
      <c r="I51" s="8">
        <v>-1448</v>
      </c>
      <c r="J51" s="8">
        <v>4368.2</v>
      </c>
      <c r="K51" s="8">
        <v>25.9</v>
      </c>
      <c r="L51" s="7">
        <v>1.07</v>
      </c>
      <c r="M51" s="11" t="s">
        <v>183</v>
      </c>
    </row>
    <row r="52" spans="1:13" ht="140" x14ac:dyDescent="0.2">
      <c r="A52" s="2" t="s">
        <v>184</v>
      </c>
      <c r="B52" s="2" t="s">
        <v>185</v>
      </c>
      <c r="C52" s="2" t="str">
        <f>RIGHT(B52,SUM(LEN(B52)-LEN(SUBSTITUTE(B52,{"0","1","2","3","4","5","6","7","8","9"},""))))</f>
        <v>2119</v>
      </c>
      <c r="D52" s="2" t="str">
        <f t="shared" si="2"/>
        <v>2119</v>
      </c>
      <c r="E52" s="2" t="str">
        <f t="shared" si="3"/>
        <v>'2119.HK'</v>
      </c>
      <c r="F52" s="4" t="s">
        <v>186</v>
      </c>
      <c r="G52" s="6" t="s">
        <v>14</v>
      </c>
      <c r="H52" s="7">
        <v>2.6</v>
      </c>
      <c r="I52" s="8">
        <v>-243</v>
      </c>
      <c r="J52" s="8">
        <v>598.20000000000005</v>
      </c>
      <c r="K52" s="8">
        <v>22.8</v>
      </c>
      <c r="L52" s="7">
        <v>1.06</v>
      </c>
      <c r="M52" s="11" t="s">
        <v>187</v>
      </c>
    </row>
    <row r="53" spans="1:13" ht="100" x14ac:dyDescent="0.2">
      <c r="A53" s="2" t="s">
        <v>188</v>
      </c>
      <c r="B53" s="2" t="s">
        <v>189</v>
      </c>
      <c r="C53" s="2" t="str">
        <f>RIGHT(B53,SUM(LEN(B53)-LEN(SUBSTITUTE(B53,{"0","1","2","3","4","5","6","7","8","9"},""))))</f>
        <v>6822</v>
      </c>
      <c r="D53" s="2" t="str">
        <f t="shared" si="2"/>
        <v>6822</v>
      </c>
      <c r="E53" s="2" t="str">
        <f t="shared" si="3"/>
        <v>'6822.HK'</v>
      </c>
      <c r="F53" s="4" t="s">
        <v>190</v>
      </c>
      <c r="G53" s="6" t="s">
        <v>14</v>
      </c>
      <c r="H53" s="7">
        <v>3.2</v>
      </c>
      <c r="I53" s="8">
        <v>-178.8</v>
      </c>
      <c r="J53" s="8">
        <v>630</v>
      </c>
      <c r="K53" s="8">
        <v>18.3</v>
      </c>
      <c r="L53" s="7">
        <v>1.06</v>
      </c>
      <c r="M53" s="11" t="s">
        <v>191</v>
      </c>
    </row>
    <row r="54" spans="1:13" ht="90" x14ac:dyDescent="0.2">
      <c r="A54" s="2" t="s">
        <v>192</v>
      </c>
      <c r="B54" s="2" t="s">
        <v>193</v>
      </c>
      <c r="C54" s="2" t="str">
        <f>RIGHT(B54,SUM(LEN(B54)-LEN(SUBSTITUTE(B54,{"0","1","2","3","4","5","6","7","8","9"},""))))</f>
        <v>398</v>
      </c>
      <c r="D54" s="2" t="str">
        <f t="shared" si="2"/>
        <v>0398</v>
      </c>
      <c r="E54" s="2" t="str">
        <f t="shared" si="3"/>
        <v>'0398.HK'</v>
      </c>
      <c r="F54" s="4" t="s">
        <v>194</v>
      </c>
      <c r="G54" s="6" t="s">
        <v>14</v>
      </c>
      <c r="H54" s="7">
        <v>3.06</v>
      </c>
      <c r="I54" s="8">
        <v>-824.9</v>
      </c>
      <c r="J54" s="8">
        <v>2154.1</v>
      </c>
      <c r="K54" s="8">
        <v>29.3</v>
      </c>
      <c r="L54" s="7">
        <v>1.06</v>
      </c>
      <c r="M54" s="11" t="s">
        <v>195</v>
      </c>
    </row>
    <row r="55" spans="1:13" ht="170" x14ac:dyDescent="0.2">
      <c r="A55" s="2" t="s">
        <v>196</v>
      </c>
      <c r="B55" s="2" t="s">
        <v>197</v>
      </c>
      <c r="C55" s="2" t="str">
        <f>RIGHT(B55,SUM(LEN(B55)-LEN(SUBSTITUTE(B55,{"0","1","2","3","4","5","6","7","8","9"},""))))</f>
        <v>837</v>
      </c>
      <c r="D55" s="2" t="str">
        <f t="shared" si="2"/>
        <v>0837</v>
      </c>
      <c r="E55" s="2" t="str">
        <f t="shared" si="3"/>
        <v>'0837.HK'</v>
      </c>
      <c r="F55" s="4" t="s">
        <v>198</v>
      </c>
      <c r="G55" s="6" t="s">
        <v>14</v>
      </c>
      <c r="H55" s="7">
        <v>4.74</v>
      </c>
      <c r="I55" s="8">
        <v>-416.9</v>
      </c>
      <c r="J55" s="8">
        <v>800.9</v>
      </c>
      <c r="K55" s="8">
        <v>14.3</v>
      </c>
      <c r="L55" s="7">
        <v>1.03</v>
      </c>
      <c r="M55" s="11" t="s">
        <v>199</v>
      </c>
    </row>
    <row r="56" spans="1:13" ht="180" x14ac:dyDescent="0.2">
      <c r="A56" s="2" t="s">
        <v>200</v>
      </c>
      <c r="B56" s="2" t="s">
        <v>201</v>
      </c>
      <c r="C56" s="2" t="str">
        <f>RIGHT(B56,SUM(LEN(B56)-LEN(SUBSTITUTE(B56,{"0","1","2","3","4","5","6","7","8","9"},""))))</f>
        <v>777</v>
      </c>
      <c r="D56" s="2" t="str">
        <f t="shared" si="2"/>
        <v>0777</v>
      </c>
      <c r="E56" s="2" t="str">
        <f t="shared" si="3"/>
        <v>'0777.HK'</v>
      </c>
      <c r="F56" s="4" t="s">
        <v>202</v>
      </c>
      <c r="G56" s="6" t="s">
        <v>14</v>
      </c>
      <c r="H56" s="7">
        <v>2.23</v>
      </c>
      <c r="I56" s="8">
        <v>-3317.1</v>
      </c>
      <c r="J56" s="8">
        <v>8165.6</v>
      </c>
      <c r="K56" s="8">
        <v>35</v>
      </c>
      <c r="L56" s="7">
        <v>1.01</v>
      </c>
      <c r="M56" s="11" t="s">
        <v>203</v>
      </c>
    </row>
    <row r="57" spans="1:13" ht="130" x14ac:dyDescent="0.2">
      <c r="A57" s="2" t="s">
        <v>204</v>
      </c>
      <c r="B57" s="2" t="s">
        <v>205</v>
      </c>
      <c r="C57" s="2" t="str">
        <f>RIGHT(B57,SUM(LEN(B57)-LEN(SUBSTITUTE(B57,{"0","1","2","3","4","5","6","7","8","9"},""))))</f>
        <v>2327</v>
      </c>
      <c r="D57" s="2" t="str">
        <f t="shared" si="2"/>
        <v>2327</v>
      </c>
      <c r="E57" s="2" t="str">
        <f t="shared" si="3"/>
        <v>'2327.HK'</v>
      </c>
      <c r="F57" s="4" t="s">
        <v>206</v>
      </c>
      <c r="G57" s="6" t="s">
        <v>14</v>
      </c>
      <c r="H57" s="7">
        <v>4.26</v>
      </c>
      <c r="I57" s="8">
        <v>-210</v>
      </c>
      <c r="J57" s="8">
        <v>1310.3</v>
      </c>
      <c r="K57" s="8">
        <v>17.600000000000001</v>
      </c>
      <c r="L57" s="10">
        <v>0.99199999999999999</v>
      </c>
      <c r="M57" s="11" t="s">
        <v>207</v>
      </c>
    </row>
    <row r="58" spans="1:13" ht="80" x14ac:dyDescent="0.2">
      <c r="A58" s="2" t="s">
        <v>208</v>
      </c>
      <c r="B58" s="2" t="s">
        <v>209</v>
      </c>
      <c r="C58" s="2" t="str">
        <f>RIGHT(B58,SUM(LEN(B58)-LEN(SUBSTITUTE(B58,{"0","1","2","3","4","5","6","7","8","9"},""))))</f>
        <v>6677</v>
      </c>
      <c r="D58" s="2" t="str">
        <f t="shared" si="2"/>
        <v>6677</v>
      </c>
      <c r="E58" s="2" t="str">
        <f t="shared" si="3"/>
        <v>'6677.HK'</v>
      </c>
      <c r="F58" s="4" t="s">
        <v>210</v>
      </c>
      <c r="G58" s="6" t="s">
        <v>14</v>
      </c>
      <c r="H58" s="7">
        <v>2.37</v>
      </c>
      <c r="I58" s="8">
        <v>-3099.7</v>
      </c>
      <c r="J58" s="8">
        <v>2888.9</v>
      </c>
      <c r="K58" s="8">
        <v>36.4</v>
      </c>
      <c r="L58" s="10">
        <v>0.98</v>
      </c>
      <c r="M58" s="11" t="s">
        <v>211</v>
      </c>
    </row>
    <row r="59" spans="1:13" ht="160" x14ac:dyDescent="0.2">
      <c r="A59" s="2" t="s">
        <v>212</v>
      </c>
      <c r="B59" s="2" t="s">
        <v>213</v>
      </c>
      <c r="C59" s="2" t="str">
        <f>RIGHT(B59,SUM(LEN(B59)-LEN(SUBSTITUTE(B59,{"0","1","2","3","4","5","6","7","8","9"},""))))</f>
        <v>6989</v>
      </c>
      <c r="D59" s="2" t="str">
        <f t="shared" si="2"/>
        <v>6989</v>
      </c>
      <c r="E59" s="2" t="str">
        <f t="shared" si="3"/>
        <v>'6989.HK'</v>
      </c>
      <c r="F59" s="4" t="s">
        <v>214</v>
      </c>
      <c r="G59" s="6" t="s">
        <v>14</v>
      </c>
      <c r="H59" s="7">
        <v>2.82</v>
      </c>
      <c r="I59" s="8">
        <v>-3552</v>
      </c>
      <c r="J59" s="8">
        <v>4124.8</v>
      </c>
      <c r="K59" s="8">
        <v>31.7</v>
      </c>
      <c r="L59" s="10">
        <v>0.97399999999999998</v>
      </c>
      <c r="M59" s="11" t="s">
        <v>215</v>
      </c>
    </row>
    <row r="60" spans="1:13" ht="80" x14ac:dyDescent="0.2">
      <c r="A60" s="2" t="s">
        <v>216</v>
      </c>
      <c r="B60" s="2" t="s">
        <v>217</v>
      </c>
      <c r="C60" s="2" t="str">
        <f>RIGHT(B60,SUM(LEN(B60)-LEN(SUBSTITUTE(B60,{"0","1","2","3","4","5","6","7","8","9"},""))))</f>
        <v>1234</v>
      </c>
      <c r="D60" s="2" t="str">
        <f t="shared" si="2"/>
        <v>1234</v>
      </c>
      <c r="E60" s="2" t="str">
        <f t="shared" si="3"/>
        <v>'1234.HK'</v>
      </c>
      <c r="F60" s="4" t="s">
        <v>218</v>
      </c>
      <c r="G60" s="6" t="s">
        <v>14</v>
      </c>
      <c r="H60" s="7">
        <v>1.63</v>
      </c>
      <c r="I60" s="8">
        <v>-1642.1</v>
      </c>
      <c r="J60" s="8">
        <v>4167.2</v>
      </c>
      <c r="K60" s="8">
        <v>26.6</v>
      </c>
      <c r="L60" s="10">
        <v>0.96399999999999997</v>
      </c>
      <c r="M60" s="11" t="s">
        <v>219</v>
      </c>
    </row>
    <row r="61" spans="1:13" ht="60" x14ac:dyDescent="0.2">
      <c r="A61" s="2" t="s">
        <v>220</v>
      </c>
      <c r="B61" s="2" t="s">
        <v>221</v>
      </c>
      <c r="C61" s="2" t="str">
        <f>RIGHT(B61,SUM(LEN(B61)-LEN(SUBSTITUTE(B61,{"0","1","2","3","4","5","6","7","8","9"},""))))</f>
        <v>609</v>
      </c>
      <c r="D61" s="2" t="str">
        <f t="shared" si="2"/>
        <v>0609</v>
      </c>
      <c r="E61" s="2" t="str">
        <f t="shared" si="3"/>
        <v>'0609.HK'</v>
      </c>
      <c r="F61" s="4" t="s">
        <v>222</v>
      </c>
      <c r="G61" s="6" t="s">
        <v>14</v>
      </c>
      <c r="H61" s="7">
        <v>1.5</v>
      </c>
      <c r="I61" s="8">
        <v>-81.5</v>
      </c>
      <c r="J61" s="8">
        <v>2287</v>
      </c>
      <c r="K61" s="8">
        <v>24.3</v>
      </c>
      <c r="L61" s="10">
        <v>0.96299999999999997</v>
      </c>
      <c r="M61" s="11" t="s">
        <v>223</v>
      </c>
    </row>
    <row r="62" spans="1:13" ht="60" x14ac:dyDescent="0.2">
      <c r="A62" s="2" t="s">
        <v>224</v>
      </c>
      <c r="B62" s="2" t="s">
        <v>225</v>
      </c>
      <c r="C62" s="2" t="str">
        <f>RIGHT(B62,SUM(LEN(B62)-LEN(SUBSTITUTE(B62,{"0","1","2","3","4","5","6","7","8","9"},""))))</f>
        <v>2175</v>
      </c>
      <c r="D62" s="2" t="str">
        <f t="shared" si="2"/>
        <v>2175</v>
      </c>
      <c r="E62" s="2" t="str">
        <f t="shared" si="3"/>
        <v>'2175.HK'</v>
      </c>
      <c r="F62" s="4" t="s">
        <v>226</v>
      </c>
      <c r="G62" s="6" t="s">
        <v>14</v>
      </c>
      <c r="H62" s="7">
        <v>3.48</v>
      </c>
      <c r="I62" s="8">
        <v>-1285.5</v>
      </c>
      <c r="J62" s="8">
        <v>1905.8</v>
      </c>
      <c r="K62" s="8">
        <v>16.5</v>
      </c>
      <c r="L62" s="10">
        <v>0.95699999999999996</v>
      </c>
      <c r="M62" s="11" t="s">
        <v>227</v>
      </c>
    </row>
    <row r="63" spans="1:13" ht="110" x14ac:dyDescent="0.2">
      <c r="A63" s="2" t="s">
        <v>228</v>
      </c>
      <c r="B63" s="2" t="s">
        <v>229</v>
      </c>
      <c r="C63" s="2" t="str">
        <f>RIGHT(B63,SUM(LEN(B63)-LEN(SUBSTITUTE(B63,{"0","1","2","3","4","5","6","7","8","9"},""))))</f>
        <v>9836</v>
      </c>
      <c r="D63" s="2" t="str">
        <f t="shared" si="2"/>
        <v>9836</v>
      </c>
      <c r="E63" s="2" t="str">
        <f t="shared" si="3"/>
        <v>'9836.HK'</v>
      </c>
      <c r="F63" s="4" t="s">
        <v>230</v>
      </c>
      <c r="G63" s="6" t="s">
        <v>231</v>
      </c>
      <c r="H63" s="8">
        <v>30.1</v>
      </c>
      <c r="I63" s="8">
        <v>-755.8</v>
      </c>
      <c r="J63" s="8">
        <v>726.3</v>
      </c>
      <c r="K63" s="7">
        <v>3.44</v>
      </c>
      <c r="L63" s="10">
        <v>0.95599999999999996</v>
      </c>
      <c r="M63" s="5" t="s">
        <v>232</v>
      </c>
    </row>
    <row r="64" spans="1:13" ht="150" x14ac:dyDescent="0.2">
      <c r="A64" s="2" t="s">
        <v>233</v>
      </c>
      <c r="B64" s="2" t="s">
        <v>234</v>
      </c>
      <c r="C64" s="2" t="str">
        <f>RIGHT(B64,SUM(LEN(B64)-LEN(SUBSTITUTE(B64,{"0","1","2","3","4","5","6","7","8","9"},""))))</f>
        <v>29</v>
      </c>
      <c r="D64" s="2" t="str">
        <f t="shared" si="2"/>
        <v>0029</v>
      </c>
      <c r="E64" s="2" t="str">
        <f t="shared" si="3"/>
        <v>'0029.HK'</v>
      </c>
      <c r="F64" s="4" t="s">
        <v>235</v>
      </c>
      <c r="G64" s="6" t="s">
        <v>14</v>
      </c>
      <c r="H64" s="7">
        <v>1.42</v>
      </c>
      <c r="I64" s="8">
        <v>-108.2</v>
      </c>
      <c r="J64" s="8">
        <v>2115.6</v>
      </c>
      <c r="K64" s="8">
        <v>20.3</v>
      </c>
      <c r="L64" s="10">
        <v>0.94</v>
      </c>
      <c r="M64" s="11" t="s">
        <v>236</v>
      </c>
    </row>
    <row r="65" spans="1:13" ht="50" x14ac:dyDescent="0.2">
      <c r="A65" s="2" t="s">
        <v>237</v>
      </c>
      <c r="B65" s="2" t="s">
        <v>238</v>
      </c>
      <c r="C65" s="2" t="str">
        <f>RIGHT(B65,SUM(LEN(B65)-LEN(SUBSTITUTE(B65,{"0","1","2","3","4","5","6","7","8","9"},""))))</f>
        <v>166</v>
      </c>
      <c r="D65" s="2" t="str">
        <f t="shared" si="2"/>
        <v>0166</v>
      </c>
      <c r="E65" s="2" t="str">
        <f t="shared" si="3"/>
        <v>'0166.HK'</v>
      </c>
      <c r="F65" s="4" t="s">
        <v>239</v>
      </c>
      <c r="G65" s="6" t="s">
        <v>14</v>
      </c>
      <c r="H65" s="7">
        <v>4.21</v>
      </c>
      <c r="I65" s="8">
        <v>-611.6</v>
      </c>
      <c r="J65" s="8">
        <v>1233.2</v>
      </c>
      <c r="K65" s="8">
        <v>36.6</v>
      </c>
      <c r="L65" s="10">
        <v>0.93899999999999995</v>
      </c>
      <c r="M65" s="5" t="s">
        <v>240</v>
      </c>
    </row>
    <row r="66" spans="1:13" ht="50" x14ac:dyDescent="0.2">
      <c r="A66" s="2" t="s">
        <v>241</v>
      </c>
      <c r="B66" s="2" t="s">
        <v>242</v>
      </c>
      <c r="C66" s="2" t="str">
        <f>RIGHT(B66,SUM(LEN(B66)-LEN(SUBSTITUTE(B66,{"0","1","2","3","4","5","6","7","8","9"},""))))</f>
        <v>6988</v>
      </c>
      <c r="D66" s="2" t="str">
        <f t="shared" si="2"/>
        <v>6988</v>
      </c>
      <c r="E66" s="2" t="str">
        <f t="shared" si="3"/>
        <v>'6988.HK'</v>
      </c>
      <c r="F66" s="4" t="s">
        <v>243</v>
      </c>
      <c r="G66" s="6" t="s">
        <v>14</v>
      </c>
      <c r="H66" s="7">
        <v>7.74</v>
      </c>
      <c r="I66" s="8">
        <v>-607.20000000000005</v>
      </c>
      <c r="J66" s="8">
        <v>2714</v>
      </c>
      <c r="K66" s="7">
        <v>5.77</v>
      </c>
      <c r="L66" s="10">
        <v>0.92600000000000005</v>
      </c>
      <c r="M66" s="5" t="s">
        <v>244</v>
      </c>
    </row>
    <row r="67" spans="1:13" ht="60" x14ac:dyDescent="0.2">
      <c r="A67" s="2" t="s">
        <v>245</v>
      </c>
      <c r="B67" s="2" t="s">
        <v>246</v>
      </c>
      <c r="C67" s="2" t="str">
        <f>RIGHT(B67,SUM(LEN(B67)-LEN(SUBSTITUTE(B67,{"0","1","2","3","4","5","6","7","8","9"},""))))</f>
        <v>1516</v>
      </c>
      <c r="D67" s="2" t="str">
        <f t="shared" si="2"/>
        <v>1516</v>
      </c>
      <c r="E67" s="2" t="str">
        <f t="shared" si="3"/>
        <v>'1516.HK'</v>
      </c>
      <c r="F67" s="4" t="s">
        <v>247</v>
      </c>
      <c r="G67" s="6" t="s">
        <v>14</v>
      </c>
      <c r="H67" s="7">
        <v>2.2200000000000002</v>
      </c>
      <c r="I67" s="8">
        <v>-6900.4</v>
      </c>
      <c r="J67" s="8">
        <v>8039.5</v>
      </c>
      <c r="K67" s="8">
        <v>35.6</v>
      </c>
      <c r="L67" s="10">
        <v>0.92500000000000004</v>
      </c>
      <c r="M67" s="11" t="s">
        <v>248</v>
      </c>
    </row>
    <row r="68" spans="1:13" ht="110" x14ac:dyDescent="0.2">
      <c r="A68" s="2" t="s">
        <v>249</v>
      </c>
      <c r="B68" s="2" t="s">
        <v>250</v>
      </c>
      <c r="C68" s="2" t="str">
        <f>RIGHT(B68,SUM(LEN(B68)-LEN(SUBSTITUTE(B68,{"0","1","2","3","4","5","6","7","8","9"},""))))</f>
        <v>1277</v>
      </c>
      <c r="D68" s="2" t="str">
        <f t="shared" si="2"/>
        <v>1277</v>
      </c>
      <c r="E68" s="2" t="str">
        <f t="shared" si="3"/>
        <v>'1277.HK'</v>
      </c>
      <c r="F68" s="4" t="s">
        <v>251</v>
      </c>
      <c r="G68" s="6" t="s">
        <v>14</v>
      </c>
      <c r="H68" s="7">
        <v>2.0099999999999998</v>
      </c>
      <c r="I68" s="8">
        <v>-2919.8</v>
      </c>
      <c r="J68" s="8">
        <v>5901</v>
      </c>
      <c r="K68" s="8">
        <v>24.3</v>
      </c>
      <c r="L68" s="10">
        <v>0.92200000000000004</v>
      </c>
      <c r="M68" s="11" t="s">
        <v>252</v>
      </c>
    </row>
    <row r="69" spans="1:13" ht="70" x14ac:dyDescent="0.2">
      <c r="A69" s="2" t="s">
        <v>253</v>
      </c>
      <c r="B69" s="2" t="s">
        <v>254</v>
      </c>
      <c r="C69" s="2" t="str">
        <f>RIGHT(B69,SUM(LEN(B69)-LEN(SUBSTITUTE(B69,{"0","1","2","3","4","5","6","7","8","9"},""))))</f>
        <v>1316</v>
      </c>
      <c r="D69" s="2" t="str">
        <f t="shared" si="2"/>
        <v>1316</v>
      </c>
      <c r="E69" s="2" t="str">
        <f t="shared" si="3"/>
        <v>'1316.HK'</v>
      </c>
      <c r="F69" s="4" t="s">
        <v>255</v>
      </c>
      <c r="G69" s="6" t="s">
        <v>14</v>
      </c>
      <c r="H69" s="7">
        <v>1.1399999999999999</v>
      </c>
      <c r="I69" s="8">
        <v>-1401.6</v>
      </c>
      <c r="J69" s="8">
        <v>12549.1</v>
      </c>
      <c r="K69" s="8">
        <v>37.5</v>
      </c>
      <c r="L69" s="10">
        <v>0.92</v>
      </c>
      <c r="M69" s="11" t="s">
        <v>256</v>
      </c>
    </row>
    <row r="70" spans="1:13" ht="220" x14ac:dyDescent="0.2">
      <c r="A70" s="2" t="s">
        <v>257</v>
      </c>
      <c r="B70" s="2" t="s">
        <v>258</v>
      </c>
      <c r="C70" s="2" t="str">
        <f>RIGHT(B70,SUM(LEN(B70)-LEN(SUBSTITUTE(B70,{"0","1","2","3","4","5","6","7","8","9"},""))))</f>
        <v>1060</v>
      </c>
      <c r="D70" s="2" t="str">
        <f t="shared" si="2"/>
        <v>1060</v>
      </c>
      <c r="E70" s="2" t="str">
        <f t="shared" si="3"/>
        <v>'1060.HK'</v>
      </c>
      <c r="F70" s="4" t="s">
        <v>259</v>
      </c>
      <c r="G70" s="6" t="s">
        <v>14</v>
      </c>
      <c r="H70" s="7">
        <v>4.2699999999999996</v>
      </c>
      <c r="I70" s="8">
        <v>-4152</v>
      </c>
      <c r="J70" s="8">
        <v>15915.6</v>
      </c>
      <c r="K70" s="7">
        <v>9.85</v>
      </c>
      <c r="L70" s="10">
        <v>0.91900000000000004</v>
      </c>
      <c r="M70" s="11" t="s">
        <v>260</v>
      </c>
    </row>
    <row r="71" spans="1:13" ht="40" x14ac:dyDescent="0.2">
      <c r="A71" s="2" t="s">
        <v>261</v>
      </c>
      <c r="B71" s="2" t="s">
        <v>262</v>
      </c>
      <c r="C71" s="2" t="str">
        <f>RIGHT(B71,SUM(LEN(B71)-LEN(SUBSTITUTE(B71,{"0","1","2","3","4","5","6","7","8","9"},""))))</f>
        <v>3798</v>
      </c>
      <c r="D71" s="2" t="str">
        <f t="shared" si="2"/>
        <v>3798</v>
      </c>
      <c r="E71" s="2" t="str">
        <f t="shared" si="3"/>
        <v>'3798.HK'</v>
      </c>
      <c r="F71" s="4" t="s">
        <v>263</v>
      </c>
      <c r="G71" s="6" t="s">
        <v>14</v>
      </c>
      <c r="H71" s="7">
        <v>5.56</v>
      </c>
      <c r="I71" s="8">
        <v>-1343.4</v>
      </c>
      <c r="J71" s="8">
        <v>2008.9</v>
      </c>
      <c r="K71" s="8">
        <v>16.7</v>
      </c>
      <c r="L71" s="10">
        <v>0.91900000000000004</v>
      </c>
      <c r="M71" s="5" t="s">
        <v>264</v>
      </c>
    </row>
    <row r="72" spans="1:13" ht="170" x14ac:dyDescent="0.2">
      <c r="A72" s="2" t="s">
        <v>265</v>
      </c>
      <c r="B72" s="2" t="s">
        <v>266</v>
      </c>
      <c r="C72" s="2" t="str">
        <f>RIGHT(B72,SUM(LEN(B72)-LEN(SUBSTITUTE(B72,{"0","1","2","3","4","5","6","7","8","9"},""))))</f>
        <v>1412</v>
      </c>
      <c r="D72" s="2" t="str">
        <f t="shared" si="2"/>
        <v>1412</v>
      </c>
      <c r="E72" s="2" t="str">
        <f t="shared" si="3"/>
        <v>'1412.HK'</v>
      </c>
      <c r="F72" s="4" t="s">
        <v>267</v>
      </c>
      <c r="G72" s="6" t="s">
        <v>14</v>
      </c>
      <c r="H72" s="7">
        <v>1.17</v>
      </c>
      <c r="I72" s="8">
        <v>-69.900000000000006</v>
      </c>
      <c r="J72" s="8">
        <v>744.8</v>
      </c>
      <c r="K72" s="8">
        <v>30.6</v>
      </c>
      <c r="L72" s="10">
        <v>0.91800000000000004</v>
      </c>
      <c r="M72" s="11" t="s">
        <v>268</v>
      </c>
    </row>
    <row r="73" spans="1:13" ht="40" x14ac:dyDescent="0.2">
      <c r="A73" s="2" t="s">
        <v>269</v>
      </c>
      <c r="B73" s="2" t="s">
        <v>270</v>
      </c>
      <c r="C73" s="2" t="str">
        <f>RIGHT(B73,SUM(LEN(B73)-LEN(SUBSTITUTE(B73,{"0","1","2","3","4","5","6","7","8","9"},""))))</f>
        <v>1022</v>
      </c>
      <c r="D73" s="2" t="str">
        <f t="shared" si="2"/>
        <v>1022</v>
      </c>
      <c r="E73" s="2" t="str">
        <f t="shared" si="3"/>
        <v>'1022.HK'</v>
      </c>
      <c r="F73" s="4" t="s">
        <v>271</v>
      </c>
      <c r="G73" s="6" t="s">
        <v>14</v>
      </c>
      <c r="H73" s="7">
        <v>1.87</v>
      </c>
      <c r="I73" s="8">
        <v>-59.1</v>
      </c>
      <c r="J73" s="8">
        <v>532.79999999999995</v>
      </c>
      <c r="K73" s="8">
        <v>26.1</v>
      </c>
      <c r="L73" s="10">
        <v>0.91500000000000004</v>
      </c>
      <c r="M73" s="5" t="s">
        <v>264</v>
      </c>
    </row>
    <row r="74" spans="1:13" ht="40" x14ac:dyDescent="0.2">
      <c r="A74" s="2" t="s">
        <v>272</v>
      </c>
      <c r="B74" s="2" t="s">
        <v>273</v>
      </c>
      <c r="C74" s="2" t="str">
        <f>RIGHT(B74,SUM(LEN(B74)-LEN(SUBSTITUTE(B74,{"0","1","2","3","4","5","6","7","8","9"},""))))</f>
        <v>9982</v>
      </c>
      <c r="D74" s="2" t="str">
        <f t="shared" si="2"/>
        <v>9982</v>
      </c>
      <c r="E74" s="2" t="str">
        <f t="shared" si="3"/>
        <v>'9982.HK'</v>
      </c>
      <c r="F74" s="4" t="s">
        <v>274</v>
      </c>
      <c r="G74" s="6" t="s">
        <v>14</v>
      </c>
      <c r="H74" s="7">
        <v>4.96</v>
      </c>
      <c r="I74" s="8">
        <v>-2423.5</v>
      </c>
      <c r="J74" s="8">
        <v>2397.3000000000002</v>
      </c>
      <c r="K74" s="8">
        <v>19.899999999999999</v>
      </c>
      <c r="L74" s="10">
        <v>0.90900000000000003</v>
      </c>
      <c r="M74" s="5" t="s">
        <v>275</v>
      </c>
    </row>
    <row r="75" spans="1:13" ht="30" x14ac:dyDescent="0.2">
      <c r="A75" s="2" t="s">
        <v>276</v>
      </c>
      <c r="B75" s="2" t="s">
        <v>277</v>
      </c>
      <c r="C75" s="2" t="str">
        <f>RIGHT(B75,SUM(LEN(B75)-LEN(SUBSTITUTE(B75,{"0","1","2","3","4","5","6","7","8","9"},""))))</f>
        <v>806</v>
      </c>
      <c r="D75" s="2" t="str">
        <f t="shared" si="2"/>
        <v>0806</v>
      </c>
      <c r="E75" s="2" t="str">
        <f t="shared" si="3"/>
        <v>'0806.HK'</v>
      </c>
      <c r="F75" s="4" t="s">
        <v>278</v>
      </c>
      <c r="G75" s="6" t="s">
        <v>14</v>
      </c>
      <c r="H75" s="7">
        <v>6.79</v>
      </c>
      <c r="I75" s="8">
        <v>-1563.3</v>
      </c>
      <c r="J75" s="8">
        <v>4171.2</v>
      </c>
      <c r="K75" s="7">
        <v>7.15</v>
      </c>
      <c r="L75" s="10">
        <v>0.89700000000000002</v>
      </c>
      <c r="M75" s="5" t="s">
        <v>279</v>
      </c>
    </row>
    <row r="76" spans="1:13" ht="120" x14ac:dyDescent="0.2">
      <c r="A76" s="2" t="s">
        <v>280</v>
      </c>
      <c r="B76" s="2" t="s">
        <v>281</v>
      </c>
      <c r="C76" s="2" t="str">
        <f>RIGHT(B76,SUM(LEN(B76)-LEN(SUBSTITUTE(B76,{"0","1","2","3","4","5","6","7","8","9"},""))))</f>
        <v>1361</v>
      </c>
      <c r="D76" s="2" t="str">
        <f t="shared" si="2"/>
        <v>1361</v>
      </c>
      <c r="E76" s="2" t="str">
        <f t="shared" si="3"/>
        <v>'1361.HK'</v>
      </c>
      <c r="F76" s="4" t="s">
        <v>282</v>
      </c>
      <c r="G76" s="6" t="s">
        <v>14</v>
      </c>
      <c r="H76" s="7">
        <v>3.01</v>
      </c>
      <c r="I76" s="8">
        <v>-6297.3</v>
      </c>
      <c r="J76" s="8">
        <v>7960.2</v>
      </c>
      <c r="K76" s="8">
        <v>23.9</v>
      </c>
      <c r="L76" s="10">
        <v>0.88700000000000001</v>
      </c>
      <c r="M76" s="11" t="s">
        <v>283</v>
      </c>
    </row>
    <row r="77" spans="1:13" ht="40" x14ac:dyDescent="0.2">
      <c r="A77" s="2" t="s">
        <v>284</v>
      </c>
      <c r="B77" s="2" t="s">
        <v>285</v>
      </c>
      <c r="C77" s="2" t="str">
        <f>RIGHT(B77,SUM(LEN(B77)-LEN(SUBSTITUTE(B77,{"0","1","2","3","4","5","6","7","8","9"},""))))</f>
        <v>2660</v>
      </c>
      <c r="D77" s="2" t="str">
        <f t="shared" si="2"/>
        <v>2660</v>
      </c>
      <c r="E77" s="2" t="str">
        <f t="shared" si="3"/>
        <v>'2660.HK'</v>
      </c>
      <c r="F77" s="4" t="s">
        <v>286</v>
      </c>
      <c r="G77" s="6" t="s">
        <v>14</v>
      </c>
      <c r="H77" s="7">
        <v>5.85</v>
      </c>
      <c r="I77" s="8">
        <v>-1445.9</v>
      </c>
      <c r="J77" s="8">
        <v>1589.5</v>
      </c>
      <c r="K77" s="8">
        <v>17.7</v>
      </c>
      <c r="L77" s="10">
        <v>0.88700000000000001</v>
      </c>
      <c r="M77" s="5" t="s">
        <v>264</v>
      </c>
    </row>
    <row r="78" spans="1:13" ht="80" x14ac:dyDescent="0.2">
      <c r="A78" s="2" t="s">
        <v>287</v>
      </c>
      <c r="B78" s="2" t="s">
        <v>288</v>
      </c>
      <c r="C78" s="2" t="str">
        <f>RIGHT(B78,SUM(LEN(B78)-LEN(SUBSTITUTE(B78,{"0","1","2","3","4","5","6","7","8","9"},""))))</f>
        <v>1230</v>
      </c>
      <c r="D78" s="2" t="str">
        <f t="shared" si="2"/>
        <v>1230</v>
      </c>
      <c r="E78" s="2" t="str">
        <f t="shared" si="3"/>
        <v>'1230.HK'</v>
      </c>
      <c r="F78" s="4" t="s">
        <v>289</v>
      </c>
      <c r="G78" s="6" t="s">
        <v>14</v>
      </c>
      <c r="H78" s="7">
        <v>1.5</v>
      </c>
      <c r="I78" s="8">
        <v>-2199</v>
      </c>
      <c r="J78" s="8">
        <v>5552.3</v>
      </c>
      <c r="K78" s="8">
        <v>24.1</v>
      </c>
      <c r="L78" s="10">
        <v>0.88200000000000001</v>
      </c>
      <c r="M78" s="11" t="s">
        <v>290</v>
      </c>
    </row>
    <row r="79" spans="1:13" ht="110" x14ac:dyDescent="0.2">
      <c r="A79" s="2" t="s">
        <v>291</v>
      </c>
      <c r="B79" s="2" t="s">
        <v>292</v>
      </c>
      <c r="C79" s="2" t="str">
        <f>RIGHT(B79,SUM(LEN(B79)-LEN(SUBSTITUTE(B79,{"0","1","2","3","4","5","6","7","8","9"},""))))</f>
        <v>6608</v>
      </c>
      <c r="D79" s="2" t="str">
        <f t="shared" si="2"/>
        <v>6608</v>
      </c>
      <c r="E79" s="2" t="str">
        <f t="shared" si="3"/>
        <v>'6608.HK'</v>
      </c>
      <c r="F79" s="4" t="s">
        <v>293</v>
      </c>
      <c r="G79" s="6" t="s">
        <v>14</v>
      </c>
      <c r="H79" s="7">
        <v>6.49</v>
      </c>
      <c r="I79" s="8">
        <v>-4559.5</v>
      </c>
      <c r="J79" s="8">
        <v>4443.1000000000004</v>
      </c>
      <c r="K79" s="8">
        <v>14.7</v>
      </c>
      <c r="L79" s="10">
        <v>0.88200000000000001</v>
      </c>
      <c r="M79" s="11" t="s">
        <v>294</v>
      </c>
    </row>
    <row r="80" spans="1:13" ht="100" x14ac:dyDescent="0.2">
      <c r="A80" s="2" t="s">
        <v>295</v>
      </c>
      <c r="B80" s="2" t="s">
        <v>296</v>
      </c>
      <c r="C80" s="2" t="str">
        <f>RIGHT(B80,SUM(LEN(B80)-LEN(SUBSTITUTE(B80,{"0","1","2","3","4","5","6","7","8","9"},""))))</f>
        <v>1328</v>
      </c>
      <c r="D80" s="2" t="str">
        <f t="shared" si="2"/>
        <v>1328</v>
      </c>
      <c r="E80" s="2" t="str">
        <f t="shared" si="3"/>
        <v>'1328.HK'</v>
      </c>
      <c r="F80" s="4" t="s">
        <v>297</v>
      </c>
      <c r="G80" s="6" t="s">
        <v>14</v>
      </c>
      <c r="H80" s="7">
        <v>1.63</v>
      </c>
      <c r="I80" s="8">
        <v>-212.1</v>
      </c>
      <c r="J80" s="8">
        <v>655.20000000000005</v>
      </c>
      <c r="K80" s="8">
        <v>29.5</v>
      </c>
      <c r="L80" s="10">
        <v>0.877</v>
      </c>
      <c r="M80" s="11" t="s">
        <v>298</v>
      </c>
    </row>
    <row r="81" spans="1:13" ht="150" hidden="1" x14ac:dyDescent="0.2">
      <c r="A81" s="2" t="s">
        <v>299</v>
      </c>
      <c r="B81" s="2" t="s">
        <v>300</v>
      </c>
      <c r="C81" s="2" t="str">
        <f>RIGHT(B81,SUM(LEN(B81)-LEN(SUBSTITUTE(B81,{"0","1","2","3","4","5","6","7","8","9"},""))))</f>
        <v/>
      </c>
      <c r="D81" s="2"/>
      <c r="E81" s="2"/>
      <c r="F81" s="5" t="s">
        <v>14</v>
      </c>
      <c r="G81" s="6" t="s">
        <v>301</v>
      </c>
      <c r="H81" s="7">
        <v>4.3099999999999996</v>
      </c>
      <c r="I81" s="8">
        <v>-8702.4</v>
      </c>
      <c r="J81" s="8">
        <v>5888.5</v>
      </c>
      <c r="K81" s="8">
        <v>23.5</v>
      </c>
      <c r="L81" s="10">
        <v>0.872</v>
      </c>
      <c r="M81" s="11" t="s">
        <v>302</v>
      </c>
    </row>
    <row r="82" spans="1:13" ht="100" x14ac:dyDescent="0.2">
      <c r="A82" s="2" t="s">
        <v>303</v>
      </c>
      <c r="B82" s="2" t="s">
        <v>304</v>
      </c>
      <c r="C82" s="2" t="str">
        <f>RIGHT(B82,SUM(LEN(B82)-LEN(SUBSTITUTE(B82,{"0","1","2","3","4","5","6","7","8","9"},""))))</f>
        <v>2218</v>
      </c>
      <c r="D82" s="2" t="str">
        <f t="shared" si="2"/>
        <v>2218</v>
      </c>
      <c r="E82" s="2" t="str">
        <f t="shared" ref="E82:E98" si="4">"'"&amp;D82&amp;".HK"&amp;"'"</f>
        <v>'2218.HK'</v>
      </c>
      <c r="F82" s="4" t="s">
        <v>305</v>
      </c>
      <c r="G82" s="6" t="s">
        <v>14</v>
      </c>
      <c r="H82" s="7">
        <v>4.3099999999999996</v>
      </c>
      <c r="I82" s="8">
        <v>-880</v>
      </c>
      <c r="J82" s="8">
        <v>7975.3</v>
      </c>
      <c r="K82" s="7">
        <v>9.68</v>
      </c>
      <c r="L82" s="10">
        <v>0.871</v>
      </c>
      <c r="M82" s="11" t="s">
        <v>306</v>
      </c>
    </row>
    <row r="83" spans="1:13" ht="50" x14ac:dyDescent="0.2">
      <c r="A83" s="2" t="s">
        <v>307</v>
      </c>
      <c r="B83" s="2" t="s">
        <v>308</v>
      </c>
      <c r="C83" s="2" t="str">
        <f>RIGHT(B83,SUM(LEN(B83)-LEN(SUBSTITUTE(B83,{"0","1","2","3","4","5","6","7","8","9"},""))))</f>
        <v>6896</v>
      </c>
      <c r="D83" s="2" t="str">
        <f t="shared" si="2"/>
        <v>6896</v>
      </c>
      <c r="E83" s="2" t="str">
        <f t="shared" si="4"/>
        <v>'6896.HK'</v>
      </c>
      <c r="F83" s="4" t="s">
        <v>309</v>
      </c>
      <c r="G83" s="6" t="s">
        <v>14</v>
      </c>
      <c r="H83" s="7">
        <v>2.13</v>
      </c>
      <c r="I83" s="8">
        <v>-697</v>
      </c>
      <c r="J83" s="8">
        <v>1330.7</v>
      </c>
      <c r="K83" s="8">
        <v>30.1</v>
      </c>
      <c r="L83" s="10">
        <v>0.86399999999999999</v>
      </c>
      <c r="M83" s="12" t="s">
        <v>310</v>
      </c>
    </row>
    <row r="84" spans="1:13" ht="100" x14ac:dyDescent="0.2">
      <c r="A84" s="2" t="s">
        <v>311</v>
      </c>
      <c r="B84" s="2" t="s">
        <v>312</v>
      </c>
      <c r="C84" s="2" t="str">
        <f>RIGHT(B84,SUM(LEN(B84)-LEN(SUBSTITUTE(B84,{"0","1","2","3","4","5","6","7","8","9"},""))))</f>
        <v>697</v>
      </c>
      <c r="D84" s="2" t="str">
        <f t="shared" si="2"/>
        <v>0697</v>
      </c>
      <c r="E84" s="2" t="str">
        <f t="shared" si="4"/>
        <v>'0697.HK'</v>
      </c>
      <c r="F84" s="4" t="s">
        <v>313</v>
      </c>
      <c r="G84" s="6" t="s">
        <v>14</v>
      </c>
      <c r="H84" s="7">
        <v>4.5</v>
      </c>
      <c r="I84" s="8">
        <v>-1854.4</v>
      </c>
      <c r="J84" s="8">
        <v>8954.7999999999993</v>
      </c>
      <c r="K84" s="8">
        <v>23.6</v>
      </c>
      <c r="L84" s="10">
        <v>0.84799999999999998</v>
      </c>
      <c r="M84" s="11" t="s">
        <v>314</v>
      </c>
    </row>
    <row r="85" spans="1:13" ht="30" x14ac:dyDescent="0.2">
      <c r="A85" s="2" t="s">
        <v>315</v>
      </c>
      <c r="B85" s="2" t="s">
        <v>316</v>
      </c>
      <c r="C85" s="2" t="str">
        <f>RIGHT(B85,SUM(LEN(B85)-LEN(SUBSTITUTE(B85,{"0","1","2","3","4","5","6","7","8","9"},""))))</f>
        <v>721</v>
      </c>
      <c r="D85" s="2" t="str">
        <f t="shared" si="2"/>
        <v>0721</v>
      </c>
      <c r="E85" s="2" t="str">
        <f t="shared" si="4"/>
        <v>'0721.HK'</v>
      </c>
      <c r="F85" s="4" t="s">
        <v>317</v>
      </c>
      <c r="G85" s="6" t="s">
        <v>14</v>
      </c>
      <c r="H85" s="7">
        <v>3.09</v>
      </c>
      <c r="I85" s="8">
        <v>-51.7</v>
      </c>
      <c r="J85" s="8">
        <v>603.4</v>
      </c>
      <c r="K85" s="7">
        <v>4.18</v>
      </c>
      <c r="L85" s="10">
        <v>0.84299999999999997</v>
      </c>
      <c r="M85" s="5" t="s">
        <v>279</v>
      </c>
    </row>
    <row r="86" spans="1:13" ht="90" x14ac:dyDescent="0.2">
      <c r="A86" s="2" t="s">
        <v>318</v>
      </c>
      <c r="B86" s="2" t="s">
        <v>319</v>
      </c>
      <c r="C86" s="2" t="str">
        <f>RIGHT(B86,SUM(LEN(B86)-LEN(SUBSTITUTE(B86,{"0","1","2","3","4","5","6","7","8","9"},""))))</f>
        <v>1301</v>
      </c>
      <c r="D86" s="2" t="str">
        <f t="shared" si="2"/>
        <v>1301</v>
      </c>
      <c r="E86" s="2" t="str">
        <f t="shared" si="4"/>
        <v>'1301.HK'</v>
      </c>
      <c r="F86" s="4" t="s">
        <v>320</v>
      </c>
      <c r="G86" s="6" t="s">
        <v>14</v>
      </c>
      <c r="H86" s="7">
        <v>1.67</v>
      </c>
      <c r="I86" s="8">
        <v>-218.1</v>
      </c>
      <c r="J86" s="8">
        <v>652.20000000000005</v>
      </c>
      <c r="K86" s="8">
        <v>27.5</v>
      </c>
      <c r="L86" s="10">
        <v>0.84199999999999997</v>
      </c>
      <c r="M86" s="11" t="s">
        <v>321</v>
      </c>
    </row>
    <row r="87" spans="1:13" ht="40" x14ac:dyDescent="0.2">
      <c r="A87" s="2" t="s">
        <v>322</v>
      </c>
      <c r="B87" s="2" t="s">
        <v>323</v>
      </c>
      <c r="C87" s="2" t="str">
        <f>RIGHT(B87,SUM(LEN(B87)-LEN(SUBSTITUTE(B87,{"0","1","2","3","4","5","6","7","8","9"},""))))</f>
        <v>6913</v>
      </c>
      <c r="D87" s="2" t="str">
        <f t="shared" si="2"/>
        <v>6913</v>
      </c>
      <c r="E87" s="2" t="str">
        <f t="shared" si="4"/>
        <v>'6913.HK'</v>
      </c>
      <c r="F87" s="4" t="s">
        <v>324</v>
      </c>
      <c r="G87" s="6" t="s">
        <v>14</v>
      </c>
      <c r="H87" s="7">
        <v>1.47</v>
      </c>
      <c r="I87" s="8">
        <v>-168.6</v>
      </c>
      <c r="J87" s="8">
        <v>1454.1</v>
      </c>
      <c r="K87" s="8">
        <v>36.1</v>
      </c>
      <c r="L87" s="10">
        <v>0.84199999999999997</v>
      </c>
      <c r="M87" s="5" t="s">
        <v>325</v>
      </c>
    </row>
    <row r="88" spans="1:13" ht="210" x14ac:dyDescent="0.2">
      <c r="A88" s="2" t="s">
        <v>326</v>
      </c>
      <c r="B88" s="2" t="s">
        <v>327</v>
      </c>
      <c r="C88" s="2" t="str">
        <f>RIGHT(B88,SUM(LEN(B88)-LEN(SUBSTITUTE(B88,{"0","1","2","3","4","5","6","7","8","9"},""))))</f>
        <v>3319</v>
      </c>
      <c r="D88" s="2" t="str">
        <f t="shared" ref="D88:D98" si="5">IF(LEN(C88)=4,C88,IF(LEN(C88)&lt;4,REPT("0",4-LEN(C88))&amp;C88))</f>
        <v>3319</v>
      </c>
      <c r="E88" s="2" t="str">
        <f t="shared" si="4"/>
        <v>'3319.HK'</v>
      </c>
      <c r="F88" s="4" t="s">
        <v>328</v>
      </c>
      <c r="G88" s="6" t="s">
        <v>14</v>
      </c>
      <c r="H88" s="7">
        <v>1.46</v>
      </c>
      <c r="I88" s="8">
        <v>-5712.8</v>
      </c>
      <c r="J88" s="8">
        <v>11558.8</v>
      </c>
      <c r="K88" s="8">
        <v>36</v>
      </c>
      <c r="L88" s="10">
        <v>0.82299999999999995</v>
      </c>
      <c r="M88" s="11" t="s">
        <v>329</v>
      </c>
    </row>
    <row r="89" spans="1:13" ht="100" x14ac:dyDescent="0.2">
      <c r="A89" s="2" t="s">
        <v>330</v>
      </c>
      <c r="B89" s="2" t="s">
        <v>331</v>
      </c>
      <c r="C89" s="2" t="str">
        <f>RIGHT(B89,SUM(LEN(B89)-LEN(SUBSTITUTE(B89,{"0","1","2","3","4","5","6","7","8","9"},""))))</f>
        <v>336</v>
      </c>
      <c r="D89" s="2" t="str">
        <f t="shared" si="5"/>
        <v>0336</v>
      </c>
      <c r="E89" s="2" t="str">
        <f t="shared" si="4"/>
        <v>'0336.HK'</v>
      </c>
      <c r="F89" s="4" t="s">
        <v>332</v>
      </c>
      <c r="G89" s="6" t="s">
        <v>14</v>
      </c>
      <c r="H89" s="7">
        <v>3.63</v>
      </c>
      <c r="I89" s="8">
        <v>-7216.2</v>
      </c>
      <c r="J89" s="8">
        <v>12693.6</v>
      </c>
      <c r="K89" s="8">
        <v>12.8</v>
      </c>
      <c r="L89" s="10">
        <v>0.82199999999999995</v>
      </c>
      <c r="M89" s="11" t="s">
        <v>333</v>
      </c>
    </row>
    <row r="90" spans="1:13" ht="140" x14ac:dyDescent="0.2">
      <c r="A90" s="2" t="s">
        <v>334</v>
      </c>
      <c r="B90" s="2" t="s">
        <v>335</v>
      </c>
      <c r="C90" s="2" t="str">
        <f>RIGHT(B90,SUM(LEN(B90)-LEN(SUBSTITUTE(B90,{"0","1","2","3","4","5","6","7","8","9"},""))))</f>
        <v>1836</v>
      </c>
      <c r="D90" s="2" t="str">
        <f t="shared" si="5"/>
        <v>1836</v>
      </c>
      <c r="E90" s="2" t="str">
        <f t="shared" si="4"/>
        <v>'1836.HK'</v>
      </c>
      <c r="F90" s="4" t="s">
        <v>336</v>
      </c>
      <c r="G90" s="6" t="s">
        <v>14</v>
      </c>
      <c r="H90" s="7">
        <v>1.97</v>
      </c>
      <c r="I90" s="8">
        <v>-831.9</v>
      </c>
      <c r="J90" s="8">
        <v>6337.6</v>
      </c>
      <c r="K90" s="8">
        <v>21.7</v>
      </c>
      <c r="L90" s="10">
        <v>0.81</v>
      </c>
      <c r="M90" s="11" t="s">
        <v>337</v>
      </c>
    </row>
    <row r="91" spans="1:13" ht="50" x14ac:dyDescent="0.2">
      <c r="A91" s="2" t="s">
        <v>338</v>
      </c>
      <c r="B91" s="2" t="s">
        <v>339</v>
      </c>
      <c r="C91" s="2" t="str">
        <f>RIGHT(B91,SUM(LEN(B91)-LEN(SUBSTITUTE(B91,{"0","1","2","3","4","5","6","7","8","9"},""))))</f>
        <v>1837</v>
      </c>
      <c r="D91" s="2" t="str">
        <f t="shared" si="5"/>
        <v>1837</v>
      </c>
      <c r="E91" s="2" t="str">
        <f t="shared" si="4"/>
        <v>'1837.HK'</v>
      </c>
      <c r="F91" s="4" t="s">
        <v>340</v>
      </c>
      <c r="G91" s="6" t="s">
        <v>14</v>
      </c>
      <c r="H91" s="7">
        <v>3.36</v>
      </c>
      <c r="I91" s="8">
        <v>-778.3</v>
      </c>
      <c r="J91" s="8">
        <v>1116.0999999999999</v>
      </c>
      <c r="K91" s="8">
        <v>19.600000000000001</v>
      </c>
      <c r="L91" s="10">
        <v>0.80800000000000005</v>
      </c>
      <c r="M91" s="12" t="s">
        <v>341</v>
      </c>
    </row>
    <row r="92" spans="1:13" ht="30" x14ac:dyDescent="0.2">
      <c r="A92" s="2" t="s">
        <v>342</v>
      </c>
      <c r="B92" s="2" t="s">
        <v>343</v>
      </c>
      <c r="C92" s="2" t="str">
        <f>RIGHT(B92,SUM(LEN(B92)-LEN(SUBSTITUTE(B92,{"0","1","2","3","4","5","6","7","8","9"},""))))</f>
        <v>2801</v>
      </c>
      <c r="D92" s="2" t="str">
        <f t="shared" si="5"/>
        <v>2801</v>
      </c>
      <c r="E92" s="2" t="str">
        <f t="shared" si="4"/>
        <v>'2801.HK'</v>
      </c>
      <c r="F92" s="4" t="s">
        <v>344</v>
      </c>
      <c r="G92" s="6" t="s">
        <v>14</v>
      </c>
      <c r="H92" s="8">
        <v>103.6</v>
      </c>
      <c r="I92" s="8">
        <v>-4450.8999999999996</v>
      </c>
      <c r="J92" s="8">
        <v>3432.2</v>
      </c>
      <c r="K92" s="10">
        <v>0.96499999999999997</v>
      </c>
      <c r="L92" s="10">
        <v>0.80800000000000005</v>
      </c>
      <c r="M92" s="5" t="s">
        <v>232</v>
      </c>
    </row>
    <row r="93" spans="1:13" ht="120" x14ac:dyDescent="0.2">
      <c r="A93" s="2" t="s">
        <v>345</v>
      </c>
      <c r="B93" s="2" t="s">
        <v>346</v>
      </c>
      <c r="C93" s="2" t="str">
        <f>RIGHT(B93,SUM(LEN(B93)-LEN(SUBSTITUTE(B93,{"0","1","2","3","4","5","6","7","8","9"},""))))</f>
        <v>18</v>
      </c>
      <c r="D93" s="2" t="str">
        <f t="shared" si="5"/>
        <v>0018</v>
      </c>
      <c r="E93" s="2" t="str">
        <f t="shared" si="4"/>
        <v>'0018.HK'</v>
      </c>
      <c r="F93" s="4" t="s">
        <v>347</v>
      </c>
      <c r="G93" s="6" t="s">
        <v>14</v>
      </c>
      <c r="H93" s="7">
        <v>5.78</v>
      </c>
      <c r="I93" s="8">
        <v>-632.4</v>
      </c>
      <c r="J93" s="8">
        <v>1462.7</v>
      </c>
      <c r="K93" s="7">
        <v>9.42</v>
      </c>
      <c r="L93" s="10">
        <v>0.80100000000000005</v>
      </c>
      <c r="M93" s="11" t="s">
        <v>348</v>
      </c>
    </row>
    <row r="94" spans="1:13" ht="210" x14ac:dyDescent="0.2">
      <c r="A94" s="2" t="s">
        <v>349</v>
      </c>
      <c r="B94" s="2" t="s">
        <v>350</v>
      </c>
      <c r="C94" s="2" t="str">
        <f>RIGHT(B94,SUM(LEN(B94)-LEN(SUBSTITUTE(B94,{"0","1","2","3","4","5","6","7","8","9"},""))))</f>
        <v>687</v>
      </c>
      <c r="D94" s="2" t="str">
        <f t="shared" si="5"/>
        <v>0687</v>
      </c>
      <c r="E94" s="2" t="str">
        <f t="shared" si="4"/>
        <v>'0687.HK'</v>
      </c>
      <c r="F94" s="4" t="s">
        <v>351</v>
      </c>
      <c r="G94" s="6" t="s">
        <v>14</v>
      </c>
      <c r="H94" s="7">
        <v>2.65</v>
      </c>
      <c r="I94" s="8">
        <v>-571</v>
      </c>
      <c r="J94" s="8">
        <v>1094</v>
      </c>
      <c r="K94" s="8">
        <v>32</v>
      </c>
      <c r="L94" s="10">
        <v>0.80100000000000005</v>
      </c>
      <c r="M94" s="11" t="s">
        <v>352</v>
      </c>
    </row>
    <row r="95" spans="1:13" ht="40" x14ac:dyDescent="0.2">
      <c r="A95" s="2" t="s">
        <v>353</v>
      </c>
      <c r="B95" s="2" t="s">
        <v>354</v>
      </c>
      <c r="C95" s="2" t="str">
        <f>RIGHT(B95,SUM(LEN(B95)-LEN(SUBSTITUTE(B95,{"0","1","2","3","4","5","6","7","8","9"},""))))</f>
        <v>195</v>
      </c>
      <c r="D95" s="2" t="str">
        <f t="shared" si="5"/>
        <v>0195</v>
      </c>
      <c r="E95" s="2" t="str">
        <f t="shared" si="4"/>
        <v>'0195.HK'</v>
      </c>
      <c r="F95" s="4" t="s">
        <v>355</v>
      </c>
      <c r="G95" s="6" t="s">
        <v>14</v>
      </c>
      <c r="H95" s="7">
        <v>1.1499999999999999</v>
      </c>
      <c r="I95" s="8">
        <v>-178.4</v>
      </c>
      <c r="J95" s="8">
        <v>751.3</v>
      </c>
      <c r="K95" s="8">
        <v>39.6</v>
      </c>
      <c r="L95" s="10">
        <v>0.8</v>
      </c>
      <c r="M95" s="5" t="s">
        <v>356</v>
      </c>
    </row>
    <row r="96" spans="1:13" ht="40" x14ac:dyDescent="0.2">
      <c r="A96" s="2" t="s">
        <v>357</v>
      </c>
      <c r="B96" s="2" t="s">
        <v>358</v>
      </c>
      <c r="C96" s="2" t="str">
        <f>RIGHT(B96,SUM(LEN(B96)-LEN(SUBSTITUTE(B96,{"0","1","2","3","4","5","6","7","8","9"},""))))</f>
        <v>255</v>
      </c>
      <c r="D96" s="2" t="str">
        <f t="shared" si="5"/>
        <v>0255</v>
      </c>
      <c r="E96" s="2" t="str">
        <f t="shared" si="4"/>
        <v>'0255.HK'</v>
      </c>
      <c r="F96" s="4" t="s">
        <v>359</v>
      </c>
      <c r="G96" s="6" t="s">
        <v>14</v>
      </c>
      <c r="H96" s="7">
        <v>3.27</v>
      </c>
      <c r="I96" s="8">
        <v>-942.5</v>
      </c>
      <c r="J96" s="8">
        <v>1642.4</v>
      </c>
      <c r="K96" s="8">
        <v>17.3</v>
      </c>
      <c r="L96" s="10">
        <v>0.79500000000000004</v>
      </c>
      <c r="M96" s="5" t="s">
        <v>360</v>
      </c>
    </row>
    <row r="97" spans="1:13" ht="240" x14ac:dyDescent="0.2">
      <c r="A97" s="2" t="s">
        <v>361</v>
      </c>
      <c r="B97" s="2" t="s">
        <v>362</v>
      </c>
      <c r="C97" s="2" t="str">
        <f>RIGHT(B97,SUM(LEN(B97)-LEN(SUBSTITUTE(B97,{"0","1","2","3","4","5","6","7","8","9"},""))))</f>
        <v>411</v>
      </c>
      <c r="D97" s="2" t="str">
        <f t="shared" si="5"/>
        <v>0411</v>
      </c>
      <c r="E97" s="2" t="str">
        <f t="shared" si="4"/>
        <v>'0411.HK'</v>
      </c>
      <c r="F97" s="4" t="s">
        <v>363</v>
      </c>
      <c r="G97" s="6" t="s">
        <v>14</v>
      </c>
      <c r="H97" s="7">
        <v>2.36</v>
      </c>
      <c r="I97" s="8">
        <v>-1537</v>
      </c>
      <c r="J97" s="8">
        <v>2331.6</v>
      </c>
      <c r="K97" s="8">
        <v>22.1</v>
      </c>
      <c r="L97" s="10">
        <v>0.78700000000000003</v>
      </c>
      <c r="M97" s="11" t="s">
        <v>364</v>
      </c>
    </row>
    <row r="98" spans="1:13" ht="40" x14ac:dyDescent="0.2">
      <c r="A98" s="2" t="s">
        <v>365</v>
      </c>
      <c r="B98" s="2" t="s">
        <v>366</v>
      </c>
      <c r="C98" s="2" t="str">
        <f>RIGHT(B98,SUM(LEN(B98)-LEN(SUBSTITUTE(B98,{"0","1","2","3","4","5","6","7","8","9"},""))))</f>
        <v>639</v>
      </c>
      <c r="D98" s="2" t="str">
        <f t="shared" si="5"/>
        <v>0639</v>
      </c>
      <c r="E98" s="2" t="str">
        <f t="shared" si="4"/>
        <v>'0639.HK'</v>
      </c>
      <c r="F98" s="4" t="s">
        <v>367</v>
      </c>
      <c r="G98" s="6" t="s">
        <v>14</v>
      </c>
      <c r="H98" s="7">
        <v>2.5299999999999998</v>
      </c>
      <c r="I98" s="8">
        <v>-6528.5</v>
      </c>
      <c r="J98" s="8">
        <v>13488.4</v>
      </c>
      <c r="K98" s="8">
        <v>22.7</v>
      </c>
      <c r="L98" s="10">
        <v>0.77100000000000002</v>
      </c>
      <c r="M98" s="5" t="s">
        <v>368</v>
      </c>
    </row>
    <row r="99" spans="1:13" ht="40" hidden="1" x14ac:dyDescent="0.2">
      <c r="A99" s="2" t="s">
        <v>369</v>
      </c>
      <c r="B99" s="2" t="s">
        <v>370</v>
      </c>
      <c r="C99" s="2" t="str">
        <f>RIGHT(B99,SUM(LEN(B99)-LEN(SUBSTITUTE(B99,{"0","1","2","3","4","5","6","7","8","9"},""))))</f>
        <v/>
      </c>
      <c r="D99" s="2"/>
      <c r="E99" s="2"/>
      <c r="F99" s="5" t="s">
        <v>14</v>
      </c>
      <c r="G99" s="6" t="s">
        <v>371</v>
      </c>
      <c r="H99" s="7">
        <v>2.06</v>
      </c>
      <c r="I99" s="8">
        <v>-4006.9</v>
      </c>
      <c r="J99" s="8">
        <v>7827.8</v>
      </c>
      <c r="K99" s="8">
        <v>25.2</v>
      </c>
      <c r="L99" s="10">
        <v>0.76900000000000002</v>
      </c>
      <c r="M99" s="5" t="s">
        <v>279</v>
      </c>
    </row>
    <row r="100" spans="1:13" ht="250" x14ac:dyDescent="0.2">
      <c r="A100" s="2" t="s">
        <v>372</v>
      </c>
      <c r="B100" s="2" t="s">
        <v>373</v>
      </c>
      <c r="C100" s="2" t="str">
        <f>RIGHT(B100,SUM(LEN(B100)-LEN(SUBSTITUTE(B100,{"0","1","2","3","4","5","6","7","8","9"},""))))</f>
        <v>3686</v>
      </c>
      <c r="D100" s="2" t="str">
        <f t="shared" ref="D100:D163" si="6">IF(LEN(C100)=4,C100,IF(LEN(C100)&lt;4,REPT("0",4-LEN(C100))&amp;C100))</f>
        <v>3686</v>
      </c>
      <c r="E100" s="2" t="str">
        <f t="shared" ref="E100:E163" si="7">"'"&amp;D100&amp;".HK"&amp;"'"</f>
        <v>'3686.HK'</v>
      </c>
      <c r="F100" s="4" t="s">
        <v>374</v>
      </c>
      <c r="G100" s="6" t="s">
        <v>14</v>
      </c>
      <c r="H100" s="7">
        <v>3.75</v>
      </c>
      <c r="I100" s="8">
        <v>-430.6</v>
      </c>
      <c r="J100" s="8">
        <v>538.29999999999995</v>
      </c>
      <c r="K100" s="8">
        <v>26.3</v>
      </c>
      <c r="L100" s="10">
        <v>0.76800000000000002</v>
      </c>
      <c r="M100" s="11" t="s">
        <v>375</v>
      </c>
    </row>
    <row r="101" spans="1:13" ht="80" x14ac:dyDescent="0.2">
      <c r="A101" s="2" t="s">
        <v>376</v>
      </c>
      <c r="B101" s="2" t="s">
        <v>377</v>
      </c>
      <c r="C101" s="2" t="str">
        <f>RIGHT(B101,SUM(LEN(B101)-LEN(SUBSTITUTE(B101,{"0","1","2","3","4","5","6","7","8","9"},""))))</f>
        <v>302</v>
      </c>
      <c r="D101" s="2" t="str">
        <f t="shared" si="6"/>
        <v>0302</v>
      </c>
      <c r="E101" s="2" t="str">
        <f t="shared" si="7"/>
        <v>'0302.HK'</v>
      </c>
      <c r="F101" s="4" t="s">
        <v>378</v>
      </c>
      <c r="G101" s="6" t="s">
        <v>14</v>
      </c>
      <c r="H101" s="7">
        <v>1.26</v>
      </c>
      <c r="I101" s="8">
        <v>-495.4</v>
      </c>
      <c r="J101" s="8">
        <v>5093.2</v>
      </c>
      <c r="K101" s="8">
        <v>26.1</v>
      </c>
      <c r="L101" s="10">
        <v>0.76700000000000002</v>
      </c>
      <c r="M101" s="11" t="s">
        <v>379</v>
      </c>
    </row>
    <row r="102" spans="1:13" ht="40" x14ac:dyDescent="0.2">
      <c r="A102" s="2" t="s">
        <v>380</v>
      </c>
      <c r="B102" s="2" t="s">
        <v>381</v>
      </c>
      <c r="C102" s="2" t="str">
        <f>RIGHT(B102,SUM(LEN(B102)-LEN(SUBSTITUTE(B102,{"0","1","2","3","4","5","6","7","8","9"},""))))</f>
        <v>1057</v>
      </c>
      <c r="D102" s="2" t="str">
        <f t="shared" si="6"/>
        <v>1057</v>
      </c>
      <c r="E102" s="2" t="str">
        <f t="shared" si="7"/>
        <v>'1057.HK'</v>
      </c>
      <c r="F102" s="4" t="s">
        <v>382</v>
      </c>
      <c r="G102" s="6" t="s">
        <v>14</v>
      </c>
      <c r="H102" s="7">
        <v>1.1399999999999999</v>
      </c>
      <c r="I102" s="8">
        <v>-115.8</v>
      </c>
      <c r="J102" s="8">
        <v>6370.4</v>
      </c>
      <c r="K102" s="8">
        <v>34.700000000000003</v>
      </c>
      <c r="L102" s="10">
        <v>0.75800000000000001</v>
      </c>
      <c r="M102" s="5" t="s">
        <v>383</v>
      </c>
    </row>
    <row r="103" spans="1:13" ht="110" x14ac:dyDescent="0.2">
      <c r="A103" s="2" t="s">
        <v>384</v>
      </c>
      <c r="B103" s="2" t="s">
        <v>385</v>
      </c>
      <c r="C103" s="2" t="str">
        <f>RIGHT(B103,SUM(LEN(B103)-LEN(SUBSTITUTE(B103,{"0","1","2","3","4","5","6","7","8","9"},""))))</f>
        <v>1731</v>
      </c>
      <c r="D103" s="2" t="str">
        <f t="shared" si="6"/>
        <v>1731</v>
      </c>
      <c r="E103" s="2" t="str">
        <f t="shared" si="7"/>
        <v>'1731.HK'</v>
      </c>
      <c r="F103" s="4" t="s">
        <v>386</v>
      </c>
      <c r="G103" s="6" t="s">
        <v>14</v>
      </c>
      <c r="H103" s="7">
        <v>2.0299999999999998</v>
      </c>
      <c r="I103" s="8">
        <v>-359.8</v>
      </c>
      <c r="J103" s="8">
        <v>806.4</v>
      </c>
      <c r="K103" s="8">
        <v>26.9</v>
      </c>
      <c r="L103" s="10">
        <v>0.75600000000000001</v>
      </c>
      <c r="M103" s="11" t="s">
        <v>387</v>
      </c>
    </row>
    <row r="104" spans="1:13" ht="130" x14ac:dyDescent="0.2">
      <c r="A104" s="2" t="s">
        <v>388</v>
      </c>
      <c r="B104" s="2" t="s">
        <v>389</v>
      </c>
      <c r="C104" s="2" t="str">
        <f>RIGHT(B104,SUM(LEN(B104)-LEN(SUBSTITUTE(B104,{"0","1","2","3","4","5","6","7","8","9"},""))))</f>
        <v>206</v>
      </c>
      <c r="D104" s="2" t="str">
        <f t="shared" si="6"/>
        <v>0206</v>
      </c>
      <c r="E104" s="2" t="str">
        <f t="shared" si="7"/>
        <v>'0206.HK'</v>
      </c>
      <c r="F104" s="4" t="s">
        <v>390</v>
      </c>
      <c r="G104" s="6" t="s">
        <v>14</v>
      </c>
      <c r="H104" s="7">
        <v>1.49</v>
      </c>
      <c r="I104" s="8">
        <v>-99.9</v>
      </c>
      <c r="J104" s="8">
        <v>859.5</v>
      </c>
      <c r="K104" s="8">
        <v>35.4</v>
      </c>
      <c r="L104" s="10">
        <v>0.746</v>
      </c>
      <c r="M104" s="11" t="s">
        <v>391</v>
      </c>
    </row>
    <row r="105" spans="1:13" ht="50" x14ac:dyDescent="0.2">
      <c r="A105" s="2" t="s">
        <v>392</v>
      </c>
      <c r="B105" s="2" t="s">
        <v>393</v>
      </c>
      <c r="C105" s="2" t="str">
        <f>RIGHT(B105,SUM(LEN(B105)-LEN(SUBSTITUTE(B105,{"0","1","2","3","4","5","6","7","8","9"},""))))</f>
        <v>869</v>
      </c>
      <c r="D105" s="2" t="str">
        <f t="shared" si="6"/>
        <v>0869</v>
      </c>
      <c r="E105" s="2" t="str">
        <f t="shared" si="7"/>
        <v>'0869.HK'</v>
      </c>
      <c r="F105" s="4" t="s">
        <v>394</v>
      </c>
      <c r="G105" s="6" t="s">
        <v>14</v>
      </c>
      <c r="H105" s="7">
        <v>4.3600000000000003</v>
      </c>
      <c r="I105" s="8">
        <v>-942.9</v>
      </c>
      <c r="J105" s="8">
        <v>708</v>
      </c>
      <c r="K105" s="8">
        <v>21</v>
      </c>
      <c r="L105" s="10">
        <v>0.73</v>
      </c>
      <c r="M105" s="5" t="s">
        <v>395</v>
      </c>
    </row>
    <row r="106" spans="1:13" ht="180" x14ac:dyDescent="0.2">
      <c r="A106" s="2" t="s">
        <v>396</v>
      </c>
      <c r="B106" s="2" t="s">
        <v>397</v>
      </c>
      <c r="C106" s="2" t="str">
        <f>RIGHT(B106,SUM(LEN(B106)-LEN(SUBSTITUTE(B106,{"0","1","2","3","4","5","6","7","8","9"},""))))</f>
        <v>1896</v>
      </c>
      <c r="D106" s="2" t="str">
        <f t="shared" si="6"/>
        <v>1896</v>
      </c>
      <c r="E106" s="2" t="str">
        <f t="shared" si="7"/>
        <v>'1896.HK'</v>
      </c>
      <c r="F106" s="4" t="s">
        <v>398</v>
      </c>
      <c r="G106" s="6" t="s">
        <v>14</v>
      </c>
      <c r="H106" s="7">
        <v>1.23</v>
      </c>
      <c r="I106" s="8">
        <v>-2525.1999999999998</v>
      </c>
      <c r="J106" s="8">
        <v>6862</v>
      </c>
      <c r="K106" s="8">
        <v>27.6</v>
      </c>
      <c r="L106" s="10">
        <v>0.72799999999999998</v>
      </c>
      <c r="M106" s="11" t="s">
        <v>399</v>
      </c>
    </row>
    <row r="107" spans="1:13" ht="110" x14ac:dyDescent="0.2">
      <c r="A107" s="2" t="s">
        <v>400</v>
      </c>
      <c r="B107" s="2" t="s">
        <v>401</v>
      </c>
      <c r="C107" s="2" t="str">
        <f>RIGHT(B107,SUM(LEN(B107)-LEN(SUBSTITUTE(B107,{"0","1","2","3","4","5","6","7","8","9"},""))))</f>
        <v>128</v>
      </c>
      <c r="D107" s="2" t="str">
        <f t="shared" si="6"/>
        <v>0128</v>
      </c>
      <c r="E107" s="2" t="str">
        <f t="shared" si="7"/>
        <v>'0128.HK'</v>
      </c>
      <c r="F107" s="4" t="s">
        <v>402</v>
      </c>
      <c r="G107" s="6" t="s">
        <v>14</v>
      </c>
      <c r="H107" s="8">
        <v>17.5</v>
      </c>
      <c r="I107" s="8">
        <v>-688</v>
      </c>
      <c r="J107" s="8">
        <v>858.3</v>
      </c>
      <c r="K107" s="7">
        <v>3.81</v>
      </c>
      <c r="L107" s="10">
        <v>0.72699999999999998</v>
      </c>
      <c r="M107" s="11" t="s">
        <v>403</v>
      </c>
    </row>
    <row r="108" spans="1:13" ht="90" x14ac:dyDescent="0.2">
      <c r="A108" s="2" t="s">
        <v>404</v>
      </c>
      <c r="B108" s="2" t="s">
        <v>405</v>
      </c>
      <c r="C108" s="2" t="str">
        <f>RIGHT(B108,SUM(LEN(B108)-LEN(SUBSTITUTE(B108,{"0","1","2","3","4","5","6","7","8","9"},""))))</f>
        <v>2232</v>
      </c>
      <c r="D108" s="2" t="str">
        <f t="shared" si="6"/>
        <v>2232</v>
      </c>
      <c r="E108" s="2" t="str">
        <f t="shared" si="7"/>
        <v>'2232.HK'</v>
      </c>
      <c r="F108" s="4" t="s">
        <v>406</v>
      </c>
      <c r="G108" s="6" t="s">
        <v>14</v>
      </c>
      <c r="H108" s="7">
        <v>1.21</v>
      </c>
      <c r="I108" s="8">
        <v>-1581.7</v>
      </c>
      <c r="J108" s="8">
        <v>7331.7</v>
      </c>
      <c r="K108" s="8">
        <v>34</v>
      </c>
      <c r="L108" s="10">
        <v>0.72499999999999998</v>
      </c>
      <c r="M108" s="11" t="s">
        <v>407</v>
      </c>
    </row>
    <row r="109" spans="1:13" ht="50" x14ac:dyDescent="0.2">
      <c r="A109" s="2" t="s">
        <v>408</v>
      </c>
      <c r="B109" s="2" t="s">
        <v>409</v>
      </c>
      <c r="C109" s="2" t="str">
        <f>RIGHT(B109,SUM(LEN(B109)-LEN(SUBSTITUTE(B109,{"0","1","2","3","4","5","6","7","8","9"},""))))</f>
        <v>2205</v>
      </c>
      <c r="D109" s="2" t="str">
        <f t="shared" si="6"/>
        <v>2205</v>
      </c>
      <c r="E109" s="2" t="str">
        <f t="shared" si="7"/>
        <v>'2205.HK'</v>
      </c>
      <c r="F109" s="4" t="s">
        <v>410</v>
      </c>
      <c r="G109" s="6" t="s">
        <v>14</v>
      </c>
      <c r="H109" s="7">
        <v>2.36</v>
      </c>
      <c r="I109" s="8">
        <v>-682</v>
      </c>
      <c r="J109" s="8">
        <v>588</v>
      </c>
      <c r="K109" s="8">
        <v>38.200000000000003</v>
      </c>
      <c r="L109" s="10">
        <v>0.72399999999999998</v>
      </c>
      <c r="M109" s="12" t="s">
        <v>151</v>
      </c>
    </row>
    <row r="110" spans="1:13" ht="100" x14ac:dyDescent="0.2">
      <c r="A110" s="2" t="s">
        <v>411</v>
      </c>
      <c r="B110" s="2" t="s">
        <v>412</v>
      </c>
      <c r="C110" s="2" t="str">
        <f>RIGHT(B110,SUM(LEN(B110)-LEN(SUBSTITUTE(B110,{"0","1","2","3","4","5","6","7","8","9"},""))))</f>
        <v>1502</v>
      </c>
      <c r="D110" s="2" t="str">
        <f t="shared" si="6"/>
        <v>1502</v>
      </c>
      <c r="E110" s="2" t="str">
        <f t="shared" si="7"/>
        <v>'1502.HK'</v>
      </c>
      <c r="F110" s="4" t="s">
        <v>413</v>
      </c>
      <c r="G110" s="6" t="s">
        <v>14</v>
      </c>
      <c r="H110" s="7">
        <v>2.4300000000000002</v>
      </c>
      <c r="I110" s="8">
        <v>-1684.8</v>
      </c>
      <c r="J110" s="8">
        <v>959.9</v>
      </c>
      <c r="K110" s="8">
        <v>38.1</v>
      </c>
      <c r="L110" s="10">
        <v>0.72299999999999998</v>
      </c>
      <c r="M110" s="11" t="s">
        <v>414</v>
      </c>
    </row>
    <row r="111" spans="1:13" ht="140" x14ac:dyDescent="0.2">
      <c r="A111" s="2" t="s">
        <v>415</v>
      </c>
      <c r="B111" s="2" t="s">
        <v>416</v>
      </c>
      <c r="C111" s="2" t="str">
        <f>RIGHT(B111,SUM(LEN(B111)-LEN(SUBSTITUTE(B111,{"0","1","2","3","4","5","6","7","8","9"},""))))</f>
        <v>1126</v>
      </c>
      <c r="D111" s="2" t="str">
        <f t="shared" si="6"/>
        <v>1126</v>
      </c>
      <c r="E111" s="2" t="str">
        <f t="shared" si="7"/>
        <v>'1126.HK'</v>
      </c>
      <c r="F111" s="4" t="s">
        <v>417</v>
      </c>
      <c r="G111" s="6" t="s">
        <v>14</v>
      </c>
      <c r="H111" s="7">
        <v>1.24</v>
      </c>
      <c r="I111" s="8">
        <v>-302.8</v>
      </c>
      <c r="J111" s="8">
        <v>1976.4</v>
      </c>
      <c r="K111" s="8">
        <v>36.299999999999997</v>
      </c>
      <c r="L111" s="10">
        <v>0.70599999999999996</v>
      </c>
      <c r="M111" s="11" t="s">
        <v>418</v>
      </c>
    </row>
    <row r="112" spans="1:13" ht="90" x14ac:dyDescent="0.2">
      <c r="A112" s="2" t="s">
        <v>419</v>
      </c>
      <c r="B112" s="2" t="s">
        <v>420</v>
      </c>
      <c r="C112" s="2" t="str">
        <f>RIGHT(B112,SUM(LEN(B112)-LEN(SUBSTITUTE(B112,{"0","1","2","3","4","5","6","7","8","9"},""))))</f>
        <v>6909</v>
      </c>
      <c r="D112" s="2" t="str">
        <f t="shared" si="6"/>
        <v>6909</v>
      </c>
      <c r="E112" s="2" t="str">
        <f t="shared" si="7"/>
        <v>'6909.HK'</v>
      </c>
      <c r="F112" s="4" t="s">
        <v>421</v>
      </c>
      <c r="G112" s="6" t="s">
        <v>14</v>
      </c>
      <c r="H112" s="7">
        <v>1.81</v>
      </c>
      <c r="I112" s="8">
        <v>-1225.2</v>
      </c>
      <c r="J112" s="8">
        <v>2178.8000000000002</v>
      </c>
      <c r="K112" s="8">
        <v>32.5</v>
      </c>
      <c r="L112" s="10">
        <v>0.69899999999999995</v>
      </c>
      <c r="M112" s="11" t="s">
        <v>422</v>
      </c>
    </row>
    <row r="113" spans="1:13" ht="100" x14ac:dyDescent="0.2">
      <c r="A113" s="2" t="s">
        <v>423</v>
      </c>
      <c r="B113" s="2" t="s">
        <v>424</v>
      </c>
      <c r="C113" s="2" t="str">
        <f>RIGHT(B113,SUM(LEN(B113)-LEN(SUBSTITUTE(B113,{"0","1","2","3","4","5","6","7","8","9"},""))))</f>
        <v>6601</v>
      </c>
      <c r="D113" s="2" t="str">
        <f t="shared" si="6"/>
        <v>6601</v>
      </c>
      <c r="E113" s="2" t="str">
        <f t="shared" si="7"/>
        <v>'6601.HK'</v>
      </c>
      <c r="F113" s="4" t="s">
        <v>425</v>
      </c>
      <c r="G113" s="6" t="s">
        <v>14</v>
      </c>
      <c r="H113" s="7">
        <v>4.05</v>
      </c>
      <c r="I113" s="8">
        <v>-3256.8</v>
      </c>
      <c r="J113" s="8">
        <v>2333.3000000000002</v>
      </c>
      <c r="K113" s="8">
        <v>20.100000000000001</v>
      </c>
      <c r="L113" s="10">
        <v>0.69799999999999995</v>
      </c>
      <c r="M113" s="11" t="s">
        <v>426</v>
      </c>
    </row>
    <row r="114" spans="1:13" ht="160" x14ac:dyDescent="0.2">
      <c r="A114" s="2" t="s">
        <v>427</v>
      </c>
      <c r="B114" s="2" t="s">
        <v>428</v>
      </c>
      <c r="C114" s="2" t="str">
        <f>RIGHT(B114,SUM(LEN(B114)-LEN(SUBSTITUTE(B114,{"0","1","2","3","4","5","6","7","8","9"},""))))</f>
        <v>677</v>
      </c>
      <c r="D114" s="2" t="str">
        <f t="shared" si="6"/>
        <v>0677</v>
      </c>
      <c r="E114" s="2" t="str">
        <f t="shared" si="7"/>
        <v>'0677.HK'</v>
      </c>
      <c r="F114" s="4" t="s">
        <v>429</v>
      </c>
      <c r="G114" s="6" t="s">
        <v>14</v>
      </c>
      <c r="H114" s="7">
        <v>1.98</v>
      </c>
      <c r="I114" s="8">
        <v>-271.8</v>
      </c>
      <c r="J114" s="8">
        <v>789.3</v>
      </c>
      <c r="K114" s="8">
        <v>34.700000000000003</v>
      </c>
      <c r="L114" s="10">
        <v>0.69</v>
      </c>
      <c r="M114" s="11" t="s">
        <v>430</v>
      </c>
    </row>
    <row r="115" spans="1:13" ht="200" x14ac:dyDescent="0.2">
      <c r="A115" s="2" t="s">
        <v>431</v>
      </c>
      <c r="B115" s="2" t="s">
        <v>432</v>
      </c>
      <c r="C115" s="2" t="str">
        <f>RIGHT(B115,SUM(LEN(B115)-LEN(SUBSTITUTE(B115,{"0","1","2","3","4","5","6","7","8","9"},""))))</f>
        <v>9666</v>
      </c>
      <c r="D115" s="2" t="str">
        <f t="shared" si="6"/>
        <v>9666</v>
      </c>
      <c r="E115" s="2" t="str">
        <f t="shared" si="7"/>
        <v>'9666.HK'</v>
      </c>
      <c r="F115" s="4" t="s">
        <v>433</v>
      </c>
      <c r="G115" s="6" t="s">
        <v>14</v>
      </c>
      <c r="H115" s="7">
        <v>3.51</v>
      </c>
      <c r="I115" s="8">
        <v>-6097.1</v>
      </c>
      <c r="J115" s="8">
        <v>5888.7</v>
      </c>
      <c r="K115" s="8">
        <v>26</v>
      </c>
      <c r="L115" s="10">
        <v>0.66900000000000004</v>
      </c>
      <c r="M115" s="11" t="s">
        <v>434</v>
      </c>
    </row>
    <row r="116" spans="1:13" ht="160" x14ac:dyDescent="0.2">
      <c r="A116" s="2" t="s">
        <v>435</v>
      </c>
      <c r="B116" s="2" t="s">
        <v>436</v>
      </c>
      <c r="C116" s="2" t="str">
        <f>RIGHT(B116,SUM(LEN(B116)-LEN(SUBSTITUTE(B116,{"0","1","2","3","4","5","6","7","8","9"},""))))</f>
        <v>335</v>
      </c>
      <c r="D116" s="2" t="str">
        <f t="shared" si="6"/>
        <v>0335</v>
      </c>
      <c r="E116" s="2" t="str">
        <f t="shared" si="7"/>
        <v>'0335.HK'</v>
      </c>
      <c r="F116" s="4" t="s">
        <v>437</v>
      </c>
      <c r="G116" s="6" t="s">
        <v>14</v>
      </c>
      <c r="H116" s="7">
        <v>2.63</v>
      </c>
      <c r="I116" s="8">
        <v>-333.8</v>
      </c>
      <c r="J116" s="8">
        <v>1797.1</v>
      </c>
      <c r="K116" s="8">
        <v>17.399999999999999</v>
      </c>
      <c r="L116" s="10">
        <v>0.66100000000000003</v>
      </c>
      <c r="M116" s="11" t="s">
        <v>438</v>
      </c>
    </row>
    <row r="117" spans="1:13" ht="40" x14ac:dyDescent="0.2">
      <c r="A117" s="2" t="s">
        <v>439</v>
      </c>
      <c r="B117" s="2" t="s">
        <v>440</v>
      </c>
      <c r="C117" s="2" t="str">
        <f>RIGHT(B117,SUM(LEN(B117)-LEN(SUBSTITUTE(B117,{"0","1","2","3","4","5","6","7","8","9"},""))))</f>
        <v>9990</v>
      </c>
      <c r="D117" s="2" t="str">
        <f t="shared" si="6"/>
        <v>9990</v>
      </c>
      <c r="E117" s="2" t="str">
        <f t="shared" si="7"/>
        <v>'9990.HK'</v>
      </c>
      <c r="F117" s="4" t="s">
        <v>441</v>
      </c>
      <c r="G117" s="6" t="s">
        <v>14</v>
      </c>
      <c r="H117" s="8">
        <v>12.1</v>
      </c>
      <c r="I117" s="8">
        <v>-3153.3</v>
      </c>
      <c r="J117" s="8">
        <v>2594.6</v>
      </c>
      <c r="K117" s="7">
        <v>10</v>
      </c>
      <c r="L117" s="10">
        <v>0.65900000000000003</v>
      </c>
      <c r="M117" s="5" t="s">
        <v>264</v>
      </c>
    </row>
    <row r="118" spans="1:13" ht="30" x14ac:dyDescent="0.2">
      <c r="A118" s="2" t="s">
        <v>442</v>
      </c>
      <c r="B118" s="2" t="s">
        <v>443</v>
      </c>
      <c r="C118" s="2" t="str">
        <f>RIGHT(B118,SUM(LEN(B118)-LEN(SUBSTITUTE(B118,{"0","1","2","3","4","5","6","7","8","9"},""))))</f>
        <v>2686</v>
      </c>
      <c r="D118" s="2" t="str">
        <f t="shared" si="6"/>
        <v>2686</v>
      </c>
      <c r="E118" s="2" t="str">
        <f t="shared" si="7"/>
        <v>'2686.HK'</v>
      </c>
      <c r="F118" s="4" t="s">
        <v>444</v>
      </c>
      <c r="G118" s="6" t="s">
        <v>14</v>
      </c>
      <c r="H118" s="7">
        <v>3.08</v>
      </c>
      <c r="I118" s="8">
        <v>-2181.6</v>
      </c>
      <c r="J118" s="8">
        <v>5058.7</v>
      </c>
      <c r="K118" s="8">
        <v>20.5</v>
      </c>
      <c r="L118" s="10">
        <v>0.63500000000000001</v>
      </c>
      <c r="M118" s="5" t="s">
        <v>445</v>
      </c>
    </row>
    <row r="119" spans="1:13" ht="70" x14ac:dyDescent="0.2">
      <c r="A119" s="2" t="s">
        <v>446</v>
      </c>
      <c r="B119" s="2" t="s">
        <v>447</v>
      </c>
      <c r="C119" s="2" t="str">
        <f>RIGHT(B119,SUM(LEN(B119)-LEN(SUBSTITUTE(B119,{"0","1","2","3","4","5","6","7","8","9"},""))))</f>
        <v>1981</v>
      </c>
      <c r="D119" s="2" t="str">
        <f t="shared" si="6"/>
        <v>1981</v>
      </c>
      <c r="E119" s="2" t="str">
        <f t="shared" si="7"/>
        <v>'1981.HK'</v>
      </c>
      <c r="F119" s="4" t="s">
        <v>448</v>
      </c>
      <c r="G119" s="6" t="s">
        <v>449</v>
      </c>
      <c r="H119" s="7">
        <v>1.29</v>
      </c>
      <c r="I119" s="8">
        <v>-1016.3</v>
      </c>
      <c r="J119" s="8">
        <v>1952.8</v>
      </c>
      <c r="K119" s="8">
        <v>26.7</v>
      </c>
      <c r="L119" s="10">
        <v>0.624</v>
      </c>
      <c r="M119" s="11" t="s">
        <v>450</v>
      </c>
    </row>
    <row r="120" spans="1:13" ht="60" x14ac:dyDescent="0.2">
      <c r="A120" s="2" t="s">
        <v>451</v>
      </c>
      <c r="B120" s="2" t="s">
        <v>452</v>
      </c>
      <c r="C120" s="2" t="str">
        <f>RIGHT(B120,SUM(LEN(B120)-LEN(SUBSTITUTE(B120,{"0","1","2","3","4","5","6","7","8","9"},""))))</f>
        <v>3913</v>
      </c>
      <c r="D120" s="2" t="str">
        <f t="shared" si="6"/>
        <v>3913</v>
      </c>
      <c r="E120" s="2" t="str">
        <f t="shared" si="7"/>
        <v>'3913.HK'</v>
      </c>
      <c r="F120" s="4" t="s">
        <v>453</v>
      </c>
      <c r="G120" s="6" t="s">
        <v>14</v>
      </c>
      <c r="H120" s="7">
        <v>1.82</v>
      </c>
      <c r="I120" s="8">
        <v>-1539.5</v>
      </c>
      <c r="J120" s="8">
        <v>2734.9</v>
      </c>
      <c r="K120" s="8">
        <v>29.7</v>
      </c>
      <c r="L120" s="10">
        <v>0.61599999999999999</v>
      </c>
      <c r="M120" s="11" t="s">
        <v>248</v>
      </c>
    </row>
    <row r="121" spans="1:13" ht="150" x14ac:dyDescent="0.2">
      <c r="A121" s="2" t="s">
        <v>454</v>
      </c>
      <c r="B121" s="2" t="s">
        <v>455</v>
      </c>
      <c r="C121" s="2" t="str">
        <f>RIGHT(B121,SUM(LEN(B121)-LEN(SUBSTITUTE(B121,{"0","1","2","3","4","5","6","7","8","9"},""))))</f>
        <v>800</v>
      </c>
      <c r="D121" s="2" t="str">
        <f t="shared" si="6"/>
        <v>0800</v>
      </c>
      <c r="E121" s="2" t="str">
        <f t="shared" si="7"/>
        <v>'0800.HK'</v>
      </c>
      <c r="F121" s="4" t="s">
        <v>456</v>
      </c>
      <c r="G121" s="6" t="s">
        <v>14</v>
      </c>
      <c r="H121" s="7">
        <v>7.21</v>
      </c>
      <c r="I121" s="8">
        <v>-683.7</v>
      </c>
      <c r="J121" s="8">
        <v>1087.9000000000001</v>
      </c>
      <c r="K121" s="8">
        <v>11</v>
      </c>
      <c r="L121" s="10">
        <v>0.60899999999999999</v>
      </c>
      <c r="M121" s="11" t="s">
        <v>457</v>
      </c>
    </row>
    <row r="122" spans="1:13" ht="70" x14ac:dyDescent="0.2">
      <c r="A122" s="2" t="s">
        <v>458</v>
      </c>
      <c r="B122" s="2" t="s">
        <v>459</v>
      </c>
      <c r="C122" s="2" t="str">
        <f>RIGHT(B122,SUM(LEN(B122)-LEN(SUBSTITUTE(B122,{"0","1","2","3","4","5","6","7","8","9"},""))))</f>
        <v>93</v>
      </c>
      <c r="D122" s="2" t="str">
        <f t="shared" si="6"/>
        <v>0093</v>
      </c>
      <c r="E122" s="2" t="str">
        <f t="shared" si="7"/>
        <v>'0093.HK'</v>
      </c>
      <c r="F122" s="4" t="s">
        <v>460</v>
      </c>
      <c r="G122" s="6" t="s">
        <v>14</v>
      </c>
      <c r="H122" s="7">
        <v>2.93</v>
      </c>
      <c r="I122" s="8">
        <v>-180.3</v>
      </c>
      <c r="J122" s="8">
        <v>666.9</v>
      </c>
      <c r="K122" s="8">
        <v>15.9</v>
      </c>
      <c r="L122" s="10">
        <v>0.59799999999999998</v>
      </c>
      <c r="M122" s="11" t="s">
        <v>461</v>
      </c>
    </row>
    <row r="123" spans="1:13" ht="60" x14ac:dyDescent="0.2">
      <c r="A123" s="2" t="s">
        <v>462</v>
      </c>
      <c r="B123" s="2" t="s">
        <v>463</v>
      </c>
      <c r="C123" s="2" t="str">
        <f>RIGHT(B123,SUM(LEN(B123)-LEN(SUBSTITUTE(B123,{"0","1","2","3","4","5","6","7","8","9"},""))))</f>
        <v>8137</v>
      </c>
      <c r="D123" s="2" t="str">
        <f t="shared" si="6"/>
        <v>8137</v>
      </c>
      <c r="E123" s="2" t="str">
        <f t="shared" si="7"/>
        <v>'8137.HK'</v>
      </c>
      <c r="F123" s="4" t="s">
        <v>464</v>
      </c>
      <c r="G123" s="6" t="s">
        <v>14</v>
      </c>
      <c r="H123" s="7">
        <v>2.54</v>
      </c>
      <c r="I123" s="8">
        <v>-259.3</v>
      </c>
      <c r="J123" s="8">
        <v>2872.5</v>
      </c>
      <c r="K123" s="8">
        <v>35.9</v>
      </c>
      <c r="L123" s="10">
        <v>0.58899999999999997</v>
      </c>
      <c r="M123" s="11" t="s">
        <v>465</v>
      </c>
    </row>
    <row r="124" spans="1:13" ht="90" x14ac:dyDescent="0.2">
      <c r="A124" s="2" t="s">
        <v>466</v>
      </c>
      <c r="B124" s="2" t="s">
        <v>467</v>
      </c>
      <c r="C124" s="2" t="str">
        <f>RIGHT(B124,SUM(LEN(B124)-LEN(SUBSTITUTE(B124,{"0","1","2","3","4","5","6","7","8","9"},""))))</f>
        <v>468</v>
      </c>
      <c r="D124" s="2" t="str">
        <f t="shared" si="6"/>
        <v>0468</v>
      </c>
      <c r="E124" s="2" t="str">
        <f t="shared" si="7"/>
        <v>'0468.HK'</v>
      </c>
      <c r="F124" s="4" t="s">
        <v>468</v>
      </c>
      <c r="G124" s="6" t="s">
        <v>14</v>
      </c>
      <c r="H124" s="7">
        <v>1.01</v>
      </c>
      <c r="I124" s="8">
        <v>-140</v>
      </c>
      <c r="J124" s="8">
        <v>1844.5</v>
      </c>
      <c r="K124" s="8">
        <v>33.9</v>
      </c>
      <c r="L124" s="10">
        <v>0.58699999999999997</v>
      </c>
      <c r="M124" s="11" t="s">
        <v>469</v>
      </c>
    </row>
    <row r="125" spans="1:13" ht="70" x14ac:dyDescent="0.2">
      <c r="A125" s="2" t="s">
        <v>470</v>
      </c>
      <c r="B125" s="2" t="s">
        <v>471</v>
      </c>
      <c r="C125" s="2" t="str">
        <f>RIGHT(B125,SUM(LEN(B125)-LEN(SUBSTITUTE(B125,{"0","1","2","3","4","5","6","7","8","9"},""))))</f>
        <v>1868</v>
      </c>
      <c r="D125" s="2" t="str">
        <f t="shared" si="6"/>
        <v>1868</v>
      </c>
      <c r="E125" s="2" t="str">
        <f t="shared" si="7"/>
        <v>'1868.HK'</v>
      </c>
      <c r="F125" s="4" t="s">
        <v>472</v>
      </c>
      <c r="G125" s="6" t="s">
        <v>14</v>
      </c>
      <c r="H125" s="7">
        <v>3.66</v>
      </c>
      <c r="I125" s="8">
        <v>-775.8</v>
      </c>
      <c r="J125" s="8">
        <v>963.5</v>
      </c>
      <c r="K125" s="8">
        <v>16.7</v>
      </c>
      <c r="L125" s="10">
        <v>0.57999999999999996</v>
      </c>
      <c r="M125" s="11" t="s">
        <v>473</v>
      </c>
    </row>
    <row r="126" spans="1:13" ht="180" x14ac:dyDescent="0.2">
      <c r="A126" s="2" t="s">
        <v>474</v>
      </c>
      <c r="B126" s="2" t="s">
        <v>475</v>
      </c>
      <c r="C126" s="2" t="str">
        <f>RIGHT(B126,SUM(LEN(B126)-LEN(SUBSTITUTE(B126,{"0","1","2","3","4","5","6","7","8","9"},""))))</f>
        <v>423</v>
      </c>
      <c r="D126" s="2" t="str">
        <f t="shared" si="6"/>
        <v>0423</v>
      </c>
      <c r="E126" s="2" t="str">
        <f t="shared" si="7"/>
        <v>'0423.HK'</v>
      </c>
      <c r="F126" s="4" t="s">
        <v>476</v>
      </c>
      <c r="G126" s="6" t="s">
        <v>14</v>
      </c>
      <c r="H126" s="7">
        <v>2.42</v>
      </c>
      <c r="I126" s="8">
        <v>-473.5</v>
      </c>
      <c r="J126" s="8">
        <v>505</v>
      </c>
      <c r="K126" s="8">
        <v>24.4</v>
      </c>
      <c r="L126" s="10">
        <v>0.56499999999999995</v>
      </c>
      <c r="M126" s="11" t="s">
        <v>477</v>
      </c>
    </row>
    <row r="127" spans="1:13" ht="60" x14ac:dyDescent="0.2">
      <c r="A127" s="2" t="s">
        <v>478</v>
      </c>
      <c r="B127" s="2" t="s">
        <v>479</v>
      </c>
      <c r="C127" s="2" t="str">
        <f>RIGHT(B127,SUM(LEN(B127)-LEN(SUBSTITUTE(B127,{"0","1","2","3","4","5","6","7","8","9"},""))))</f>
        <v>1753</v>
      </c>
      <c r="D127" s="2" t="str">
        <f t="shared" si="6"/>
        <v>1753</v>
      </c>
      <c r="E127" s="2" t="str">
        <f t="shared" si="7"/>
        <v>'1753.HK'</v>
      </c>
      <c r="F127" s="4" t="s">
        <v>480</v>
      </c>
      <c r="G127" s="6" t="s">
        <v>14</v>
      </c>
      <c r="H127" s="7">
        <v>4.68</v>
      </c>
      <c r="I127" s="8">
        <v>-1498.3</v>
      </c>
      <c r="J127" s="8">
        <v>850.7</v>
      </c>
      <c r="K127" s="8">
        <v>17.8</v>
      </c>
      <c r="L127" s="10">
        <v>0.56200000000000006</v>
      </c>
      <c r="M127" s="11" t="s">
        <v>481</v>
      </c>
    </row>
    <row r="128" spans="1:13" ht="170" x14ac:dyDescent="0.2">
      <c r="A128" s="2" t="s">
        <v>482</v>
      </c>
      <c r="B128" s="2" t="s">
        <v>483</v>
      </c>
      <c r="C128" s="2" t="str">
        <f>RIGHT(B128,SUM(LEN(B128)-LEN(SUBSTITUTE(B128,{"0","1","2","3","4","5","6","7","8","9"},""))))</f>
        <v>32</v>
      </c>
      <c r="D128" s="2" t="str">
        <f t="shared" si="6"/>
        <v>0032</v>
      </c>
      <c r="E128" s="2" t="str">
        <f t="shared" si="7"/>
        <v>'0032.HK'</v>
      </c>
      <c r="F128" s="4" t="s">
        <v>484</v>
      </c>
      <c r="G128" s="6" t="s">
        <v>14</v>
      </c>
      <c r="H128" s="7">
        <v>5.35</v>
      </c>
      <c r="I128" s="8">
        <v>-4070.1</v>
      </c>
      <c r="J128" s="8">
        <v>3913.2</v>
      </c>
      <c r="K128" s="7">
        <v>9.92</v>
      </c>
      <c r="L128" s="10">
        <v>0.55800000000000005</v>
      </c>
      <c r="M128" s="11" t="s">
        <v>485</v>
      </c>
    </row>
    <row r="129" spans="1:13" ht="90" x14ac:dyDescent="0.2">
      <c r="A129" s="2" t="s">
        <v>486</v>
      </c>
      <c r="B129" s="2" t="s">
        <v>487</v>
      </c>
      <c r="C129" s="2" t="str">
        <f>RIGHT(B129,SUM(LEN(B129)-LEN(SUBSTITUTE(B129,{"0","1","2","3","4","5","6","7","8","9"},""))))</f>
        <v>2125</v>
      </c>
      <c r="D129" s="2" t="str">
        <f t="shared" si="6"/>
        <v>2125</v>
      </c>
      <c r="E129" s="2" t="str">
        <f t="shared" si="7"/>
        <v>'2125.HK'</v>
      </c>
      <c r="F129" s="4" t="s">
        <v>488</v>
      </c>
      <c r="G129" s="6" t="s">
        <v>14</v>
      </c>
      <c r="H129" s="7">
        <v>1.07</v>
      </c>
      <c r="I129" s="8">
        <v>-52.4</v>
      </c>
      <c r="J129" s="8">
        <v>1198.2</v>
      </c>
      <c r="K129" s="8">
        <v>37.6</v>
      </c>
      <c r="L129" s="10">
        <v>0.55500000000000005</v>
      </c>
      <c r="M129" s="11" t="s">
        <v>489</v>
      </c>
    </row>
    <row r="130" spans="1:13" ht="110" x14ac:dyDescent="0.2">
      <c r="A130" s="2" t="s">
        <v>490</v>
      </c>
      <c r="B130" s="2" t="s">
        <v>491</v>
      </c>
      <c r="C130" s="2" t="str">
        <f>RIGHT(B130,SUM(LEN(B130)-LEN(SUBSTITUTE(B130,{"0","1","2","3","4","5","6","7","8","9"},""))))</f>
        <v>3339</v>
      </c>
      <c r="D130" s="2" t="str">
        <f t="shared" si="6"/>
        <v>3339</v>
      </c>
      <c r="E130" s="2" t="str">
        <f t="shared" si="7"/>
        <v>'3339.HK'</v>
      </c>
      <c r="F130" s="4" t="s">
        <v>492</v>
      </c>
      <c r="G130" s="6" t="s">
        <v>14</v>
      </c>
      <c r="H130" s="7">
        <v>1.31</v>
      </c>
      <c r="I130" s="8">
        <v>-4206.3999999999996</v>
      </c>
      <c r="J130" s="8">
        <v>5435.7</v>
      </c>
      <c r="K130" s="8">
        <v>38.5</v>
      </c>
      <c r="L130" s="10">
        <v>0.54400000000000004</v>
      </c>
      <c r="M130" s="11" t="s">
        <v>493</v>
      </c>
    </row>
    <row r="131" spans="1:13" ht="90" x14ac:dyDescent="0.2">
      <c r="A131" s="2" t="s">
        <v>494</v>
      </c>
      <c r="B131" s="2" t="s">
        <v>495</v>
      </c>
      <c r="C131" s="2" t="str">
        <f>RIGHT(B131,SUM(LEN(B131)-LEN(SUBSTITUTE(B131,{"0","1","2","3","4","5","6","7","8","9"},""))))</f>
        <v>1170</v>
      </c>
      <c r="D131" s="2" t="str">
        <f t="shared" si="6"/>
        <v>1170</v>
      </c>
      <c r="E131" s="2" t="str">
        <f t="shared" si="7"/>
        <v>'1170.HK'</v>
      </c>
      <c r="F131" s="4" t="s">
        <v>496</v>
      </c>
      <c r="G131" s="6" t="s">
        <v>14</v>
      </c>
      <c r="H131" s="7">
        <v>1.8</v>
      </c>
      <c r="I131" s="8">
        <v>-285.60000000000002</v>
      </c>
      <c r="J131" s="8">
        <v>652.29999999999995</v>
      </c>
      <c r="K131" s="8">
        <v>26.4</v>
      </c>
      <c r="L131" s="10">
        <v>0.53900000000000003</v>
      </c>
      <c r="M131" s="11" t="s">
        <v>497</v>
      </c>
    </row>
    <row r="132" spans="1:13" ht="100" x14ac:dyDescent="0.2">
      <c r="A132" s="2" t="s">
        <v>498</v>
      </c>
      <c r="B132" s="2" t="s">
        <v>499</v>
      </c>
      <c r="C132" s="2" t="str">
        <f>RIGHT(B132,SUM(LEN(B132)-LEN(SUBSTITUTE(B132,{"0","1","2","3","4","5","6","7","8","9"},""))))</f>
        <v>1221</v>
      </c>
      <c r="D132" s="2" t="str">
        <f t="shared" si="6"/>
        <v>1221</v>
      </c>
      <c r="E132" s="2" t="str">
        <f t="shared" si="7"/>
        <v>'1221.HK'</v>
      </c>
      <c r="F132" s="4" t="s">
        <v>500</v>
      </c>
      <c r="G132" s="6" t="s">
        <v>14</v>
      </c>
      <c r="H132" s="8">
        <v>58.1</v>
      </c>
      <c r="I132" s="8">
        <v>-837.8</v>
      </c>
      <c r="J132" s="8">
        <v>2171</v>
      </c>
      <c r="K132" s="10">
        <v>0.35</v>
      </c>
      <c r="L132" s="10">
        <v>0.53200000000000003</v>
      </c>
      <c r="M132" s="11" t="s">
        <v>501</v>
      </c>
    </row>
    <row r="133" spans="1:13" ht="100" x14ac:dyDescent="0.2">
      <c r="A133" s="2" t="s">
        <v>502</v>
      </c>
      <c r="B133" s="2" t="s">
        <v>503</v>
      </c>
      <c r="C133" s="2" t="str">
        <f>RIGHT(B133,SUM(LEN(B133)-LEN(SUBSTITUTE(B133,{"0","1","2","3","4","5","6","7","8","9"},""))))</f>
        <v>215</v>
      </c>
      <c r="D133" s="2" t="str">
        <f t="shared" si="6"/>
        <v>0215</v>
      </c>
      <c r="E133" s="2" t="str">
        <f t="shared" si="7"/>
        <v>'0215.HK'</v>
      </c>
      <c r="F133" s="4" t="s">
        <v>504</v>
      </c>
      <c r="G133" s="6" t="s">
        <v>14</v>
      </c>
      <c r="H133" s="7">
        <v>2.09</v>
      </c>
      <c r="I133" s="8">
        <v>-3558</v>
      </c>
      <c r="J133" s="8">
        <v>5541.9</v>
      </c>
      <c r="K133" s="8">
        <v>30</v>
      </c>
      <c r="L133" s="10">
        <v>0.52900000000000003</v>
      </c>
      <c r="M133" s="11" t="s">
        <v>505</v>
      </c>
    </row>
    <row r="134" spans="1:13" ht="70" x14ac:dyDescent="0.2">
      <c r="A134" s="2" t="s">
        <v>506</v>
      </c>
      <c r="B134" s="2" t="s">
        <v>507</v>
      </c>
      <c r="C134" s="2" t="str">
        <f>RIGHT(B134,SUM(LEN(B134)-LEN(SUBSTITUTE(B134,{"0","1","2","3","4","5","6","7","8","9"},""))))</f>
        <v>6919</v>
      </c>
      <c r="D134" s="2" t="str">
        <f t="shared" si="6"/>
        <v>6919</v>
      </c>
      <c r="E134" s="2" t="str">
        <f t="shared" si="7"/>
        <v>'6919.HK'</v>
      </c>
      <c r="F134" s="4" t="s">
        <v>508</v>
      </c>
      <c r="G134" s="6" t="s">
        <v>14</v>
      </c>
      <c r="H134" s="7">
        <v>2.4700000000000002</v>
      </c>
      <c r="I134" s="8">
        <v>-951.8</v>
      </c>
      <c r="J134" s="8">
        <v>744.3</v>
      </c>
      <c r="K134" s="8">
        <v>35.9</v>
      </c>
      <c r="L134" s="10">
        <v>0.51400000000000001</v>
      </c>
      <c r="M134" s="11" t="s">
        <v>509</v>
      </c>
    </row>
    <row r="135" spans="1:13" ht="110" x14ac:dyDescent="0.2">
      <c r="A135" s="2" t="s">
        <v>510</v>
      </c>
      <c r="B135" s="2" t="s">
        <v>511</v>
      </c>
      <c r="C135" s="2" t="str">
        <f>RIGHT(B135,SUM(LEN(B135)-LEN(SUBSTITUTE(B135,{"0","1","2","3","4","5","6","7","8","9"},""))))</f>
        <v>2100</v>
      </c>
      <c r="D135" s="2" t="str">
        <f t="shared" si="6"/>
        <v>2100</v>
      </c>
      <c r="E135" s="2" t="str">
        <f t="shared" si="7"/>
        <v>'2100.HK'</v>
      </c>
      <c r="F135" s="4" t="s">
        <v>512</v>
      </c>
      <c r="G135" s="6" t="s">
        <v>14</v>
      </c>
      <c r="H135" s="7">
        <v>6.14</v>
      </c>
      <c r="I135" s="8">
        <v>-1733.7</v>
      </c>
      <c r="J135" s="8">
        <v>1044.4000000000001</v>
      </c>
      <c r="K135" s="8">
        <v>15.6</v>
      </c>
      <c r="L135" s="10">
        <v>0.51100000000000001</v>
      </c>
      <c r="M135" s="11" t="s">
        <v>513</v>
      </c>
    </row>
    <row r="136" spans="1:13" ht="100" x14ac:dyDescent="0.2">
      <c r="A136" s="2" t="s">
        <v>514</v>
      </c>
      <c r="B136" s="2" t="s">
        <v>515</v>
      </c>
      <c r="C136" s="2" t="str">
        <f>RIGHT(B136,SUM(LEN(B136)-LEN(SUBSTITUTE(B136,{"0","1","2","3","4","5","6","7","8","9"},""))))</f>
        <v>1127</v>
      </c>
      <c r="D136" s="2" t="str">
        <f t="shared" si="6"/>
        <v>1127</v>
      </c>
      <c r="E136" s="2" t="str">
        <f t="shared" si="7"/>
        <v>'1127.HK'</v>
      </c>
      <c r="F136" s="4" t="s">
        <v>516</v>
      </c>
      <c r="G136" s="6" t="s">
        <v>14</v>
      </c>
      <c r="H136" s="7">
        <v>1.52</v>
      </c>
      <c r="I136" s="8">
        <v>-112.8</v>
      </c>
      <c r="J136" s="8">
        <v>677.6</v>
      </c>
      <c r="K136" s="8">
        <v>33.6</v>
      </c>
      <c r="L136" s="10">
        <v>0.502</v>
      </c>
      <c r="M136" s="11" t="s">
        <v>517</v>
      </c>
    </row>
    <row r="137" spans="1:13" ht="200" x14ac:dyDescent="0.2">
      <c r="A137" s="2" t="s">
        <v>518</v>
      </c>
      <c r="B137" s="2" t="s">
        <v>519</v>
      </c>
      <c r="C137" s="2" t="str">
        <f>RIGHT(B137,SUM(LEN(B137)-LEN(SUBSTITUTE(B137,{"0","1","2","3","4","5","6","7","8","9"},""))))</f>
        <v>701</v>
      </c>
      <c r="D137" s="2" t="str">
        <f t="shared" si="6"/>
        <v>0701</v>
      </c>
      <c r="E137" s="2" t="str">
        <f t="shared" si="7"/>
        <v>'0701.HK'</v>
      </c>
      <c r="F137" s="4" t="s">
        <v>520</v>
      </c>
      <c r="G137" s="6" t="s">
        <v>14</v>
      </c>
      <c r="H137" s="7">
        <v>1.37</v>
      </c>
      <c r="I137" s="8">
        <v>-267</v>
      </c>
      <c r="J137" s="8">
        <v>713.9</v>
      </c>
      <c r="K137" s="8">
        <v>31.1</v>
      </c>
      <c r="L137" s="10">
        <v>0.5</v>
      </c>
      <c r="M137" s="11" t="s">
        <v>521</v>
      </c>
    </row>
    <row r="138" spans="1:13" ht="110" x14ac:dyDescent="0.2">
      <c r="A138" s="2" t="s">
        <v>522</v>
      </c>
      <c r="B138" s="2" t="s">
        <v>523</v>
      </c>
      <c r="C138" s="2" t="str">
        <f>RIGHT(B138,SUM(LEN(B138)-LEN(SUBSTITUTE(B138,{"0","1","2","3","4","5","6","7","8","9"},""))))</f>
        <v>3700</v>
      </c>
      <c r="D138" s="2" t="str">
        <f t="shared" si="6"/>
        <v>3700</v>
      </c>
      <c r="E138" s="2" t="str">
        <f t="shared" si="7"/>
        <v>'3700.HK'</v>
      </c>
      <c r="F138" s="4" t="s">
        <v>524</v>
      </c>
      <c r="G138" s="6" t="s">
        <v>14</v>
      </c>
      <c r="H138" s="7">
        <v>2.62</v>
      </c>
      <c r="I138" s="8">
        <v>-3328.5</v>
      </c>
      <c r="J138" s="8">
        <v>2287.1999999999998</v>
      </c>
      <c r="K138" s="8">
        <v>25</v>
      </c>
      <c r="L138" s="10">
        <v>0.48699999999999999</v>
      </c>
      <c r="M138" s="11" t="s">
        <v>525</v>
      </c>
    </row>
    <row r="139" spans="1:13" ht="80" x14ac:dyDescent="0.2">
      <c r="A139" s="2" t="s">
        <v>526</v>
      </c>
      <c r="B139" s="2" t="s">
        <v>527</v>
      </c>
      <c r="C139" s="2" t="str">
        <f>RIGHT(B139,SUM(LEN(B139)-LEN(SUBSTITUTE(B139,{"0","1","2","3","4","5","6","7","8","9"},""))))</f>
        <v>556</v>
      </c>
      <c r="D139" s="2" t="str">
        <f t="shared" si="6"/>
        <v>0556</v>
      </c>
      <c r="E139" s="2" t="str">
        <f t="shared" si="7"/>
        <v>'0556.HK'</v>
      </c>
      <c r="F139" s="4" t="s">
        <v>528</v>
      </c>
      <c r="G139" s="6" t="s">
        <v>14</v>
      </c>
      <c r="H139" s="8">
        <v>15.1</v>
      </c>
      <c r="I139" s="8">
        <v>-1444.4</v>
      </c>
      <c r="J139" s="8">
        <v>613.20000000000005</v>
      </c>
      <c r="K139" s="7">
        <v>8.17</v>
      </c>
      <c r="L139" s="10">
        <v>0.47899999999999998</v>
      </c>
      <c r="M139" s="11" t="s">
        <v>529</v>
      </c>
    </row>
    <row r="140" spans="1:13" ht="250" x14ac:dyDescent="0.2">
      <c r="A140" s="2" t="s">
        <v>530</v>
      </c>
      <c r="B140" s="2" t="s">
        <v>531</v>
      </c>
      <c r="C140" s="2" t="str">
        <f>RIGHT(B140,SUM(LEN(B140)-LEN(SUBSTITUTE(B140,{"0","1","2","3","4","5","6","7","8","9"},""))))</f>
        <v>393</v>
      </c>
      <c r="D140" s="2" t="str">
        <f t="shared" si="6"/>
        <v>0393</v>
      </c>
      <c r="E140" s="2" t="str">
        <f t="shared" si="7"/>
        <v>'0393.HK'</v>
      </c>
      <c r="F140" s="4" t="s">
        <v>532</v>
      </c>
      <c r="G140" s="6" t="s">
        <v>14</v>
      </c>
      <c r="H140" s="7">
        <v>3.6</v>
      </c>
      <c r="I140" s="8">
        <v>-2359</v>
      </c>
      <c r="J140" s="8">
        <v>1130.7</v>
      </c>
      <c r="K140" s="8">
        <v>24.5</v>
      </c>
      <c r="L140" s="10">
        <v>0.47</v>
      </c>
      <c r="M140" s="11" t="s">
        <v>533</v>
      </c>
    </row>
    <row r="141" spans="1:13" ht="120" x14ac:dyDescent="0.2">
      <c r="A141" s="2" t="s">
        <v>534</v>
      </c>
      <c r="B141" s="2" t="s">
        <v>535</v>
      </c>
      <c r="C141" s="2" t="str">
        <f>RIGHT(B141,SUM(LEN(B141)-LEN(SUBSTITUTE(B141,{"0","1","2","3","4","5","6","7","8","9"},""))))</f>
        <v>3983</v>
      </c>
      <c r="D141" s="2" t="str">
        <f t="shared" si="6"/>
        <v>3983</v>
      </c>
      <c r="E141" s="2" t="str">
        <f t="shared" si="7"/>
        <v>'3983.HK'</v>
      </c>
      <c r="F141" s="4" t="s">
        <v>536</v>
      </c>
      <c r="G141" s="6" t="s">
        <v>14</v>
      </c>
      <c r="H141" s="7">
        <v>3.52</v>
      </c>
      <c r="I141" s="8">
        <v>-12788.9</v>
      </c>
      <c r="J141" s="8">
        <v>8897.2999999999993</v>
      </c>
      <c r="K141" s="8">
        <v>21.1</v>
      </c>
      <c r="L141" s="10">
        <v>0.46300000000000002</v>
      </c>
      <c r="M141" s="11" t="s">
        <v>537</v>
      </c>
    </row>
    <row r="142" spans="1:13" ht="80" x14ac:dyDescent="0.2">
      <c r="A142" s="2" t="s">
        <v>538</v>
      </c>
      <c r="B142" s="2" t="s">
        <v>539</v>
      </c>
      <c r="C142" s="2" t="str">
        <f>RIGHT(B142,SUM(LEN(B142)-LEN(SUBSTITUTE(B142,{"0","1","2","3","4","5","6","7","8","9"},""))))</f>
        <v>105</v>
      </c>
      <c r="D142" s="2" t="str">
        <f t="shared" si="6"/>
        <v>0105</v>
      </c>
      <c r="E142" s="2" t="str">
        <f t="shared" si="7"/>
        <v>'0105.HK'</v>
      </c>
      <c r="F142" s="4" t="s">
        <v>540</v>
      </c>
      <c r="G142" s="6" t="s">
        <v>14</v>
      </c>
      <c r="H142" s="7">
        <v>3.36</v>
      </c>
      <c r="I142" s="8">
        <v>-240.8</v>
      </c>
      <c r="J142" s="8">
        <v>4320</v>
      </c>
      <c r="K142" s="7">
        <v>4.93</v>
      </c>
      <c r="L142" s="10">
        <v>0.45500000000000002</v>
      </c>
      <c r="M142" s="11" t="s">
        <v>541</v>
      </c>
    </row>
    <row r="143" spans="1:13" ht="260" x14ac:dyDescent="0.2">
      <c r="A143" s="2" t="s">
        <v>542</v>
      </c>
      <c r="B143" s="2" t="s">
        <v>543</v>
      </c>
      <c r="C143" s="2" t="str">
        <f>RIGHT(B143,SUM(LEN(B143)-LEN(SUBSTITUTE(B143,{"0","1","2","3","4","5","6","7","8","9"},""))))</f>
        <v>2008</v>
      </c>
      <c r="D143" s="2" t="str">
        <f t="shared" si="6"/>
        <v>2008</v>
      </c>
      <c r="E143" s="2" t="str">
        <f t="shared" si="7"/>
        <v>'2008.HK'</v>
      </c>
      <c r="F143" s="4" t="s">
        <v>544</v>
      </c>
      <c r="G143" s="6" t="s">
        <v>14</v>
      </c>
      <c r="H143" s="7">
        <v>1.85</v>
      </c>
      <c r="I143" s="8">
        <v>-1658.5</v>
      </c>
      <c r="J143" s="8">
        <v>1647.9</v>
      </c>
      <c r="K143" s="8">
        <v>38.4</v>
      </c>
      <c r="L143" s="10">
        <v>0.45500000000000002</v>
      </c>
      <c r="M143" s="11" t="s">
        <v>545</v>
      </c>
    </row>
    <row r="144" spans="1:13" ht="80" x14ac:dyDescent="0.2">
      <c r="A144" s="2" t="s">
        <v>546</v>
      </c>
      <c r="B144" s="2" t="s">
        <v>547</v>
      </c>
      <c r="C144" s="2" t="str">
        <f>RIGHT(B144,SUM(LEN(B144)-LEN(SUBSTITUTE(B144,{"0","1","2","3","4","5","6","7","8","9"},""))))</f>
        <v>26</v>
      </c>
      <c r="D144" s="2" t="str">
        <f t="shared" si="6"/>
        <v>0026</v>
      </c>
      <c r="E144" s="2" t="str">
        <f t="shared" si="7"/>
        <v>'0026.HK'</v>
      </c>
      <c r="F144" s="4" t="s">
        <v>548</v>
      </c>
      <c r="G144" s="6" t="s">
        <v>14</v>
      </c>
      <c r="H144" s="8">
        <v>23.1</v>
      </c>
      <c r="I144" s="8">
        <v>-1121.4000000000001</v>
      </c>
      <c r="J144" s="8">
        <v>3556.7</v>
      </c>
      <c r="K144" s="7">
        <v>1.17</v>
      </c>
      <c r="L144" s="10">
        <v>0.44500000000000001</v>
      </c>
      <c r="M144" s="11" t="s">
        <v>549</v>
      </c>
    </row>
    <row r="145" spans="1:13" ht="80" x14ac:dyDescent="0.2">
      <c r="A145" s="2" t="s">
        <v>550</v>
      </c>
      <c r="B145" s="2" t="s">
        <v>551</v>
      </c>
      <c r="C145" s="2" t="str">
        <f>RIGHT(B145,SUM(LEN(B145)-LEN(SUBSTITUTE(B145,{"0","1","2","3","4","5","6","7","8","9"},""))))</f>
        <v>439</v>
      </c>
      <c r="D145" s="2" t="str">
        <f t="shared" si="6"/>
        <v>0439</v>
      </c>
      <c r="E145" s="2" t="str">
        <f t="shared" si="7"/>
        <v>'0439.HK'</v>
      </c>
      <c r="F145" s="4" t="s">
        <v>552</v>
      </c>
      <c r="G145" s="6" t="s">
        <v>14</v>
      </c>
      <c r="H145" s="7">
        <v>2.2799999999999998</v>
      </c>
      <c r="I145" s="8">
        <v>-164.7</v>
      </c>
      <c r="J145" s="8">
        <v>763.5</v>
      </c>
      <c r="K145" s="8">
        <v>19.7</v>
      </c>
      <c r="L145" s="10">
        <v>0.44500000000000001</v>
      </c>
      <c r="M145" s="11" t="s">
        <v>553</v>
      </c>
    </row>
    <row r="146" spans="1:13" ht="130" x14ac:dyDescent="0.2">
      <c r="A146" s="2" t="s">
        <v>554</v>
      </c>
      <c r="B146" s="2" t="s">
        <v>555</v>
      </c>
      <c r="C146" s="2" t="str">
        <f>RIGHT(B146,SUM(LEN(B146)-LEN(SUBSTITUTE(B146,{"0","1","2","3","4","5","6","7","8","9"},""))))</f>
        <v>71</v>
      </c>
      <c r="D146" s="2" t="str">
        <f t="shared" si="6"/>
        <v>0071</v>
      </c>
      <c r="E146" s="2" t="str">
        <f t="shared" si="7"/>
        <v>'0071.HK'</v>
      </c>
      <c r="F146" s="4" t="s">
        <v>556</v>
      </c>
      <c r="G146" s="6" t="s">
        <v>14</v>
      </c>
      <c r="H146" s="8">
        <v>10.4</v>
      </c>
      <c r="I146" s="8">
        <v>-5223.8</v>
      </c>
      <c r="J146" s="8">
        <v>8968.6</v>
      </c>
      <c r="K146" s="7">
        <v>4.93</v>
      </c>
      <c r="L146" s="10">
        <v>0.443</v>
      </c>
      <c r="M146" s="11" t="s">
        <v>557</v>
      </c>
    </row>
    <row r="147" spans="1:13" ht="90" x14ac:dyDescent="0.2">
      <c r="A147" s="2" t="s">
        <v>558</v>
      </c>
      <c r="B147" s="2" t="s">
        <v>559</v>
      </c>
      <c r="C147" s="2" t="str">
        <f>RIGHT(B147,SUM(LEN(B147)-LEN(SUBSTITUTE(B147,{"0","1","2","3","4","5","6","7","8","9"},""))))</f>
        <v>1469</v>
      </c>
      <c r="D147" s="2" t="str">
        <f t="shared" si="6"/>
        <v>1469</v>
      </c>
      <c r="E147" s="2" t="str">
        <f t="shared" si="7"/>
        <v>'1469.HK'</v>
      </c>
      <c r="F147" s="4" t="s">
        <v>560</v>
      </c>
      <c r="G147" s="6" t="s">
        <v>14</v>
      </c>
      <c r="H147" s="7">
        <v>8.5500000000000007</v>
      </c>
      <c r="I147" s="8">
        <v>-1692.7</v>
      </c>
      <c r="J147" s="8">
        <v>1775</v>
      </c>
      <c r="K147" s="8">
        <v>11.1</v>
      </c>
      <c r="L147" s="10">
        <v>0.438</v>
      </c>
      <c r="M147" s="11" t="s">
        <v>561</v>
      </c>
    </row>
    <row r="148" spans="1:13" ht="100" x14ac:dyDescent="0.2">
      <c r="A148" s="2" t="s">
        <v>562</v>
      </c>
      <c r="B148" s="2" t="s">
        <v>563</v>
      </c>
      <c r="C148" s="2" t="str">
        <f>RIGHT(B148,SUM(LEN(B148)-LEN(SUBSTITUTE(B148,{"0","1","2","3","4","5","6","7","8","9"},""))))</f>
        <v>278</v>
      </c>
      <c r="D148" s="2" t="str">
        <f t="shared" si="6"/>
        <v>0278</v>
      </c>
      <c r="E148" s="2" t="str">
        <f t="shared" si="7"/>
        <v>'0278.HK'</v>
      </c>
      <c r="F148" s="4" t="s">
        <v>564</v>
      </c>
      <c r="G148" s="6" t="s">
        <v>14</v>
      </c>
      <c r="H148" s="7">
        <v>3.03</v>
      </c>
      <c r="I148" s="8">
        <v>-279.10000000000002</v>
      </c>
      <c r="J148" s="8">
        <v>532.20000000000005</v>
      </c>
      <c r="K148" s="7">
        <v>7.76</v>
      </c>
      <c r="L148" s="10">
        <v>0.42299999999999999</v>
      </c>
      <c r="M148" s="11" t="s">
        <v>565</v>
      </c>
    </row>
    <row r="149" spans="1:13" ht="120" x14ac:dyDescent="0.2">
      <c r="A149" s="2" t="s">
        <v>566</v>
      </c>
      <c r="B149" s="2" t="s">
        <v>567</v>
      </c>
      <c r="C149" s="2" t="str">
        <f>RIGHT(B149,SUM(LEN(B149)-LEN(SUBSTITUTE(B149,{"0","1","2","3","4","5","6","7","8","9"},""))))</f>
        <v>2779</v>
      </c>
      <c r="D149" s="2" t="str">
        <f t="shared" si="6"/>
        <v>2779</v>
      </c>
      <c r="E149" s="2" t="str">
        <f t="shared" si="7"/>
        <v>'2779.HK'</v>
      </c>
      <c r="F149" s="4" t="s">
        <v>568</v>
      </c>
      <c r="G149" s="6" t="s">
        <v>14</v>
      </c>
      <c r="H149" s="7">
        <v>1.4</v>
      </c>
      <c r="I149" s="8">
        <v>-23.5</v>
      </c>
      <c r="J149" s="8">
        <v>1656.8</v>
      </c>
      <c r="K149" s="8">
        <v>22.6</v>
      </c>
      <c r="L149" s="10">
        <v>0.41799999999999998</v>
      </c>
      <c r="M149" s="11" t="s">
        <v>569</v>
      </c>
    </row>
    <row r="150" spans="1:13" ht="150" x14ac:dyDescent="0.2">
      <c r="A150" s="2" t="s">
        <v>570</v>
      </c>
      <c r="B150" s="2" t="s">
        <v>571</v>
      </c>
      <c r="C150" s="2" t="str">
        <f>RIGHT(B150,SUM(LEN(B150)-LEN(SUBSTITUTE(B150,{"0","1","2","3","4","5","6","7","8","9"},""))))</f>
        <v>517</v>
      </c>
      <c r="D150" s="2" t="str">
        <f t="shared" si="6"/>
        <v>0517</v>
      </c>
      <c r="E150" s="2" t="str">
        <f t="shared" si="7"/>
        <v>'0517.HK'</v>
      </c>
      <c r="F150" s="4" t="s">
        <v>572</v>
      </c>
      <c r="G150" s="6" t="s">
        <v>14</v>
      </c>
      <c r="H150" s="7">
        <v>5.74</v>
      </c>
      <c r="I150" s="8">
        <v>-6161.3</v>
      </c>
      <c r="J150" s="8">
        <v>3234.5</v>
      </c>
      <c r="K150" s="8">
        <v>13.8</v>
      </c>
      <c r="L150" s="10">
        <v>0.40300000000000002</v>
      </c>
      <c r="M150" s="11" t="s">
        <v>573</v>
      </c>
    </row>
    <row r="151" spans="1:13" ht="180" x14ac:dyDescent="0.2">
      <c r="A151" s="2" t="s">
        <v>574</v>
      </c>
      <c r="B151" s="2" t="s">
        <v>575</v>
      </c>
      <c r="C151" s="2" t="str">
        <f>RIGHT(B151,SUM(LEN(B151)-LEN(SUBSTITUTE(B151,{"0","1","2","3","4","5","6","7","8","9"},""))))</f>
        <v>50</v>
      </c>
      <c r="D151" s="2" t="str">
        <f t="shared" si="6"/>
        <v>0050</v>
      </c>
      <c r="E151" s="2" t="str">
        <f t="shared" si="7"/>
        <v>'0050.HK'</v>
      </c>
      <c r="F151" s="4" t="s">
        <v>576</v>
      </c>
      <c r="G151" s="6" t="s">
        <v>14</v>
      </c>
      <c r="H151" s="8">
        <v>10.5</v>
      </c>
      <c r="I151" s="8">
        <v>-1678.9</v>
      </c>
      <c r="J151" s="8">
        <v>2426.1999999999998</v>
      </c>
      <c r="K151" s="7">
        <v>4.22</v>
      </c>
      <c r="L151" s="10">
        <v>0.4</v>
      </c>
      <c r="M151" s="11" t="s">
        <v>577</v>
      </c>
    </row>
    <row r="152" spans="1:13" ht="70" x14ac:dyDescent="0.2">
      <c r="A152" s="2" t="s">
        <v>578</v>
      </c>
      <c r="B152" s="2" t="s">
        <v>579</v>
      </c>
      <c r="C152" s="2" t="str">
        <f>RIGHT(B152,SUM(LEN(B152)-LEN(SUBSTITUTE(B152,{"0","1","2","3","4","5","6","7","8","9"},""))))</f>
        <v>934</v>
      </c>
      <c r="D152" s="2" t="str">
        <f t="shared" si="6"/>
        <v>0934</v>
      </c>
      <c r="E152" s="2" t="str">
        <f t="shared" si="7"/>
        <v>'0934.HK'</v>
      </c>
      <c r="F152" s="4" t="s">
        <v>580</v>
      </c>
      <c r="G152" s="6" t="s">
        <v>14</v>
      </c>
      <c r="H152" s="8">
        <v>24.3</v>
      </c>
      <c r="I152" s="8">
        <v>-4174.7</v>
      </c>
      <c r="J152" s="8">
        <v>5867.3</v>
      </c>
      <c r="K152" s="7">
        <v>2.82</v>
      </c>
      <c r="L152" s="10">
        <v>0.39600000000000002</v>
      </c>
      <c r="M152" s="11" t="s">
        <v>581</v>
      </c>
    </row>
    <row r="153" spans="1:13" ht="120" x14ac:dyDescent="0.2">
      <c r="A153" s="2" t="s">
        <v>582</v>
      </c>
      <c r="B153" s="2" t="s">
        <v>583</v>
      </c>
      <c r="C153" s="2" t="str">
        <f>RIGHT(B153,SUM(LEN(B153)-LEN(SUBSTITUTE(B153,{"0","1","2","3","4","5","6","7","8","9"},""))))</f>
        <v>88</v>
      </c>
      <c r="D153" s="2" t="str">
        <f t="shared" si="6"/>
        <v>0088</v>
      </c>
      <c r="E153" s="2" t="str">
        <f t="shared" si="7"/>
        <v>'0088.HK'</v>
      </c>
      <c r="F153" s="4" t="s">
        <v>584</v>
      </c>
      <c r="G153" s="6" t="s">
        <v>14</v>
      </c>
      <c r="H153" s="8">
        <v>10.7</v>
      </c>
      <c r="I153" s="8">
        <v>-1647.3</v>
      </c>
      <c r="J153" s="8">
        <v>2636.8</v>
      </c>
      <c r="K153" s="7">
        <v>4.28</v>
      </c>
      <c r="L153" s="10">
        <v>0.39600000000000002</v>
      </c>
      <c r="M153" s="11" t="s">
        <v>585</v>
      </c>
    </row>
    <row r="154" spans="1:13" ht="50" x14ac:dyDescent="0.2">
      <c r="A154" s="2" t="s">
        <v>586</v>
      </c>
      <c r="B154" s="2" t="s">
        <v>587</v>
      </c>
      <c r="C154" s="2" t="str">
        <f>RIGHT(B154,SUM(LEN(B154)-LEN(SUBSTITUTE(B154,{"0","1","2","3","4","5","6","7","8","9"},""))))</f>
        <v>158</v>
      </c>
      <c r="D154" s="2" t="str">
        <f t="shared" si="6"/>
        <v>0158</v>
      </c>
      <c r="E154" s="2" t="str">
        <f t="shared" si="7"/>
        <v>'0158.HK'</v>
      </c>
      <c r="F154" s="4" t="s">
        <v>588</v>
      </c>
      <c r="G154" s="6" t="s">
        <v>14</v>
      </c>
      <c r="H154" s="7">
        <v>4.5599999999999996</v>
      </c>
      <c r="I154" s="8">
        <v>-250.1</v>
      </c>
      <c r="J154" s="8">
        <v>3075</v>
      </c>
      <c r="K154" s="10">
        <v>0.93300000000000005</v>
      </c>
      <c r="L154" s="10">
        <v>0.39500000000000002</v>
      </c>
      <c r="M154" s="5" t="s">
        <v>589</v>
      </c>
    </row>
    <row r="155" spans="1:13" ht="130" x14ac:dyDescent="0.2">
      <c r="A155" s="2" t="s">
        <v>590</v>
      </c>
      <c r="B155" s="2" t="s">
        <v>591</v>
      </c>
      <c r="C155" s="2" t="str">
        <f>RIGHT(B155,SUM(LEN(B155)-LEN(SUBSTITUTE(B155,{"0","1","2","3","4","5","6","7","8","9"},""))))</f>
        <v>929</v>
      </c>
      <c r="D155" s="2" t="str">
        <f t="shared" si="6"/>
        <v>0929</v>
      </c>
      <c r="E155" s="2" t="str">
        <f t="shared" si="7"/>
        <v>'0929.HK'</v>
      </c>
      <c r="F155" s="4" t="s">
        <v>592</v>
      </c>
      <c r="G155" s="6" t="s">
        <v>14</v>
      </c>
      <c r="H155" s="7">
        <v>3.3</v>
      </c>
      <c r="I155" s="8">
        <v>-720.7</v>
      </c>
      <c r="J155" s="8">
        <v>757.6</v>
      </c>
      <c r="K155" s="8">
        <v>16.100000000000001</v>
      </c>
      <c r="L155" s="10">
        <v>0.39100000000000001</v>
      </c>
      <c r="M155" s="11" t="s">
        <v>593</v>
      </c>
    </row>
    <row r="156" spans="1:13" ht="130" x14ac:dyDescent="0.2">
      <c r="A156" s="2" t="s">
        <v>594</v>
      </c>
      <c r="B156" s="2" t="s">
        <v>595</v>
      </c>
      <c r="C156" s="2" t="str">
        <f>RIGHT(B156,SUM(LEN(B156)-LEN(SUBSTITUTE(B156,{"0","1","2","3","4","5","6","7","8","9"},""))))</f>
        <v>730</v>
      </c>
      <c r="D156" s="2" t="str">
        <f t="shared" si="6"/>
        <v>0730</v>
      </c>
      <c r="E156" s="2" t="str">
        <f t="shared" si="7"/>
        <v>'0730.HK'</v>
      </c>
      <c r="F156" s="4" t="s">
        <v>596</v>
      </c>
      <c r="G156" s="6" t="s">
        <v>14</v>
      </c>
      <c r="H156" s="7">
        <v>6.24</v>
      </c>
      <c r="I156" s="8">
        <v>-78.900000000000006</v>
      </c>
      <c r="J156" s="8">
        <v>557.79999999999995</v>
      </c>
      <c r="K156" s="8">
        <v>18.7</v>
      </c>
      <c r="L156" s="10">
        <v>0.376</v>
      </c>
      <c r="M156" s="11" t="s">
        <v>597</v>
      </c>
    </row>
    <row r="157" spans="1:13" ht="130" x14ac:dyDescent="0.2">
      <c r="A157" s="2" t="s">
        <v>598</v>
      </c>
      <c r="B157" s="2" t="s">
        <v>599</v>
      </c>
      <c r="C157" s="2" t="str">
        <f>RIGHT(B157,SUM(LEN(B157)-LEN(SUBSTITUTE(B157,{"0","1","2","3","4","5","6","7","8","9"},""))))</f>
        <v>57</v>
      </c>
      <c r="D157" s="2" t="str">
        <f t="shared" si="6"/>
        <v>0057</v>
      </c>
      <c r="E157" s="2" t="str">
        <f t="shared" si="7"/>
        <v>'0057.HK'</v>
      </c>
      <c r="F157" s="4" t="s">
        <v>600</v>
      </c>
      <c r="G157" s="6" t="s">
        <v>14</v>
      </c>
      <c r="H157" s="7">
        <v>1.86</v>
      </c>
      <c r="I157" s="8">
        <v>-764.9</v>
      </c>
      <c r="J157" s="8">
        <v>1198</v>
      </c>
      <c r="K157" s="8">
        <v>27.1</v>
      </c>
      <c r="L157" s="10">
        <v>0.375</v>
      </c>
      <c r="M157" s="11" t="s">
        <v>601</v>
      </c>
    </row>
    <row r="158" spans="1:13" ht="50" x14ac:dyDescent="0.2">
      <c r="A158" s="2" t="s">
        <v>602</v>
      </c>
      <c r="B158" s="2" t="s">
        <v>603</v>
      </c>
      <c r="C158" s="2" t="str">
        <f>RIGHT(B158,SUM(LEN(B158)-LEN(SUBSTITUTE(B158,{"0","1","2","3","4","5","6","7","8","9"},""))))</f>
        <v>266</v>
      </c>
      <c r="D158" s="2" t="str">
        <f t="shared" si="6"/>
        <v>0266</v>
      </c>
      <c r="E158" s="2" t="str">
        <f t="shared" si="7"/>
        <v>'0266.HK'</v>
      </c>
      <c r="F158" s="4" t="s">
        <v>604</v>
      </c>
      <c r="G158" s="6" t="s">
        <v>14</v>
      </c>
      <c r="H158" s="7">
        <v>3.48</v>
      </c>
      <c r="I158" s="8">
        <v>-291.3</v>
      </c>
      <c r="J158" s="8">
        <v>1851.4</v>
      </c>
      <c r="K158" s="7">
        <v>4.84</v>
      </c>
      <c r="L158" s="10">
        <v>0.36699999999999999</v>
      </c>
      <c r="M158" s="5" t="s">
        <v>589</v>
      </c>
    </row>
    <row r="159" spans="1:13" ht="60" x14ac:dyDescent="0.2">
      <c r="A159" s="2" t="s">
        <v>605</v>
      </c>
      <c r="B159" s="2" t="s">
        <v>606</v>
      </c>
      <c r="C159" s="2" t="str">
        <f>RIGHT(B159,SUM(LEN(B159)-LEN(SUBSTITUTE(B159,{"0","1","2","3","4","5","6","7","8","9"},""))))</f>
        <v>769</v>
      </c>
      <c r="D159" s="2" t="str">
        <f t="shared" si="6"/>
        <v>0769</v>
      </c>
      <c r="E159" s="2" t="str">
        <f t="shared" si="7"/>
        <v>'0769.HK'</v>
      </c>
      <c r="F159" s="4" t="s">
        <v>607</v>
      </c>
      <c r="G159" s="6" t="s">
        <v>14</v>
      </c>
      <c r="H159" s="8">
        <v>15.3</v>
      </c>
      <c r="I159" s="8">
        <v>-1818.1</v>
      </c>
      <c r="J159" s="8">
        <v>995.2</v>
      </c>
      <c r="K159" s="7">
        <v>5.15</v>
      </c>
      <c r="L159" s="10">
        <v>0.36299999999999999</v>
      </c>
      <c r="M159" s="11" t="s">
        <v>608</v>
      </c>
    </row>
    <row r="160" spans="1:13" ht="110" x14ac:dyDescent="0.2">
      <c r="A160" s="2" t="s">
        <v>609</v>
      </c>
      <c r="B160" s="2" t="s">
        <v>610</v>
      </c>
      <c r="C160" s="2" t="str">
        <f>RIGHT(B160,SUM(LEN(B160)-LEN(SUBSTITUTE(B160,{"0","1","2","3","4","5","6","7","8","9"},""))))</f>
        <v>829</v>
      </c>
      <c r="D160" s="2" t="str">
        <f t="shared" si="6"/>
        <v>0829</v>
      </c>
      <c r="E160" s="2" t="str">
        <f t="shared" si="7"/>
        <v>'0829.HK'</v>
      </c>
      <c r="F160" s="4" t="s">
        <v>611</v>
      </c>
      <c r="G160" s="6" t="s">
        <v>14</v>
      </c>
      <c r="H160" s="7">
        <v>1.92</v>
      </c>
      <c r="I160" s="8">
        <v>-700.7</v>
      </c>
      <c r="J160" s="8">
        <v>1049.9000000000001</v>
      </c>
      <c r="K160" s="8">
        <v>19.8</v>
      </c>
      <c r="L160" s="10">
        <v>0.35699999999999998</v>
      </c>
      <c r="M160" s="11" t="s">
        <v>612</v>
      </c>
    </row>
    <row r="161" spans="1:13" ht="110" x14ac:dyDescent="0.2">
      <c r="A161" s="2" t="s">
        <v>613</v>
      </c>
      <c r="B161" s="2" t="s">
        <v>614</v>
      </c>
      <c r="C161" s="2" t="str">
        <f>RIGHT(B161,SUM(LEN(B161)-LEN(SUBSTITUTE(B161,{"0","1","2","3","4","5","6","7","8","9"},""))))</f>
        <v>1265</v>
      </c>
      <c r="D161" s="2" t="str">
        <f t="shared" si="6"/>
        <v>1265</v>
      </c>
      <c r="E161" s="2" t="str">
        <f t="shared" si="7"/>
        <v>'1265.HK'</v>
      </c>
      <c r="F161" s="4" t="s">
        <v>615</v>
      </c>
      <c r="G161" s="6" t="s">
        <v>14</v>
      </c>
      <c r="H161" s="7">
        <v>2.2999999999999998</v>
      </c>
      <c r="I161" s="8">
        <v>-1412.8</v>
      </c>
      <c r="J161" s="8">
        <v>689.7</v>
      </c>
      <c r="K161" s="8">
        <v>29.5</v>
      </c>
      <c r="L161" s="10">
        <v>0.35499999999999998</v>
      </c>
      <c r="M161" s="11" t="s">
        <v>616</v>
      </c>
    </row>
    <row r="162" spans="1:13" ht="100" x14ac:dyDescent="0.2">
      <c r="A162" s="2" t="s">
        <v>617</v>
      </c>
      <c r="B162" s="2" t="s">
        <v>618</v>
      </c>
      <c r="C162" s="2" t="str">
        <f>RIGHT(B162,SUM(LEN(B162)-LEN(SUBSTITUTE(B162,{"0","1","2","3","4","5","6","7","8","9"},""))))</f>
        <v>420</v>
      </c>
      <c r="D162" s="2" t="str">
        <f t="shared" si="6"/>
        <v>0420</v>
      </c>
      <c r="E162" s="2" t="str">
        <f t="shared" si="7"/>
        <v>'0420.HK'</v>
      </c>
      <c r="F162" s="4" t="s">
        <v>619</v>
      </c>
      <c r="G162" s="6" t="s">
        <v>14</v>
      </c>
      <c r="H162" s="7">
        <v>1.3</v>
      </c>
      <c r="I162" s="8">
        <v>-406.5</v>
      </c>
      <c r="J162" s="8">
        <v>1237.3</v>
      </c>
      <c r="K162" s="8">
        <v>34.6</v>
      </c>
      <c r="L162" s="10">
        <v>0.35499999999999998</v>
      </c>
      <c r="M162" s="11" t="s">
        <v>620</v>
      </c>
    </row>
    <row r="163" spans="1:13" ht="140" x14ac:dyDescent="0.2">
      <c r="A163" s="2" t="s">
        <v>621</v>
      </c>
      <c r="B163" s="2" t="s">
        <v>622</v>
      </c>
      <c r="C163" s="2" t="str">
        <f>RIGHT(B163,SUM(LEN(B163)-LEN(SUBSTITUTE(B163,{"0","1","2","3","4","5","6","7","8","9"},""))))</f>
        <v>716</v>
      </c>
      <c r="D163" s="2" t="str">
        <f t="shared" si="6"/>
        <v>0716</v>
      </c>
      <c r="E163" s="2" t="str">
        <f t="shared" si="7"/>
        <v>'0716.HK'</v>
      </c>
      <c r="F163" s="4" t="s">
        <v>623</v>
      </c>
      <c r="G163" s="6" t="s">
        <v>14</v>
      </c>
      <c r="H163" s="7">
        <v>2.13</v>
      </c>
      <c r="I163" s="8">
        <v>-3375.7</v>
      </c>
      <c r="J163" s="8">
        <v>1716</v>
      </c>
      <c r="K163" s="8">
        <v>26.2</v>
      </c>
      <c r="L163" s="10">
        <v>0.35199999999999998</v>
      </c>
      <c r="M163" s="11" t="s">
        <v>624</v>
      </c>
    </row>
    <row r="164" spans="1:13" ht="50" x14ac:dyDescent="0.2">
      <c r="A164" s="2" t="s">
        <v>625</v>
      </c>
      <c r="B164" s="2" t="s">
        <v>626</v>
      </c>
      <c r="C164" s="2" t="str">
        <f>RIGHT(B164,SUM(LEN(B164)-LEN(SUBSTITUTE(B164,{"0","1","2","3","4","5","6","7","8","9"},""))))</f>
        <v>3838</v>
      </c>
      <c r="D164" s="2" t="str">
        <f t="shared" ref="D164:D213" si="8">IF(LEN(C164)=4,C164,IF(LEN(C164)&lt;4,REPT("0",4-LEN(C164))&amp;C164))</f>
        <v>3838</v>
      </c>
      <c r="E164" s="2" t="str">
        <f t="shared" ref="E164:E213" si="9">"'"&amp;D164&amp;".HK"&amp;"'"</f>
        <v>'3838.HK'</v>
      </c>
      <c r="F164" s="4" t="s">
        <v>627</v>
      </c>
      <c r="G164" s="6" t="s">
        <v>14</v>
      </c>
      <c r="H164" s="7">
        <v>1.52</v>
      </c>
      <c r="I164" s="8">
        <v>-1091.7</v>
      </c>
      <c r="J164" s="8">
        <v>1474.6</v>
      </c>
      <c r="K164" s="8">
        <v>26</v>
      </c>
      <c r="L164" s="10">
        <v>0.34699999999999998</v>
      </c>
      <c r="M164" s="12" t="s">
        <v>628</v>
      </c>
    </row>
    <row r="165" spans="1:13" ht="150" x14ac:dyDescent="0.2">
      <c r="A165" s="2" t="s">
        <v>629</v>
      </c>
      <c r="B165" s="2" t="s">
        <v>630</v>
      </c>
      <c r="C165" s="2" t="str">
        <f>RIGHT(B165,SUM(LEN(B165)-LEN(SUBSTITUTE(B165,{"0","1","2","3","4","5","6","7","8","9"},""))))</f>
        <v>1045</v>
      </c>
      <c r="D165" s="2" t="str">
        <f t="shared" si="8"/>
        <v>1045</v>
      </c>
      <c r="E165" s="2" t="str">
        <f t="shared" si="9"/>
        <v>'1045.HK'</v>
      </c>
      <c r="F165" s="4" t="s">
        <v>631</v>
      </c>
      <c r="G165" s="6" t="s">
        <v>14</v>
      </c>
      <c r="H165" s="7">
        <v>6.59</v>
      </c>
      <c r="I165" s="8">
        <v>-1186.3</v>
      </c>
      <c r="J165" s="8">
        <v>2070.6999999999998</v>
      </c>
      <c r="K165" s="8">
        <v>15.9</v>
      </c>
      <c r="L165" s="10">
        <v>0.34699999999999998</v>
      </c>
      <c r="M165" s="11" t="s">
        <v>632</v>
      </c>
    </row>
    <row r="166" spans="1:13" ht="110" x14ac:dyDescent="0.2">
      <c r="A166" s="2" t="s">
        <v>633</v>
      </c>
      <c r="B166" s="2" t="s">
        <v>634</v>
      </c>
      <c r="C166" s="2" t="str">
        <f>RIGHT(B166,SUM(LEN(B166)-LEN(SUBSTITUTE(B166,{"0","1","2","3","4","5","6","7","8","9"},""))))</f>
        <v>472</v>
      </c>
      <c r="D166" s="2" t="str">
        <f t="shared" si="8"/>
        <v>0472</v>
      </c>
      <c r="E166" s="2" t="str">
        <f t="shared" si="9"/>
        <v>'0472.HK'</v>
      </c>
      <c r="F166" s="4" t="s">
        <v>635</v>
      </c>
      <c r="G166" s="6" t="s">
        <v>14</v>
      </c>
      <c r="H166" s="7">
        <v>1.32</v>
      </c>
      <c r="I166" s="8">
        <v>-408.6</v>
      </c>
      <c r="J166" s="8">
        <v>545.29999999999995</v>
      </c>
      <c r="K166" s="8">
        <v>22.6</v>
      </c>
      <c r="L166" s="10">
        <v>0.33800000000000002</v>
      </c>
      <c r="M166" s="11" t="s">
        <v>636</v>
      </c>
    </row>
    <row r="167" spans="1:13" ht="180" x14ac:dyDescent="0.2">
      <c r="A167" s="2" t="s">
        <v>637</v>
      </c>
      <c r="B167" s="2" t="s">
        <v>638</v>
      </c>
      <c r="C167" s="2" t="str">
        <f>RIGHT(B167,SUM(LEN(B167)-LEN(SUBSTITUTE(B167,{"0","1","2","3","4","5","6","7","8","9"},""))))</f>
        <v>2033</v>
      </c>
      <c r="D167" s="2" t="str">
        <f t="shared" si="8"/>
        <v>2033</v>
      </c>
      <c r="E167" s="2" t="str">
        <f t="shared" si="9"/>
        <v>'2033.HK'</v>
      </c>
      <c r="F167" s="4" t="s">
        <v>639</v>
      </c>
      <c r="G167" s="6" t="s">
        <v>14</v>
      </c>
      <c r="H167" s="7">
        <v>4.2699999999999996</v>
      </c>
      <c r="I167" s="8">
        <v>-1006.8</v>
      </c>
      <c r="J167" s="8">
        <v>895.3</v>
      </c>
      <c r="K167" s="8">
        <v>14.4</v>
      </c>
      <c r="L167" s="10">
        <v>0.33400000000000002</v>
      </c>
      <c r="M167" s="11" t="s">
        <v>640</v>
      </c>
    </row>
    <row r="168" spans="1:13" ht="80" x14ac:dyDescent="0.2">
      <c r="A168" s="2" t="s">
        <v>641</v>
      </c>
      <c r="B168" s="2" t="s">
        <v>642</v>
      </c>
      <c r="C168" s="2" t="str">
        <f>RIGHT(B168,SUM(LEN(B168)-LEN(SUBSTITUTE(B168,{"0","1","2","3","4","5","6","7","8","9"},""))))</f>
        <v>1104</v>
      </c>
      <c r="D168" s="2" t="str">
        <f t="shared" si="8"/>
        <v>1104</v>
      </c>
      <c r="E168" s="2" t="str">
        <f t="shared" si="9"/>
        <v>'1104.HK'</v>
      </c>
      <c r="F168" s="4" t="s">
        <v>643</v>
      </c>
      <c r="G168" s="6" t="s">
        <v>14</v>
      </c>
      <c r="H168" s="8">
        <v>16.8</v>
      </c>
      <c r="I168" s="8">
        <v>-1644.9</v>
      </c>
      <c r="J168" s="8">
        <v>1445.6</v>
      </c>
      <c r="K168" s="7">
        <v>2.31</v>
      </c>
      <c r="L168" s="10">
        <v>0.33100000000000002</v>
      </c>
      <c r="M168" s="11" t="s">
        <v>644</v>
      </c>
    </row>
    <row r="169" spans="1:13" ht="30" x14ac:dyDescent="0.2">
      <c r="A169" s="2" t="s">
        <v>645</v>
      </c>
      <c r="B169" s="2" t="s">
        <v>646</v>
      </c>
      <c r="C169" s="2" t="str">
        <f>RIGHT(B169,SUM(LEN(B169)-LEN(SUBSTITUTE(B169,{"0","1","2","3","4","5","6","7","8","9"},""))))</f>
        <v>1140</v>
      </c>
      <c r="D169" s="2" t="str">
        <f t="shared" si="8"/>
        <v>1140</v>
      </c>
      <c r="E169" s="2" t="str">
        <f t="shared" si="9"/>
        <v>'1140.HK'</v>
      </c>
      <c r="F169" s="4" t="s">
        <v>647</v>
      </c>
      <c r="G169" s="6" t="s">
        <v>14</v>
      </c>
      <c r="H169" s="7">
        <v>1.08</v>
      </c>
      <c r="I169" s="8">
        <v>-56.4</v>
      </c>
      <c r="J169" s="8">
        <v>3531.3</v>
      </c>
      <c r="K169" s="8">
        <v>25.7</v>
      </c>
      <c r="L169" s="10">
        <v>0.32700000000000001</v>
      </c>
      <c r="M169" s="5" t="s">
        <v>279</v>
      </c>
    </row>
    <row r="170" spans="1:13" ht="90" x14ac:dyDescent="0.2">
      <c r="A170" s="2" t="s">
        <v>648</v>
      </c>
      <c r="B170" s="2" t="s">
        <v>649</v>
      </c>
      <c r="C170" s="2" t="str">
        <f>RIGHT(B170,SUM(LEN(B170)-LEN(SUBSTITUTE(B170,{"0","1","2","3","4","5","6","7","8","9"},""))))</f>
        <v>1122</v>
      </c>
      <c r="D170" s="2" t="str">
        <f t="shared" si="8"/>
        <v>1122</v>
      </c>
      <c r="E170" s="2" t="str">
        <f t="shared" si="9"/>
        <v>'1122.HK'</v>
      </c>
      <c r="F170" s="4" t="s">
        <v>650</v>
      </c>
      <c r="G170" s="6" t="s">
        <v>14</v>
      </c>
      <c r="H170" s="7">
        <v>1.68</v>
      </c>
      <c r="I170" s="8">
        <v>-2759.8</v>
      </c>
      <c r="J170" s="8">
        <v>2780.1</v>
      </c>
      <c r="K170" s="8">
        <v>26</v>
      </c>
      <c r="L170" s="10">
        <v>0.32500000000000001</v>
      </c>
      <c r="M170" s="11" t="s">
        <v>651</v>
      </c>
    </row>
    <row r="171" spans="1:13" ht="80" x14ac:dyDescent="0.2">
      <c r="A171" s="2" t="s">
        <v>652</v>
      </c>
      <c r="B171" s="2" t="s">
        <v>653</v>
      </c>
      <c r="C171" s="2" t="str">
        <f>RIGHT(B171,SUM(LEN(B171)-LEN(SUBSTITUTE(B171,{"0","1","2","3","4","5","6","7","8","9"},""))))</f>
        <v>232</v>
      </c>
      <c r="D171" s="2" t="str">
        <f t="shared" si="8"/>
        <v>0232</v>
      </c>
      <c r="E171" s="2" t="str">
        <f t="shared" si="9"/>
        <v>'0232.HK'</v>
      </c>
      <c r="F171" s="4" t="s">
        <v>654</v>
      </c>
      <c r="G171" s="6" t="s">
        <v>14</v>
      </c>
      <c r="H171" s="7">
        <v>1.98</v>
      </c>
      <c r="I171" s="8">
        <v>-293.60000000000002</v>
      </c>
      <c r="J171" s="8">
        <v>902.4</v>
      </c>
      <c r="K171" s="8">
        <v>26</v>
      </c>
      <c r="L171" s="10">
        <v>0.32200000000000001</v>
      </c>
      <c r="M171" s="11" t="s">
        <v>655</v>
      </c>
    </row>
    <row r="172" spans="1:13" ht="130" x14ac:dyDescent="0.2">
      <c r="A172" s="2" t="s">
        <v>656</v>
      </c>
      <c r="B172" s="2" t="s">
        <v>657</v>
      </c>
      <c r="C172" s="2" t="str">
        <f>RIGHT(B172,SUM(LEN(B172)-LEN(SUBSTITUTE(B172,{"0","1","2","3","4","5","6","7","8","9"},""))))</f>
        <v>622</v>
      </c>
      <c r="D172" s="2" t="str">
        <f t="shared" si="8"/>
        <v>0622</v>
      </c>
      <c r="E172" s="2" t="str">
        <f t="shared" si="9"/>
        <v>'0622.HK'</v>
      </c>
      <c r="F172" s="4" t="s">
        <v>658</v>
      </c>
      <c r="G172" s="6" t="s">
        <v>14</v>
      </c>
      <c r="H172" s="7">
        <v>5.62</v>
      </c>
      <c r="I172" s="8">
        <v>-1118.5</v>
      </c>
      <c r="J172" s="8">
        <v>1741.1</v>
      </c>
      <c r="K172" s="7">
        <v>9.01</v>
      </c>
      <c r="L172" s="10">
        <v>0.32200000000000001</v>
      </c>
      <c r="M172" s="11" t="s">
        <v>659</v>
      </c>
    </row>
    <row r="173" spans="1:13" ht="220" x14ac:dyDescent="0.2">
      <c r="A173" s="2" t="s">
        <v>660</v>
      </c>
      <c r="B173" s="2" t="s">
        <v>661</v>
      </c>
      <c r="C173" s="2" t="str">
        <f>RIGHT(B173,SUM(LEN(B173)-LEN(SUBSTITUTE(B173,{"0","1","2","3","4","5","6","7","8","9"},""))))</f>
        <v>156</v>
      </c>
      <c r="D173" s="2" t="str">
        <f t="shared" si="8"/>
        <v>0156</v>
      </c>
      <c r="E173" s="2" t="str">
        <f t="shared" si="9"/>
        <v>'0156.HK'</v>
      </c>
      <c r="F173" s="4" t="s">
        <v>662</v>
      </c>
      <c r="G173" s="6" t="s">
        <v>14</v>
      </c>
      <c r="H173" s="7">
        <v>1.96</v>
      </c>
      <c r="I173" s="8">
        <v>-178.8</v>
      </c>
      <c r="J173" s="8">
        <v>964.6</v>
      </c>
      <c r="K173" s="8">
        <v>30.8</v>
      </c>
      <c r="L173" s="10">
        <v>0.32</v>
      </c>
      <c r="M173" s="11" t="s">
        <v>663</v>
      </c>
    </row>
    <row r="174" spans="1:13" ht="120" x14ac:dyDescent="0.2">
      <c r="A174" s="2" t="s">
        <v>664</v>
      </c>
      <c r="B174" s="2" t="s">
        <v>665</v>
      </c>
      <c r="C174" s="2" t="str">
        <f>RIGHT(B174,SUM(LEN(B174)-LEN(SUBSTITUTE(B174,{"0","1","2","3","4","5","6","7","8","9"},""))))</f>
        <v>662</v>
      </c>
      <c r="D174" s="2" t="str">
        <f t="shared" si="8"/>
        <v>0662</v>
      </c>
      <c r="E174" s="2" t="str">
        <f t="shared" si="9"/>
        <v>'0662.HK'</v>
      </c>
      <c r="F174" s="4" t="s">
        <v>666</v>
      </c>
      <c r="G174" s="6" t="s">
        <v>14</v>
      </c>
      <c r="H174" s="7">
        <v>1.99</v>
      </c>
      <c r="I174" s="8">
        <v>-2634.2</v>
      </c>
      <c r="J174" s="8">
        <v>3122.4</v>
      </c>
      <c r="K174" s="8">
        <v>32.6</v>
      </c>
      <c r="L174" s="10">
        <v>0.32</v>
      </c>
      <c r="M174" s="11" t="s">
        <v>667</v>
      </c>
    </row>
    <row r="175" spans="1:13" ht="190" x14ac:dyDescent="0.2">
      <c r="A175" s="2" t="s">
        <v>668</v>
      </c>
      <c r="B175" s="2" t="s">
        <v>669</v>
      </c>
      <c r="C175" s="2" t="str">
        <f>RIGHT(B175,SUM(LEN(B175)-LEN(SUBSTITUTE(B175,{"0","1","2","3","4","5","6","7","8","9"},""))))</f>
        <v>560</v>
      </c>
      <c r="D175" s="2" t="str">
        <f t="shared" si="8"/>
        <v>0560</v>
      </c>
      <c r="E175" s="2" t="str">
        <f t="shared" si="9"/>
        <v>'0560.HK'</v>
      </c>
      <c r="F175" s="4" t="s">
        <v>670</v>
      </c>
      <c r="G175" s="6" t="s">
        <v>14</v>
      </c>
      <c r="H175" s="7">
        <v>1.75</v>
      </c>
      <c r="I175" s="8">
        <v>-444.8</v>
      </c>
      <c r="J175" s="8">
        <v>975.4</v>
      </c>
      <c r="K175" s="8">
        <v>24.4</v>
      </c>
      <c r="L175" s="10">
        <v>0.317</v>
      </c>
      <c r="M175" s="11" t="s">
        <v>671</v>
      </c>
    </row>
    <row r="176" spans="1:13" ht="50" x14ac:dyDescent="0.2">
      <c r="A176" s="2" t="s">
        <v>672</v>
      </c>
      <c r="B176" s="2" t="s">
        <v>673</v>
      </c>
      <c r="C176" s="2" t="str">
        <f>RIGHT(B176,SUM(LEN(B176)-LEN(SUBSTITUTE(B176,{"0","1","2","3","4","5","6","7","8","9"},""))))</f>
        <v>743</v>
      </c>
      <c r="D176" s="2" t="str">
        <f t="shared" si="8"/>
        <v>0743</v>
      </c>
      <c r="E176" s="2" t="str">
        <f t="shared" si="9"/>
        <v>'0743.HK'</v>
      </c>
      <c r="F176" s="4" t="s">
        <v>674</v>
      </c>
      <c r="G176" s="6" t="s">
        <v>14</v>
      </c>
      <c r="H176" s="7">
        <v>2.94</v>
      </c>
      <c r="I176" s="8">
        <v>-7353.3</v>
      </c>
      <c r="J176" s="8">
        <v>6157.7</v>
      </c>
      <c r="K176" s="8">
        <v>17.5</v>
      </c>
      <c r="L176" s="10">
        <v>0.316</v>
      </c>
      <c r="M176" s="11" t="s">
        <v>675</v>
      </c>
    </row>
    <row r="177" spans="1:13" ht="160" x14ac:dyDescent="0.2">
      <c r="A177" s="2" t="s">
        <v>676</v>
      </c>
      <c r="B177" s="2" t="s">
        <v>677</v>
      </c>
      <c r="C177" s="2" t="str">
        <f>RIGHT(B177,SUM(LEN(B177)-LEN(SUBSTITUTE(B177,{"0","1","2","3","4","5","6","7","8","9"},""))))</f>
        <v>321</v>
      </c>
      <c r="D177" s="2" t="str">
        <f t="shared" si="8"/>
        <v>0321</v>
      </c>
      <c r="E177" s="2" t="str">
        <f t="shared" si="9"/>
        <v>'0321.HK'</v>
      </c>
      <c r="F177" s="4" t="s">
        <v>678</v>
      </c>
      <c r="G177" s="6" t="s">
        <v>14</v>
      </c>
      <c r="H177" s="7">
        <v>1.18</v>
      </c>
      <c r="I177" s="8">
        <v>-559.79999999999995</v>
      </c>
      <c r="J177" s="8">
        <v>1699.5</v>
      </c>
      <c r="K177" s="8">
        <v>39.5</v>
      </c>
      <c r="L177" s="10">
        <v>0.315</v>
      </c>
      <c r="M177" s="11" t="s">
        <v>679</v>
      </c>
    </row>
    <row r="178" spans="1:13" ht="160" x14ac:dyDescent="0.2">
      <c r="A178" s="2" t="s">
        <v>680</v>
      </c>
      <c r="B178" s="2" t="s">
        <v>681</v>
      </c>
      <c r="C178" s="2" t="str">
        <f>RIGHT(B178,SUM(LEN(B178)-LEN(SUBSTITUTE(B178,{"0","1","2","3","4","5","6","7","8","9"},""))))</f>
        <v>450</v>
      </c>
      <c r="D178" s="2" t="str">
        <f t="shared" si="8"/>
        <v>0450</v>
      </c>
      <c r="E178" s="2" t="str">
        <f t="shared" si="9"/>
        <v>'0450.HK'</v>
      </c>
      <c r="F178" s="4" t="s">
        <v>682</v>
      </c>
      <c r="G178" s="6" t="s">
        <v>14</v>
      </c>
      <c r="H178" s="7">
        <v>2.86</v>
      </c>
      <c r="I178" s="8">
        <v>-873.3</v>
      </c>
      <c r="J178" s="8">
        <v>915.6</v>
      </c>
      <c r="K178" s="8">
        <v>22.2</v>
      </c>
      <c r="L178" s="10">
        <v>0.309</v>
      </c>
      <c r="M178" s="11" t="s">
        <v>683</v>
      </c>
    </row>
    <row r="179" spans="1:13" ht="60" x14ac:dyDescent="0.2">
      <c r="A179" s="2" t="s">
        <v>684</v>
      </c>
      <c r="B179" s="2" t="s">
        <v>685</v>
      </c>
      <c r="C179" s="2" t="str">
        <f>RIGHT(B179,SUM(LEN(B179)-LEN(SUBSTITUTE(B179,{"0","1","2","3","4","5","6","7","8","9"},""))))</f>
        <v>1028</v>
      </c>
      <c r="D179" s="2" t="str">
        <f t="shared" si="8"/>
        <v>1028</v>
      </c>
      <c r="E179" s="2" t="str">
        <f t="shared" si="9"/>
        <v>'1028.HK'</v>
      </c>
      <c r="F179" s="4" t="s">
        <v>686</v>
      </c>
      <c r="G179" s="6" t="s">
        <v>14</v>
      </c>
      <c r="H179" s="7">
        <v>2.4500000000000002</v>
      </c>
      <c r="I179" s="8">
        <v>-476.5</v>
      </c>
      <c r="J179" s="8">
        <v>506.8</v>
      </c>
      <c r="K179" s="8">
        <v>22.4</v>
      </c>
      <c r="L179" s="10">
        <v>0.30599999999999999</v>
      </c>
      <c r="M179" s="11" t="s">
        <v>687</v>
      </c>
    </row>
    <row r="180" spans="1:13" ht="80" x14ac:dyDescent="0.2">
      <c r="A180" s="2" t="s">
        <v>688</v>
      </c>
      <c r="B180" s="2" t="s">
        <v>689</v>
      </c>
      <c r="C180" s="2" t="str">
        <f>RIGHT(B180,SUM(LEN(B180)-LEN(SUBSTITUTE(B180,{"0","1","2","3","4","5","6","7","8","9"},""))))</f>
        <v>1761</v>
      </c>
      <c r="D180" s="2" t="str">
        <f t="shared" si="8"/>
        <v>1761</v>
      </c>
      <c r="E180" s="2" t="str">
        <f t="shared" si="9"/>
        <v>'1761.HK'</v>
      </c>
      <c r="F180" s="4" t="s">
        <v>690</v>
      </c>
      <c r="G180" s="6" t="s">
        <v>14</v>
      </c>
      <c r="H180" s="8">
        <v>11.3</v>
      </c>
      <c r="I180" s="8">
        <v>-1677</v>
      </c>
      <c r="J180" s="8">
        <v>614.5</v>
      </c>
      <c r="K180" s="7">
        <v>7.94</v>
      </c>
      <c r="L180" s="10">
        <v>0.30499999999999999</v>
      </c>
      <c r="M180" s="11" t="s">
        <v>691</v>
      </c>
    </row>
    <row r="181" spans="1:13" ht="190" x14ac:dyDescent="0.2">
      <c r="A181" s="2" t="s">
        <v>692</v>
      </c>
      <c r="B181" s="2" t="s">
        <v>693</v>
      </c>
      <c r="C181" s="2" t="str">
        <f>RIGHT(B181,SUM(LEN(B181)-LEN(SUBSTITUTE(B181,{"0","1","2","3","4","5","6","7","8","9"},""))))</f>
        <v>273</v>
      </c>
      <c r="D181" s="2" t="str">
        <f t="shared" si="8"/>
        <v>0273</v>
      </c>
      <c r="E181" s="2" t="str">
        <f t="shared" si="9"/>
        <v>'0273.HK'</v>
      </c>
      <c r="F181" s="4" t="s">
        <v>694</v>
      </c>
      <c r="G181" s="6" t="s">
        <v>14</v>
      </c>
      <c r="H181" s="7">
        <v>7.89</v>
      </c>
      <c r="I181" s="8">
        <v>-1981.1</v>
      </c>
      <c r="J181" s="8">
        <v>1197.8</v>
      </c>
      <c r="K181" s="7">
        <v>8.17</v>
      </c>
      <c r="L181" s="10">
        <v>0.29899999999999999</v>
      </c>
      <c r="M181" s="11" t="s">
        <v>695</v>
      </c>
    </row>
    <row r="182" spans="1:13" ht="80" x14ac:dyDescent="0.2">
      <c r="A182" s="2" t="s">
        <v>696</v>
      </c>
      <c r="B182" s="2" t="s">
        <v>697</v>
      </c>
      <c r="C182" s="2" t="str">
        <f>RIGHT(B182,SUM(LEN(B182)-LEN(SUBSTITUTE(B182,{"0","1","2","3","4","5","6","7","8","9"},""))))</f>
        <v>3389</v>
      </c>
      <c r="D182" s="2" t="str">
        <f t="shared" si="8"/>
        <v>3389</v>
      </c>
      <c r="E182" s="2" t="str">
        <f t="shared" si="9"/>
        <v>'3389.HK'</v>
      </c>
      <c r="F182" s="4" t="s">
        <v>698</v>
      </c>
      <c r="G182" s="6" t="s">
        <v>14</v>
      </c>
      <c r="H182" s="7">
        <v>6.21</v>
      </c>
      <c r="I182" s="8">
        <v>-1041.7</v>
      </c>
      <c r="J182" s="8">
        <v>1123</v>
      </c>
      <c r="K182" s="7">
        <v>7.33</v>
      </c>
      <c r="L182" s="10">
        <v>0.29799999999999999</v>
      </c>
      <c r="M182" s="11" t="s">
        <v>699</v>
      </c>
    </row>
    <row r="183" spans="1:13" ht="80" x14ac:dyDescent="0.2">
      <c r="A183" s="2" t="s">
        <v>700</v>
      </c>
      <c r="B183" s="2" t="s">
        <v>701</v>
      </c>
      <c r="C183" s="2" t="str">
        <f>RIGHT(B183,SUM(LEN(B183)-LEN(SUBSTITUTE(B183,{"0","1","2","3","4","5","6","7","8","9"},""))))</f>
        <v>271</v>
      </c>
      <c r="D183" s="2" t="str">
        <f t="shared" si="8"/>
        <v>0271</v>
      </c>
      <c r="E183" s="2" t="str">
        <f t="shared" si="9"/>
        <v>'0271.HK'</v>
      </c>
      <c r="F183" s="4" t="s">
        <v>702</v>
      </c>
      <c r="G183" s="6" t="s">
        <v>14</v>
      </c>
      <c r="H183" s="7">
        <v>9.1300000000000008</v>
      </c>
      <c r="I183" s="8">
        <v>-162.69999999999999</v>
      </c>
      <c r="J183" s="8">
        <v>502.5</v>
      </c>
      <c r="K183" s="8">
        <v>10.4</v>
      </c>
      <c r="L183" s="10">
        <v>0.29499999999999998</v>
      </c>
      <c r="M183" s="11" t="s">
        <v>703</v>
      </c>
    </row>
    <row r="184" spans="1:13" ht="50" x14ac:dyDescent="0.2">
      <c r="A184" s="2" t="s">
        <v>704</v>
      </c>
      <c r="B184" s="2" t="s">
        <v>705</v>
      </c>
      <c r="C184" s="2" t="str">
        <f>RIGHT(B184,SUM(LEN(B184)-LEN(SUBSTITUTE(B184,{"0","1","2","3","4","5","6","7","8","9"},""))))</f>
        <v>6117</v>
      </c>
      <c r="D184" s="2" t="str">
        <f t="shared" si="8"/>
        <v>6117</v>
      </c>
      <c r="E184" s="2" t="str">
        <f t="shared" si="9"/>
        <v>'6117.HK'</v>
      </c>
      <c r="F184" s="4" t="s">
        <v>706</v>
      </c>
      <c r="G184" s="6" t="s">
        <v>14</v>
      </c>
      <c r="H184" s="7">
        <v>7.46</v>
      </c>
      <c r="I184" s="8">
        <v>-425.3</v>
      </c>
      <c r="J184" s="8">
        <v>863.2</v>
      </c>
      <c r="K184" s="8">
        <v>12.4</v>
      </c>
      <c r="L184" s="10">
        <v>0.29399999999999998</v>
      </c>
      <c r="M184" s="5" t="s">
        <v>707</v>
      </c>
    </row>
    <row r="185" spans="1:13" ht="110" x14ac:dyDescent="0.2">
      <c r="A185" s="2" t="s">
        <v>708</v>
      </c>
      <c r="B185" s="2" t="s">
        <v>709</v>
      </c>
      <c r="C185" s="2" t="str">
        <f>RIGHT(B185,SUM(LEN(B185)-LEN(SUBSTITUTE(B185,{"0","1","2","3","4","5","6","7","8","9"},""))))</f>
        <v>237</v>
      </c>
      <c r="D185" s="2" t="str">
        <f t="shared" si="8"/>
        <v>0237</v>
      </c>
      <c r="E185" s="2" t="str">
        <f t="shared" si="9"/>
        <v>'0237.HK'</v>
      </c>
      <c r="F185" s="4" t="s">
        <v>710</v>
      </c>
      <c r="G185" s="6" t="s">
        <v>14</v>
      </c>
      <c r="H185" s="7">
        <v>9.4</v>
      </c>
      <c r="I185" s="8">
        <v>-471.7</v>
      </c>
      <c r="J185" s="8">
        <v>1158.3</v>
      </c>
      <c r="K185" s="7">
        <v>3.54</v>
      </c>
      <c r="L185" s="10">
        <v>0.29199999999999998</v>
      </c>
      <c r="M185" s="11" t="s">
        <v>711</v>
      </c>
    </row>
    <row r="186" spans="1:13" ht="160" x14ac:dyDescent="0.2">
      <c r="A186" s="2" t="s">
        <v>712</v>
      </c>
      <c r="B186" s="2" t="s">
        <v>713</v>
      </c>
      <c r="C186" s="2" t="str">
        <f>RIGHT(B186,SUM(LEN(B186)-LEN(SUBSTITUTE(B186,{"0","1","2","3","4","5","6","7","8","9"},""))))</f>
        <v>64</v>
      </c>
      <c r="D186" s="2" t="str">
        <f t="shared" si="8"/>
        <v>0064</v>
      </c>
      <c r="E186" s="2" t="str">
        <f t="shared" si="9"/>
        <v>'0064.HK'</v>
      </c>
      <c r="F186" s="4" t="s">
        <v>714</v>
      </c>
      <c r="G186" s="6" t="s">
        <v>14</v>
      </c>
      <c r="H186" s="7">
        <v>6.06</v>
      </c>
      <c r="I186" s="8">
        <v>-2221.1999999999998</v>
      </c>
      <c r="J186" s="8">
        <v>1526.7</v>
      </c>
      <c r="K186" s="8">
        <v>11.8</v>
      </c>
      <c r="L186" s="10">
        <v>0.26700000000000002</v>
      </c>
      <c r="M186" s="11" t="s">
        <v>715</v>
      </c>
    </row>
    <row r="187" spans="1:13" ht="170" x14ac:dyDescent="0.2">
      <c r="A187" s="2" t="s">
        <v>716</v>
      </c>
      <c r="B187" s="2" t="s">
        <v>717</v>
      </c>
      <c r="C187" s="2" t="str">
        <f>RIGHT(B187,SUM(LEN(B187)-LEN(SUBSTITUTE(B187,{"0","1","2","3","4","5","6","7","8","9"},""))))</f>
        <v>533</v>
      </c>
      <c r="D187" s="2" t="str">
        <f t="shared" si="8"/>
        <v>0533</v>
      </c>
      <c r="E187" s="2" t="str">
        <f t="shared" si="9"/>
        <v>'0533.HK'</v>
      </c>
      <c r="F187" s="4" t="s">
        <v>718</v>
      </c>
      <c r="G187" s="6" t="s">
        <v>14</v>
      </c>
      <c r="H187" s="7">
        <v>2.29</v>
      </c>
      <c r="I187" s="8">
        <v>-1305.4000000000001</v>
      </c>
      <c r="J187" s="8">
        <v>1178.5</v>
      </c>
      <c r="K187" s="8">
        <v>20.100000000000001</v>
      </c>
      <c r="L187" s="10">
        <v>0.26100000000000001</v>
      </c>
      <c r="M187" s="11" t="s">
        <v>719</v>
      </c>
    </row>
    <row r="188" spans="1:13" ht="150" x14ac:dyDescent="0.2">
      <c r="A188" s="2" t="s">
        <v>720</v>
      </c>
      <c r="B188" s="2" t="s">
        <v>721</v>
      </c>
      <c r="C188" s="2" t="str">
        <f>RIGHT(B188,SUM(LEN(B188)-LEN(SUBSTITUTE(B188,{"0","1","2","3","4","5","6","7","8","9"},""))))</f>
        <v>235</v>
      </c>
      <c r="D188" s="2" t="str">
        <f t="shared" si="8"/>
        <v>0235</v>
      </c>
      <c r="E188" s="2" t="str">
        <f t="shared" si="9"/>
        <v>'0235.HK'</v>
      </c>
      <c r="F188" s="4" t="s">
        <v>722</v>
      </c>
      <c r="G188" s="6" t="s">
        <v>14</v>
      </c>
      <c r="H188" s="7">
        <v>2.42</v>
      </c>
      <c r="I188" s="8">
        <v>-844</v>
      </c>
      <c r="J188" s="8">
        <v>591.20000000000005</v>
      </c>
      <c r="K188" s="8">
        <v>23.6</v>
      </c>
      <c r="L188" s="10">
        <v>0.25800000000000001</v>
      </c>
      <c r="M188" s="11" t="s">
        <v>723</v>
      </c>
    </row>
    <row r="189" spans="1:13" ht="40" x14ac:dyDescent="0.2">
      <c r="A189" s="2" t="s">
        <v>724</v>
      </c>
      <c r="B189" s="2" t="s">
        <v>725</v>
      </c>
      <c r="C189" s="2" t="str">
        <f>RIGHT(B189,SUM(LEN(B189)-LEN(SUBSTITUTE(B189,{"0","1","2","3","4","5","6","7","8","9"},""))))</f>
        <v>133</v>
      </c>
      <c r="D189" s="2" t="str">
        <f t="shared" si="8"/>
        <v>0133</v>
      </c>
      <c r="E189" s="2" t="str">
        <f t="shared" si="9"/>
        <v>'0133.HK'</v>
      </c>
      <c r="F189" s="4" t="s">
        <v>726</v>
      </c>
      <c r="G189" s="6" t="s">
        <v>14</v>
      </c>
      <c r="H189" s="7">
        <v>3.2</v>
      </c>
      <c r="I189" s="8">
        <v>-785.1</v>
      </c>
      <c r="J189" s="8">
        <v>1357.3</v>
      </c>
      <c r="K189" s="8">
        <v>20.8</v>
      </c>
      <c r="L189" s="10">
        <v>0.25600000000000001</v>
      </c>
      <c r="M189" s="5" t="s">
        <v>727</v>
      </c>
    </row>
    <row r="190" spans="1:13" ht="200" x14ac:dyDescent="0.2">
      <c r="A190" s="2" t="s">
        <v>728</v>
      </c>
      <c r="B190" s="2" t="s">
        <v>729</v>
      </c>
      <c r="C190" s="2" t="str">
        <f>RIGHT(B190,SUM(LEN(B190)-LEN(SUBSTITUTE(B190,{"0","1","2","3","4","5","6","7","8","9"},""))))</f>
        <v>8005</v>
      </c>
      <c r="D190" s="2" t="str">
        <f t="shared" si="8"/>
        <v>8005</v>
      </c>
      <c r="E190" s="2" t="str">
        <f t="shared" si="9"/>
        <v>'8005.HK'</v>
      </c>
      <c r="F190" s="4" t="s">
        <v>730</v>
      </c>
      <c r="G190" s="6" t="s">
        <v>14</v>
      </c>
      <c r="H190" s="7">
        <v>1.8</v>
      </c>
      <c r="I190" s="8">
        <v>-428.3</v>
      </c>
      <c r="J190" s="8">
        <v>500</v>
      </c>
      <c r="K190" s="8">
        <v>16.600000000000001</v>
      </c>
      <c r="L190" s="10">
        <v>0.248</v>
      </c>
      <c r="M190" s="11" t="s">
        <v>731</v>
      </c>
    </row>
    <row r="191" spans="1:13" ht="130" x14ac:dyDescent="0.2">
      <c r="A191" s="2" t="s">
        <v>732</v>
      </c>
      <c r="B191" s="2" t="s">
        <v>733</v>
      </c>
      <c r="C191" s="2" t="str">
        <f>RIGHT(B191,SUM(LEN(B191)-LEN(SUBSTITUTE(B191,{"0","1","2","3","4","5","6","7","8","9"},""))))</f>
        <v>102</v>
      </c>
      <c r="D191" s="2" t="str">
        <f t="shared" si="8"/>
        <v>0102</v>
      </c>
      <c r="E191" s="2" t="str">
        <f t="shared" si="9"/>
        <v>'0102.HK'</v>
      </c>
      <c r="F191" s="4" t="s">
        <v>734</v>
      </c>
      <c r="G191" s="6" t="s">
        <v>14</v>
      </c>
      <c r="H191" s="8">
        <v>11.4</v>
      </c>
      <c r="I191" s="8">
        <v>-436.1</v>
      </c>
      <c r="J191" s="8">
        <v>784.6</v>
      </c>
      <c r="K191" s="7">
        <v>6.97</v>
      </c>
      <c r="L191" s="10">
        <v>0.24399999999999999</v>
      </c>
      <c r="M191" s="11" t="s">
        <v>735</v>
      </c>
    </row>
    <row r="192" spans="1:13" ht="140" x14ac:dyDescent="0.2">
      <c r="A192" s="2" t="s">
        <v>736</v>
      </c>
      <c r="B192" s="2" t="s">
        <v>737</v>
      </c>
      <c r="C192" s="2" t="str">
        <f>RIGHT(B192,SUM(LEN(B192)-LEN(SUBSTITUTE(B192,{"0","1","2","3","4","5","6","7","8","9"},""))))</f>
        <v>1980</v>
      </c>
      <c r="D192" s="2" t="str">
        <f t="shared" si="8"/>
        <v>1980</v>
      </c>
      <c r="E192" s="2" t="str">
        <f t="shared" si="9"/>
        <v>'1980.HK'</v>
      </c>
      <c r="F192" s="4" t="s">
        <v>738</v>
      </c>
      <c r="G192" s="6" t="s">
        <v>14</v>
      </c>
      <c r="H192" s="7">
        <v>3.88</v>
      </c>
      <c r="I192" s="8">
        <v>-1699.4</v>
      </c>
      <c r="J192" s="8">
        <v>811.5</v>
      </c>
      <c r="K192" s="8">
        <v>13.1</v>
      </c>
      <c r="L192" s="10">
        <v>0.24099999999999999</v>
      </c>
      <c r="M192" s="11" t="s">
        <v>739</v>
      </c>
    </row>
    <row r="193" spans="1:13" ht="150" x14ac:dyDescent="0.2">
      <c r="A193" s="2" t="s">
        <v>740</v>
      </c>
      <c r="B193" s="2" t="s">
        <v>741</v>
      </c>
      <c r="C193" s="2" t="str">
        <f>RIGHT(B193,SUM(LEN(B193)-LEN(SUBSTITUTE(B193,{"0","1","2","3","4","5","6","7","8","9"},""))))</f>
        <v>3398</v>
      </c>
      <c r="D193" s="2" t="str">
        <f t="shared" si="8"/>
        <v>3398</v>
      </c>
      <c r="E193" s="2" t="str">
        <f t="shared" si="9"/>
        <v>'3398.HK'</v>
      </c>
      <c r="F193" s="4" t="s">
        <v>742</v>
      </c>
      <c r="G193" s="6" t="s">
        <v>14</v>
      </c>
      <c r="H193" s="7">
        <v>1.1299999999999999</v>
      </c>
      <c r="I193" s="8">
        <v>-604.29999999999995</v>
      </c>
      <c r="J193" s="8">
        <v>598.4</v>
      </c>
      <c r="K193" s="8">
        <v>31.9</v>
      </c>
      <c r="L193" s="10">
        <v>0.23899999999999999</v>
      </c>
      <c r="M193" s="11" t="s">
        <v>743</v>
      </c>
    </row>
    <row r="194" spans="1:13" ht="110" x14ac:dyDescent="0.2">
      <c r="A194" s="2" t="s">
        <v>744</v>
      </c>
      <c r="B194" s="2" t="s">
        <v>745</v>
      </c>
      <c r="C194" s="2" t="str">
        <f>RIGHT(B194,SUM(LEN(B194)-LEN(SUBSTITUTE(B194,{"0","1","2","3","4","5","6","7","8","9"},""))))</f>
        <v>635</v>
      </c>
      <c r="D194" s="2" t="str">
        <f t="shared" si="8"/>
        <v>0635</v>
      </c>
      <c r="E194" s="2" t="str">
        <f t="shared" si="9"/>
        <v>'0635.HK'</v>
      </c>
      <c r="F194" s="4" t="s">
        <v>746</v>
      </c>
      <c r="G194" s="6" t="s">
        <v>14</v>
      </c>
      <c r="H194" s="7">
        <v>2.0299999999999998</v>
      </c>
      <c r="I194" s="8">
        <v>-826.7</v>
      </c>
      <c r="J194" s="8">
        <v>1371.6</v>
      </c>
      <c r="K194" s="8">
        <v>15</v>
      </c>
      <c r="L194" s="10">
        <v>0.23499999999999999</v>
      </c>
      <c r="M194" s="11" t="s">
        <v>747</v>
      </c>
    </row>
    <row r="195" spans="1:13" ht="130" x14ac:dyDescent="0.2">
      <c r="A195" s="2" t="s">
        <v>748</v>
      </c>
      <c r="B195" s="2" t="s">
        <v>749</v>
      </c>
      <c r="C195" s="2" t="str">
        <f>RIGHT(B195,SUM(LEN(B195)-LEN(SUBSTITUTE(B195,{"0","1","2","3","4","5","6","7","8","9"},""))))</f>
        <v>538</v>
      </c>
      <c r="D195" s="2" t="str">
        <f t="shared" si="8"/>
        <v>0538</v>
      </c>
      <c r="E195" s="2" t="str">
        <f t="shared" si="9"/>
        <v>'0538.HK'</v>
      </c>
      <c r="F195" s="4" t="s">
        <v>750</v>
      </c>
      <c r="G195" s="6" t="s">
        <v>14</v>
      </c>
      <c r="H195" s="7">
        <v>2.72</v>
      </c>
      <c r="I195" s="8">
        <v>-1030</v>
      </c>
      <c r="J195" s="8">
        <v>785.9</v>
      </c>
      <c r="K195" s="8">
        <v>27.6</v>
      </c>
      <c r="L195" s="10">
        <v>0.23200000000000001</v>
      </c>
      <c r="M195" s="11" t="s">
        <v>751</v>
      </c>
    </row>
    <row r="196" spans="1:13" ht="150" x14ac:dyDescent="0.2">
      <c r="A196" s="2" t="s">
        <v>752</v>
      </c>
      <c r="B196" s="2" t="s">
        <v>753</v>
      </c>
      <c r="C196" s="2" t="str">
        <f>RIGHT(B196,SUM(LEN(B196)-LEN(SUBSTITUTE(B196,{"0","1","2","3","4","5","6","7","8","9"},""))))</f>
        <v>289</v>
      </c>
      <c r="D196" s="2" t="str">
        <f t="shared" si="8"/>
        <v>0289</v>
      </c>
      <c r="E196" s="2" t="str">
        <f t="shared" si="9"/>
        <v>'0289.HK'</v>
      </c>
      <c r="F196" s="4" t="s">
        <v>754</v>
      </c>
      <c r="G196" s="6" t="s">
        <v>14</v>
      </c>
      <c r="H196" s="7">
        <v>9.39</v>
      </c>
      <c r="I196" s="8">
        <v>-4057.6</v>
      </c>
      <c r="J196" s="8">
        <v>4365.3999999999996</v>
      </c>
      <c r="K196" s="7">
        <v>6.74</v>
      </c>
      <c r="L196" s="10">
        <v>0.23200000000000001</v>
      </c>
      <c r="M196" s="11" t="s">
        <v>755</v>
      </c>
    </row>
    <row r="197" spans="1:13" ht="110" x14ac:dyDescent="0.2">
      <c r="A197" s="2" t="s">
        <v>756</v>
      </c>
      <c r="B197" s="2" t="s">
        <v>757</v>
      </c>
      <c r="C197" s="2" t="str">
        <f>RIGHT(B197,SUM(LEN(B197)-LEN(SUBSTITUTE(B197,{"0","1","2","3","4","5","6","7","8","9"},""))))</f>
        <v>2127</v>
      </c>
      <c r="D197" s="2" t="str">
        <f t="shared" si="8"/>
        <v>2127</v>
      </c>
      <c r="E197" s="2" t="str">
        <f t="shared" si="9"/>
        <v>'2127.HK'</v>
      </c>
      <c r="F197" s="4" t="s">
        <v>758</v>
      </c>
      <c r="G197" s="6" t="s">
        <v>14</v>
      </c>
      <c r="H197" s="7">
        <v>5.27</v>
      </c>
      <c r="I197" s="8">
        <v>-3242.7</v>
      </c>
      <c r="J197" s="8">
        <v>1196.9000000000001</v>
      </c>
      <c r="K197" s="8">
        <v>17.100000000000001</v>
      </c>
      <c r="L197" s="10">
        <v>0.22700000000000001</v>
      </c>
      <c r="M197" s="11" t="s">
        <v>759</v>
      </c>
    </row>
    <row r="198" spans="1:13" ht="180" x14ac:dyDescent="0.2">
      <c r="A198" s="2" t="s">
        <v>760</v>
      </c>
      <c r="B198" s="2" t="s">
        <v>761</v>
      </c>
      <c r="C198" s="2" t="str">
        <f>RIGHT(B198,SUM(LEN(B198)-LEN(SUBSTITUTE(B198,{"0","1","2","3","4","5","6","7","8","9"},""))))</f>
        <v>1203</v>
      </c>
      <c r="D198" s="2" t="str">
        <f t="shared" si="8"/>
        <v>1203</v>
      </c>
      <c r="E198" s="2" t="str">
        <f t="shared" si="9"/>
        <v>'1203.HK'</v>
      </c>
      <c r="F198" s="4" t="s">
        <v>762</v>
      </c>
      <c r="G198" s="6" t="s">
        <v>14</v>
      </c>
      <c r="H198" s="7">
        <v>1.55</v>
      </c>
      <c r="I198" s="8">
        <v>-596.20000000000005</v>
      </c>
      <c r="J198" s="8">
        <v>580.9</v>
      </c>
      <c r="K198" s="8">
        <v>31.6</v>
      </c>
      <c r="L198" s="10">
        <v>0.219</v>
      </c>
      <c r="M198" s="11" t="s">
        <v>763</v>
      </c>
    </row>
    <row r="199" spans="1:13" ht="160" x14ac:dyDescent="0.2">
      <c r="A199" s="2" t="s">
        <v>764</v>
      </c>
      <c r="B199" s="2" t="s">
        <v>765</v>
      </c>
      <c r="C199" s="2" t="str">
        <f>RIGHT(B199,SUM(LEN(B199)-LEN(SUBSTITUTE(B199,{"0","1","2","3","4","5","6","7","8","9"},""))))</f>
        <v>3999</v>
      </c>
      <c r="D199" s="2" t="str">
        <f t="shared" si="8"/>
        <v>3999</v>
      </c>
      <c r="E199" s="2" t="str">
        <f t="shared" si="9"/>
        <v>'3999.HK'</v>
      </c>
      <c r="F199" s="4" t="s">
        <v>766</v>
      </c>
      <c r="G199" s="6" t="s">
        <v>14</v>
      </c>
      <c r="H199" s="7">
        <v>1.4</v>
      </c>
      <c r="I199" s="8">
        <v>-432.8</v>
      </c>
      <c r="J199" s="8">
        <v>518.29999999999995</v>
      </c>
      <c r="K199" s="8">
        <v>34</v>
      </c>
      <c r="L199" s="10">
        <v>0.219</v>
      </c>
      <c r="M199" s="11" t="s">
        <v>767</v>
      </c>
    </row>
    <row r="200" spans="1:13" ht="180" x14ac:dyDescent="0.2">
      <c r="A200" s="2" t="s">
        <v>768</v>
      </c>
      <c r="B200" s="2" t="s">
        <v>769</v>
      </c>
      <c r="C200" s="2" t="str">
        <f>RIGHT(B200,SUM(LEN(B200)-LEN(SUBSTITUTE(B200,{"0","1","2","3","4","5","6","7","8","9"},""))))</f>
        <v>366</v>
      </c>
      <c r="D200" s="2" t="str">
        <f t="shared" si="8"/>
        <v>0366</v>
      </c>
      <c r="E200" s="2" t="str">
        <f t="shared" si="9"/>
        <v>'0366.HK'</v>
      </c>
      <c r="F200" s="4" t="s">
        <v>770</v>
      </c>
      <c r="G200" s="6" t="s">
        <v>14</v>
      </c>
      <c r="H200" s="7">
        <v>1.91</v>
      </c>
      <c r="I200" s="8">
        <v>-311.10000000000002</v>
      </c>
      <c r="J200" s="8">
        <v>547.79999999999995</v>
      </c>
      <c r="K200" s="8">
        <v>16.7</v>
      </c>
      <c r="L200" s="10">
        <v>0.217</v>
      </c>
      <c r="M200" s="11" t="s">
        <v>771</v>
      </c>
    </row>
    <row r="201" spans="1:13" ht="250" x14ac:dyDescent="0.2">
      <c r="A201" s="2" t="s">
        <v>772</v>
      </c>
      <c r="B201" s="2" t="s">
        <v>773</v>
      </c>
      <c r="C201" s="2" t="str">
        <f>RIGHT(B201,SUM(LEN(B201)-LEN(SUBSTITUTE(B201,{"0","1","2","3","4","5","6","7","8","9"},""))))</f>
        <v>610</v>
      </c>
      <c r="D201" s="2" t="str">
        <f t="shared" si="8"/>
        <v>0610</v>
      </c>
      <c r="E201" s="2" t="str">
        <f t="shared" si="9"/>
        <v>'0610.HK'</v>
      </c>
      <c r="F201" s="4" t="s">
        <v>774</v>
      </c>
      <c r="G201" s="6" t="s">
        <v>14</v>
      </c>
      <c r="H201" s="7">
        <v>1.2</v>
      </c>
      <c r="I201" s="8">
        <v>-685.5</v>
      </c>
      <c r="J201" s="8">
        <v>2181.1</v>
      </c>
      <c r="K201" s="8">
        <v>37.700000000000003</v>
      </c>
      <c r="L201" s="10">
        <v>0.20799999999999999</v>
      </c>
      <c r="M201" s="11" t="s">
        <v>775</v>
      </c>
    </row>
    <row r="202" spans="1:13" ht="180" x14ac:dyDescent="0.2">
      <c r="A202" s="2" t="s">
        <v>776</v>
      </c>
      <c r="B202" s="2" t="s">
        <v>777</v>
      </c>
      <c r="C202" s="2" t="str">
        <f>RIGHT(B202,SUM(LEN(B202)-LEN(SUBSTITUTE(B202,{"0","1","2","3","4","5","6","7","8","9"},""))))</f>
        <v>194</v>
      </c>
      <c r="D202" s="2" t="str">
        <f t="shared" si="8"/>
        <v>0194</v>
      </c>
      <c r="E202" s="2" t="str">
        <f t="shared" si="9"/>
        <v>'0194.HK'</v>
      </c>
      <c r="F202" s="4" t="s">
        <v>778</v>
      </c>
      <c r="G202" s="6" t="s">
        <v>14</v>
      </c>
      <c r="H202" s="7">
        <v>1.76</v>
      </c>
      <c r="I202" s="8">
        <v>-160.5</v>
      </c>
      <c r="J202" s="8">
        <v>2631.1</v>
      </c>
      <c r="K202" s="8">
        <v>18.2</v>
      </c>
      <c r="L202" s="10">
        <v>0.20499999999999999</v>
      </c>
      <c r="M202" s="11" t="s">
        <v>779</v>
      </c>
    </row>
    <row r="203" spans="1:13" ht="110" x14ac:dyDescent="0.2">
      <c r="A203" s="2" t="s">
        <v>780</v>
      </c>
      <c r="B203" s="2" t="s">
        <v>781</v>
      </c>
      <c r="C203" s="2" t="str">
        <f>RIGHT(B203,SUM(LEN(B203)-LEN(SUBSTITUTE(B203,{"0","1","2","3","4","5","6","7","8","9"},""))))</f>
        <v>212</v>
      </c>
      <c r="D203" s="2" t="str">
        <f t="shared" si="8"/>
        <v>0212</v>
      </c>
      <c r="E203" s="2" t="str">
        <f t="shared" si="9"/>
        <v>'0212.HK'</v>
      </c>
      <c r="F203" s="4" t="s">
        <v>782</v>
      </c>
      <c r="G203" s="6" t="s">
        <v>14</v>
      </c>
      <c r="H203" s="7">
        <v>7.4</v>
      </c>
      <c r="I203" s="8">
        <v>-416.4</v>
      </c>
      <c r="J203" s="8">
        <v>1120.9000000000001</v>
      </c>
      <c r="K203" s="7">
        <v>1.56</v>
      </c>
      <c r="L203" s="10">
        <v>0.20300000000000001</v>
      </c>
      <c r="M203" s="11" t="s">
        <v>783</v>
      </c>
    </row>
    <row r="204" spans="1:13" ht="60" x14ac:dyDescent="0.2">
      <c r="A204" s="2" t="s">
        <v>784</v>
      </c>
      <c r="B204" s="2" t="s">
        <v>785</v>
      </c>
      <c r="C204" s="2" t="str">
        <f>RIGHT(B204,SUM(LEN(B204)-LEN(SUBSTITUTE(B204,{"0","1","2","3","4","5","6","7","8","9"},""))))</f>
        <v>887</v>
      </c>
      <c r="D204" s="2" t="str">
        <f t="shared" si="8"/>
        <v>0887</v>
      </c>
      <c r="E204" s="2" t="str">
        <f t="shared" si="9"/>
        <v>'0887.HK'</v>
      </c>
      <c r="F204" s="4" t="s">
        <v>786</v>
      </c>
      <c r="G204" s="6" t="s">
        <v>14</v>
      </c>
      <c r="H204" s="7">
        <v>1.33</v>
      </c>
      <c r="I204" s="8">
        <v>-139.4</v>
      </c>
      <c r="J204" s="8">
        <v>894.9</v>
      </c>
      <c r="K204" s="8">
        <v>11.8</v>
      </c>
      <c r="L204" s="10">
        <v>0.188</v>
      </c>
      <c r="M204" s="11" t="s">
        <v>787</v>
      </c>
    </row>
    <row r="205" spans="1:13" ht="190" x14ac:dyDescent="0.2">
      <c r="A205" s="2" t="s">
        <v>788</v>
      </c>
      <c r="B205" s="2" t="s">
        <v>789</v>
      </c>
      <c r="C205" s="2" t="str">
        <f>RIGHT(B205,SUM(LEN(B205)-LEN(SUBSTITUTE(B205,{"0","1","2","3","4","5","6","7","8","9"},""))))</f>
        <v>3818</v>
      </c>
      <c r="D205" s="2" t="str">
        <f t="shared" si="8"/>
        <v>3818</v>
      </c>
      <c r="E205" s="2" t="str">
        <f t="shared" si="9"/>
        <v>'3818.HK'</v>
      </c>
      <c r="F205" s="4" t="s">
        <v>790</v>
      </c>
      <c r="G205" s="6" t="s">
        <v>14</v>
      </c>
      <c r="H205" s="7">
        <v>5.0999999999999996</v>
      </c>
      <c r="I205" s="8">
        <v>-4442.3999999999996</v>
      </c>
      <c r="J205" s="8">
        <v>2023.2</v>
      </c>
      <c r="K205" s="8">
        <v>10.8</v>
      </c>
      <c r="L205" s="10">
        <v>0.17299999999999999</v>
      </c>
      <c r="M205" s="11" t="s">
        <v>791</v>
      </c>
    </row>
    <row r="206" spans="1:13" ht="40" x14ac:dyDescent="0.2">
      <c r="A206" s="2" t="s">
        <v>792</v>
      </c>
      <c r="B206" s="2" t="s">
        <v>793</v>
      </c>
      <c r="C206" s="2" t="str">
        <f>RIGHT(B206,SUM(LEN(B206)-LEN(SUBSTITUTE(B206,{"0","1","2","3","4","5","6","7","8","9"},""))))</f>
        <v>1431</v>
      </c>
      <c r="D206" s="2" t="str">
        <f t="shared" si="8"/>
        <v>1431</v>
      </c>
      <c r="E206" s="2" t="str">
        <f t="shared" si="9"/>
        <v>'1431.HK'</v>
      </c>
      <c r="F206" s="4" t="s">
        <v>794</v>
      </c>
      <c r="G206" s="6" t="s">
        <v>14</v>
      </c>
      <c r="H206" s="7">
        <v>1.04</v>
      </c>
      <c r="I206" s="8">
        <v>-847.9</v>
      </c>
      <c r="J206" s="8">
        <v>1027.2</v>
      </c>
      <c r="K206" s="8">
        <v>24.5</v>
      </c>
      <c r="L206" s="10">
        <v>0.17199999999999999</v>
      </c>
      <c r="M206" s="5" t="s">
        <v>795</v>
      </c>
    </row>
    <row r="207" spans="1:13" ht="100" x14ac:dyDescent="0.2">
      <c r="A207" s="2" t="s">
        <v>796</v>
      </c>
      <c r="B207" s="2" t="s">
        <v>797</v>
      </c>
      <c r="C207" s="2" t="str">
        <f>RIGHT(B207,SUM(LEN(B207)-LEN(SUBSTITUTE(B207,{"0","1","2","3","4","5","6","7","8","9"},""))))</f>
        <v>296</v>
      </c>
      <c r="D207" s="2" t="str">
        <f t="shared" si="8"/>
        <v>0296</v>
      </c>
      <c r="E207" s="2" t="str">
        <f t="shared" si="9"/>
        <v>'0296.HK'</v>
      </c>
      <c r="F207" s="4" t="s">
        <v>798</v>
      </c>
      <c r="G207" s="6" t="s">
        <v>14</v>
      </c>
      <c r="H207" s="7">
        <v>3.45</v>
      </c>
      <c r="I207" s="8">
        <v>-914.6</v>
      </c>
      <c r="J207" s="8">
        <v>631.79999999999995</v>
      </c>
      <c r="K207" s="7">
        <v>7.73</v>
      </c>
      <c r="L207" s="10">
        <v>0.16700000000000001</v>
      </c>
      <c r="M207" s="11" t="s">
        <v>799</v>
      </c>
    </row>
    <row r="208" spans="1:13" ht="190" x14ac:dyDescent="0.2">
      <c r="A208" s="2" t="s">
        <v>800</v>
      </c>
      <c r="B208" s="2" t="s">
        <v>801</v>
      </c>
      <c r="C208" s="2" t="str">
        <f>RIGHT(B208,SUM(LEN(B208)-LEN(SUBSTITUTE(B208,{"0","1","2","3","4","5","6","7","8","9"},""))))</f>
        <v>298</v>
      </c>
      <c r="D208" s="2" t="str">
        <f t="shared" si="8"/>
        <v>0298</v>
      </c>
      <c r="E208" s="2" t="str">
        <f t="shared" si="9"/>
        <v>'0298.HK'</v>
      </c>
      <c r="F208" s="4" t="s">
        <v>802</v>
      </c>
      <c r="G208" s="6" t="s">
        <v>14</v>
      </c>
      <c r="H208" s="7">
        <v>2.72</v>
      </c>
      <c r="I208" s="8">
        <v>-786.5</v>
      </c>
      <c r="J208" s="8">
        <v>727.6</v>
      </c>
      <c r="K208" s="8">
        <v>30</v>
      </c>
      <c r="L208" s="10">
        <v>0.157</v>
      </c>
      <c r="M208" s="11" t="s">
        <v>803</v>
      </c>
    </row>
    <row r="209" spans="1:13" ht="130" x14ac:dyDescent="0.2">
      <c r="A209" s="2" t="s">
        <v>804</v>
      </c>
      <c r="B209" s="2" t="s">
        <v>805</v>
      </c>
      <c r="C209" s="2" t="str">
        <f>RIGHT(B209,SUM(LEN(B209)-LEN(SUBSTITUTE(B209,{"0","1","2","3","4","5","6","7","8","9"},""))))</f>
        <v>1278</v>
      </c>
      <c r="D209" s="2" t="str">
        <f t="shared" si="8"/>
        <v>1278</v>
      </c>
      <c r="E209" s="2" t="str">
        <f t="shared" si="9"/>
        <v>'1278.HK'</v>
      </c>
      <c r="F209" s="4" t="s">
        <v>806</v>
      </c>
      <c r="G209" s="6" t="s">
        <v>14</v>
      </c>
      <c r="H209" s="7">
        <v>1.44</v>
      </c>
      <c r="I209" s="8">
        <v>-782.9</v>
      </c>
      <c r="J209" s="8">
        <v>729.5</v>
      </c>
      <c r="K209" s="8">
        <v>32.4</v>
      </c>
      <c r="L209" s="10">
        <v>0.151</v>
      </c>
      <c r="M209" s="11" t="s">
        <v>807</v>
      </c>
    </row>
    <row r="210" spans="1:13" ht="110" x14ac:dyDescent="0.2">
      <c r="A210" s="2" t="s">
        <v>808</v>
      </c>
      <c r="B210" s="2" t="s">
        <v>809</v>
      </c>
      <c r="C210" s="2" t="str">
        <f>RIGHT(B210,SUM(LEN(B210)-LEN(SUBSTITUTE(B210,{"0","1","2","3","4","5","6","7","8","9"},""))))</f>
        <v>1786</v>
      </c>
      <c r="D210" s="2" t="str">
        <f t="shared" si="8"/>
        <v>1786</v>
      </c>
      <c r="E210" s="2" t="str">
        <f t="shared" si="9"/>
        <v>'1786.HK'</v>
      </c>
      <c r="F210" s="4" t="s">
        <v>810</v>
      </c>
      <c r="G210" s="6" t="s">
        <v>14</v>
      </c>
      <c r="H210" s="7">
        <v>1.51</v>
      </c>
      <c r="I210" s="8">
        <v>-1446.6</v>
      </c>
      <c r="J210" s="8">
        <v>1003.1</v>
      </c>
      <c r="K210" s="8">
        <v>28.9</v>
      </c>
      <c r="L210" s="10">
        <v>0.14599999999999999</v>
      </c>
      <c r="M210" s="11" t="s">
        <v>811</v>
      </c>
    </row>
    <row r="211" spans="1:13" ht="250" x14ac:dyDescent="0.2">
      <c r="A211" s="2" t="s">
        <v>812</v>
      </c>
      <c r="B211" s="2" t="s">
        <v>813</v>
      </c>
      <c r="C211" s="2" t="str">
        <f>RIGHT(B211,SUM(LEN(B211)-LEN(SUBSTITUTE(B211,{"0","1","2","3","4","5","6","7","8","9"},""))))</f>
        <v>882</v>
      </c>
      <c r="D211" s="2" t="str">
        <f t="shared" si="8"/>
        <v>0882</v>
      </c>
      <c r="E211" s="2" t="str">
        <f t="shared" si="9"/>
        <v>'0882.HK'</v>
      </c>
      <c r="F211" s="4" t="s">
        <v>814</v>
      </c>
      <c r="G211" s="6" t="s">
        <v>14</v>
      </c>
      <c r="H211" s="7">
        <v>1.78</v>
      </c>
      <c r="I211" s="8">
        <v>-4928.5</v>
      </c>
      <c r="J211" s="8">
        <v>1695</v>
      </c>
      <c r="K211" s="8">
        <v>23.8</v>
      </c>
      <c r="L211" s="10">
        <v>0.13700000000000001</v>
      </c>
      <c r="M211" s="11" t="s">
        <v>815</v>
      </c>
    </row>
    <row r="212" spans="1:13" ht="80" x14ac:dyDescent="0.2">
      <c r="A212" s="2" t="s">
        <v>816</v>
      </c>
      <c r="B212" s="2" t="s">
        <v>817</v>
      </c>
      <c r="C212" s="2" t="str">
        <f>RIGHT(B212,SUM(LEN(B212)-LEN(SUBSTITUTE(B212,{"0","1","2","3","4","5","6","7","8","9"},""))))</f>
        <v>2698</v>
      </c>
      <c r="D212" s="2" t="str">
        <f t="shared" si="8"/>
        <v>2698</v>
      </c>
      <c r="E212" s="2" t="str">
        <f t="shared" si="9"/>
        <v>'2698.HK'</v>
      </c>
      <c r="F212" s="4" t="s">
        <v>818</v>
      </c>
      <c r="G212" s="6" t="s">
        <v>14</v>
      </c>
      <c r="H212" s="7">
        <v>2.27</v>
      </c>
      <c r="I212" s="8">
        <v>-10747.8</v>
      </c>
      <c r="J212" s="8">
        <v>1612.4</v>
      </c>
      <c r="K212" s="8">
        <v>24.3</v>
      </c>
      <c r="L212" s="10">
        <v>7.8E-2</v>
      </c>
      <c r="M212" s="11" t="s">
        <v>819</v>
      </c>
    </row>
    <row r="213" spans="1:13" ht="90" x14ac:dyDescent="0.2">
      <c r="A213" s="2" t="s">
        <v>820</v>
      </c>
      <c r="B213" s="2" t="s">
        <v>821</v>
      </c>
      <c r="C213" s="2" t="str">
        <f>RIGHT(B213,SUM(LEN(B213)-LEN(SUBSTITUTE(B213,{"0","1","2","3","4","5","6","7","8","9"},""))))</f>
        <v>1051</v>
      </c>
      <c r="D213" s="2" t="str">
        <f t="shared" si="8"/>
        <v>1051</v>
      </c>
      <c r="E213" s="2" t="str">
        <f t="shared" si="9"/>
        <v>'1051.HK'</v>
      </c>
      <c r="F213" s="4" t="s">
        <v>822</v>
      </c>
      <c r="G213" s="6" t="s">
        <v>14</v>
      </c>
      <c r="H213" s="8">
        <v>18</v>
      </c>
      <c r="I213" s="8">
        <v>-7253.9</v>
      </c>
      <c r="J213" s="8">
        <v>816</v>
      </c>
      <c r="K213" s="7">
        <v>3.14</v>
      </c>
      <c r="L213" s="10">
        <v>6.7000000000000004E-2</v>
      </c>
      <c r="M213" s="11" t="s">
        <v>823</v>
      </c>
    </row>
    <row r="215" spans="1:13" x14ac:dyDescent="0.2">
      <c r="E215" t="str">
        <f>ConcatDelim(E9:E213,",")</f>
        <v>'6663.HK','1689.HK','1458.HK','1425.HK','1448.HK','2150.HK','6616.HK','1945.HK','1475.HK','1586.HK','0580.HK','1935.HK','9899.HK','9699.HK',,'6820.HK','8032.HK','0265.HK','1483.HK','1995.HK','9986.HK','2101.HK','2265.HK','1971.HK','6626.HK','6100.HK','1925.HK','1543.HK','9983.HK','6858.HK','1970.HK','0799.HK','6668.HK','0189.HK','0606.HK','0709.HK','0543.HK','3658.HK','1303.HK','1651.HK','8479.HK','2180.HK','1357.HK','2119.HK','6822.HK','0398.HK','0837.HK','0777.HK','2327.HK','6677.HK','6989.HK','1234.HK','0609.HK','2175.HK','9836.HK','0029.HK','0166.HK','6988.HK','1516.HK','1277.HK','1316.HK','1060.HK','3798.HK','1412.HK','1022.HK','9982.HK','0806.HK','1361.HK','2660.HK','1230.HK','6608.HK','1328.HK',,'2218.HK','6896.HK','0697.HK','0721.HK','1301.HK','6913.HK','3319.HK','0336.HK','1836.HK','1837.HK','2801.HK','0018.HK','0687.HK','0195.HK','0255.HK','0411.HK','0639.HK',,'3686.HK','0302.HK','1057.HK','1731.HK','0206.HK','0869.HK','1896.HK','0128.HK','2232.HK','2205.HK','1502.HK','1126.HK','6909.HK','6601.HK','0677.HK','9666.HK','0335.HK','9990.HK','2686.HK','1981.HK','3913.HK','0800.HK','0093.HK','8137.HK','0468.HK','1868.HK','0423.HK','1753.HK','0032.HK','2125.HK','3339.HK','1170.HK','1221.HK','0215.HK','6919.HK','2100.HK','1127.HK','0701.HK','3700.HK','0556.HK','0393.HK','3983.HK','0105.HK','2008.HK','0026.HK','0439.HK','0071.HK','1469.HK','0278.HK','2779.HK','0517.HK','0050.HK','0934.HK','0088.HK','0158.HK','0929.HK','0730.HK','0057.HK','0266.HK','0769.HK','0829.HK','1265.HK','0420.HK','0716.HK','3838.HK','1045.HK','0472.HK','2033.HK','1104.HK','1140.HK','1122.HK','0232.HK','0622.HK','0156.HK','0662.HK','0560.HK','0743.HK','0321.HK','0450.HK','1028.HK','1761.HK','0273.HK','3389.HK','0271.HK','6117.HK','0237.HK','0064.HK','0533.HK','0235.HK','0133.HK','8005.HK','0102.HK','1980.HK','3398.HK','0635.HK','0538.HK','0289.HK','2127.HK','1203.HK','3999.HK','0366.HK','0610.HK','0194.HK','0212.HK','0887.HK','3818.HK','1431.HK','0296.HK','0298.HK','1278.HK','1786.HK','0882.HK','2698.HK','1051.HK'</v>
      </c>
    </row>
    <row r="217" spans="1:13" x14ac:dyDescent="0.2">
      <c r="E217" t="s">
        <v>843</v>
      </c>
    </row>
  </sheetData>
  <autoFilter ref="A8:M213" xr:uid="{00000000-0009-0000-0000-000000000000}">
    <filterColumn colId="5">
      <filters>
        <filter val="The Stock Exchange of Hong Kong Ltd. (SEHK)"/>
      </filters>
    </filterColumn>
  </autoFilter>
  <pageMargins left="0.2" right="0.2" top="0.5" bottom="0.5" header="0.5" footer="0.5"/>
  <pageSetup fitToWidth="0" fitToHeight="0" orientation="landscape" horizontalDpi="300" verticalDpi="300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3DE873-314F-462B-B91B-6B606B5135B9}">
  <dimension ref="A1:H1152"/>
  <sheetViews>
    <sheetView topLeftCell="A1127" workbookViewId="0">
      <selection activeCell="C1150" sqref="C1150"/>
    </sheetView>
  </sheetViews>
  <sheetFormatPr defaultRowHeight="14.5" x14ac:dyDescent="0.35"/>
  <cols>
    <col min="1" max="3" width="8.7265625" style="22"/>
    <col min="4" max="4" width="16.90625" style="22" customWidth="1"/>
    <col min="5" max="5" width="18.26953125" style="22" customWidth="1"/>
    <col min="6" max="6" width="17.453125" style="22" customWidth="1"/>
    <col min="7" max="16384" width="8.7265625" style="22"/>
  </cols>
  <sheetData>
    <row r="1" spans="1:8" x14ac:dyDescent="0.35">
      <c r="A1" s="22" t="s">
        <v>844</v>
      </c>
      <c r="B1" s="22" t="s">
        <v>845</v>
      </c>
      <c r="D1" s="22" t="s">
        <v>846</v>
      </c>
      <c r="E1" s="22" t="s">
        <v>847</v>
      </c>
      <c r="F1" s="22" t="s">
        <v>848</v>
      </c>
      <c r="G1" s="22" t="s">
        <v>849</v>
      </c>
      <c r="H1" s="22" t="s">
        <v>850</v>
      </c>
    </row>
    <row r="2" spans="1:8" x14ac:dyDescent="0.35">
      <c r="A2" s="22" t="s">
        <v>851</v>
      </c>
      <c r="B2" s="22" t="str">
        <f>"00700"</f>
        <v>00700</v>
      </c>
      <c r="C2" s="22" t="str">
        <f>CONCATENATE("'",RIGHT(B2,4),".HK'")</f>
        <v>'0700.HK'</v>
      </c>
      <c r="D2" s="22" t="s">
        <v>852</v>
      </c>
      <c r="E2" s="22" t="s">
        <v>853</v>
      </c>
      <c r="F2" s="22">
        <v>3305216715766</v>
      </c>
      <c r="G2" s="22">
        <v>6913</v>
      </c>
      <c r="H2" s="22" t="s">
        <v>854</v>
      </c>
    </row>
    <row r="3" spans="1:8" x14ac:dyDescent="0.35">
      <c r="A3" s="22" t="s">
        <v>851</v>
      </c>
      <c r="B3" s="22" t="str">
        <f>"09988"</f>
        <v>09988</v>
      </c>
      <c r="C3" s="22" t="str">
        <f t="shared" ref="C3:C66" si="0">CONCATENATE("'",RIGHT(B3,4),".HK'")</f>
        <v>'9988.HK'</v>
      </c>
      <c r="D3" s="22" t="s">
        <v>855</v>
      </c>
      <c r="E3" s="22" t="s">
        <v>853</v>
      </c>
      <c r="F3" s="22">
        <v>1922580031500</v>
      </c>
      <c r="G3" s="22">
        <v>1271</v>
      </c>
      <c r="H3" s="22" t="s">
        <v>856</v>
      </c>
    </row>
    <row r="4" spans="1:8" x14ac:dyDescent="0.35">
      <c r="A4" s="22" t="s">
        <v>851</v>
      </c>
      <c r="B4" s="22" t="str">
        <f>"01398"</f>
        <v>01398</v>
      </c>
      <c r="C4" s="22" t="str">
        <f t="shared" si="0"/>
        <v>'1398.HK'</v>
      </c>
      <c r="D4" s="22" t="s">
        <v>857</v>
      </c>
      <c r="E4" s="22" t="s">
        <v>858</v>
      </c>
      <c r="F4" s="22">
        <v>1447009403781.3301</v>
      </c>
      <c r="G4" s="22">
        <v>620</v>
      </c>
      <c r="H4" s="22" t="s">
        <v>859</v>
      </c>
    </row>
    <row r="5" spans="1:8" x14ac:dyDescent="0.35">
      <c r="A5" s="22" t="s">
        <v>851</v>
      </c>
      <c r="B5" s="22" t="str">
        <f>"00939"</f>
        <v>00939</v>
      </c>
      <c r="C5" s="22" t="str">
        <f t="shared" si="0"/>
        <v>'0939.HK'</v>
      </c>
      <c r="D5" s="22" t="s">
        <v>860</v>
      </c>
      <c r="E5" s="22" t="s">
        <v>858</v>
      </c>
      <c r="F5" s="22">
        <v>1232554119005.98</v>
      </c>
      <c r="G5" s="22">
        <v>752</v>
      </c>
      <c r="H5" s="22" t="s">
        <v>861</v>
      </c>
    </row>
    <row r="6" spans="1:8" x14ac:dyDescent="0.35">
      <c r="A6" s="22" t="s">
        <v>851</v>
      </c>
      <c r="B6" s="22" t="str">
        <f>"03968"</f>
        <v>03968</v>
      </c>
      <c r="C6" s="22" t="str">
        <f t="shared" si="0"/>
        <v>'3968.HK'</v>
      </c>
      <c r="D6" s="22" t="s">
        <v>862</v>
      </c>
      <c r="E6" s="22" t="s">
        <v>858</v>
      </c>
      <c r="F6" s="22">
        <v>1122283129244.5</v>
      </c>
      <c r="G6" s="22">
        <v>877</v>
      </c>
      <c r="H6" s="22" t="s">
        <v>863</v>
      </c>
    </row>
    <row r="7" spans="1:8" x14ac:dyDescent="0.35">
      <c r="A7" s="22" t="s">
        <v>851</v>
      </c>
      <c r="B7" s="22" t="str">
        <f>"00941"</f>
        <v>00941</v>
      </c>
      <c r="C7" s="22" t="str">
        <f t="shared" si="0"/>
        <v>'0941.HK'</v>
      </c>
      <c r="D7" s="22" t="s">
        <v>864</v>
      </c>
      <c r="E7" s="22" t="s">
        <v>865</v>
      </c>
      <c r="F7" s="22">
        <v>1121548405110</v>
      </c>
      <c r="G7" s="22">
        <v>574</v>
      </c>
      <c r="H7" s="22" t="s">
        <v>866</v>
      </c>
    </row>
    <row r="8" spans="1:8" x14ac:dyDescent="0.35">
      <c r="A8" s="22" t="s">
        <v>851</v>
      </c>
      <c r="B8" s="22" t="str">
        <f>"03690"</f>
        <v>03690</v>
      </c>
      <c r="C8" s="22" t="str">
        <f t="shared" si="0"/>
        <v>'3690.HK'</v>
      </c>
      <c r="D8" s="22" t="s">
        <v>867</v>
      </c>
      <c r="E8" s="22" t="s">
        <v>853</v>
      </c>
      <c r="F8" s="22">
        <v>1094245300023.2</v>
      </c>
      <c r="G8" s="22">
        <v>1416</v>
      </c>
      <c r="H8" s="22" t="s">
        <v>868</v>
      </c>
    </row>
    <row r="9" spans="1:8" x14ac:dyDescent="0.35">
      <c r="A9" s="22" t="s">
        <v>851</v>
      </c>
      <c r="B9" s="22" t="str">
        <f>"01299"</f>
        <v>01299</v>
      </c>
      <c r="C9" s="22" t="str">
        <f t="shared" si="0"/>
        <v>'1299.HK'</v>
      </c>
      <c r="D9" s="22" t="s">
        <v>869</v>
      </c>
      <c r="E9" s="22" t="s">
        <v>870</v>
      </c>
      <c r="F9" s="22">
        <v>1040213402638.8</v>
      </c>
      <c r="G9" s="22">
        <v>314</v>
      </c>
      <c r="H9" s="22" t="s">
        <v>871</v>
      </c>
    </row>
    <row r="10" spans="1:8" x14ac:dyDescent="0.35">
      <c r="A10" s="22" t="s">
        <v>851</v>
      </c>
      <c r="B10" s="22" t="str">
        <f>"00005"</f>
        <v>00005</v>
      </c>
      <c r="C10" s="22" t="str">
        <f t="shared" si="0"/>
        <v>'0005.HK'</v>
      </c>
      <c r="D10" s="22" t="s">
        <v>872</v>
      </c>
      <c r="E10" s="22" t="s">
        <v>858</v>
      </c>
      <c r="F10" s="22">
        <v>988298587947.40002</v>
      </c>
      <c r="G10" s="22">
        <v>360</v>
      </c>
      <c r="H10" s="22" t="s">
        <v>873</v>
      </c>
    </row>
    <row r="11" spans="1:8" x14ac:dyDescent="0.35">
      <c r="A11" s="22" t="s">
        <v>851</v>
      </c>
      <c r="B11" s="22" t="str">
        <f>"02318"</f>
        <v>02318</v>
      </c>
      <c r="C11" s="22" t="str">
        <f t="shared" si="0"/>
        <v>'2318.HK'</v>
      </c>
      <c r="D11" s="22" t="s">
        <v>874</v>
      </c>
      <c r="E11" s="22" t="s">
        <v>870</v>
      </c>
      <c r="F11" s="22">
        <v>966110758518.5</v>
      </c>
      <c r="G11" s="22">
        <v>1229</v>
      </c>
      <c r="H11" s="22" t="s">
        <v>875</v>
      </c>
    </row>
    <row r="12" spans="1:8" x14ac:dyDescent="0.35">
      <c r="A12" s="22" t="s">
        <v>851</v>
      </c>
      <c r="B12" s="22" t="str">
        <f>"01288"</f>
        <v>01288</v>
      </c>
      <c r="C12" s="22" t="str">
        <f t="shared" si="0"/>
        <v>'1288.HK'</v>
      </c>
      <c r="D12" s="22" t="s">
        <v>876</v>
      </c>
      <c r="E12" s="22" t="s">
        <v>858</v>
      </c>
      <c r="F12" s="22">
        <v>937954530779.64001</v>
      </c>
      <c r="G12" s="22">
        <v>590</v>
      </c>
      <c r="H12" s="22" t="s">
        <v>877</v>
      </c>
    </row>
    <row r="13" spans="1:8" x14ac:dyDescent="0.35">
      <c r="A13" s="22" t="s">
        <v>851</v>
      </c>
      <c r="B13" s="22" t="str">
        <f>"03988"</f>
        <v>03988</v>
      </c>
      <c r="C13" s="22" t="str">
        <f t="shared" si="0"/>
        <v>'3988.HK'</v>
      </c>
      <c r="D13" s="22" t="s">
        <v>878</v>
      </c>
      <c r="E13" s="22" t="s">
        <v>858</v>
      </c>
      <c r="F13" s="22">
        <v>841949082949.26001</v>
      </c>
      <c r="G13" s="22">
        <v>576</v>
      </c>
      <c r="H13" s="22" t="s">
        <v>879</v>
      </c>
    </row>
    <row r="14" spans="1:8" x14ac:dyDescent="0.35">
      <c r="A14" s="22" t="s">
        <v>851</v>
      </c>
      <c r="B14" s="22" t="str">
        <f>"09618"</f>
        <v>09618</v>
      </c>
      <c r="C14" s="22" t="str">
        <f t="shared" si="0"/>
        <v>'9618.HK'</v>
      </c>
      <c r="D14" s="22" t="s">
        <v>880</v>
      </c>
      <c r="E14" s="22" t="s">
        <v>853</v>
      </c>
      <c r="F14" s="22">
        <v>700919656000</v>
      </c>
      <c r="G14" s="22">
        <v>451</v>
      </c>
      <c r="H14" s="22" t="s">
        <v>881</v>
      </c>
    </row>
    <row r="15" spans="1:8" x14ac:dyDescent="0.35">
      <c r="A15" s="22" t="s">
        <v>851</v>
      </c>
      <c r="B15" s="22" t="str">
        <f>"00857"</f>
        <v>00857</v>
      </c>
      <c r="C15" s="22" t="str">
        <f t="shared" si="0"/>
        <v>'0857.HK'</v>
      </c>
      <c r="D15" s="22" t="s">
        <v>882</v>
      </c>
      <c r="E15" s="22" t="s">
        <v>883</v>
      </c>
      <c r="F15" s="22">
        <v>658875520144.80005</v>
      </c>
      <c r="G15" s="22">
        <v>390</v>
      </c>
      <c r="H15" s="22" t="s">
        <v>884</v>
      </c>
    </row>
    <row r="16" spans="1:8" x14ac:dyDescent="0.35">
      <c r="A16" s="22" t="s">
        <v>851</v>
      </c>
      <c r="B16" s="22" t="str">
        <f>"01211"</f>
        <v>01211</v>
      </c>
      <c r="C16" s="22" t="str">
        <f t="shared" si="0"/>
        <v>'1211.HK'</v>
      </c>
      <c r="D16" s="22" t="s">
        <v>885</v>
      </c>
      <c r="E16" s="22" t="s">
        <v>886</v>
      </c>
      <c r="F16" s="22">
        <v>586886399568</v>
      </c>
      <c r="G16" s="22">
        <v>421</v>
      </c>
      <c r="H16" s="22" t="s">
        <v>887</v>
      </c>
    </row>
    <row r="17" spans="1:8" x14ac:dyDescent="0.35">
      <c r="A17" s="22" t="s">
        <v>851</v>
      </c>
      <c r="B17" s="22" t="str">
        <f>"06288"</f>
        <v>06288</v>
      </c>
      <c r="C17" s="22" t="str">
        <f t="shared" si="0"/>
        <v>'6288.HK'</v>
      </c>
      <c r="D17" s="22" t="s">
        <v>888</v>
      </c>
      <c r="E17" s="22" t="s">
        <v>889</v>
      </c>
      <c r="F17" s="22">
        <v>495894547500</v>
      </c>
      <c r="G17" s="22">
        <v>48</v>
      </c>
      <c r="H17" s="22" t="s">
        <v>890</v>
      </c>
    </row>
    <row r="18" spans="1:8" x14ac:dyDescent="0.35">
      <c r="A18" s="22" t="s">
        <v>851</v>
      </c>
      <c r="B18" s="22" t="str">
        <f>"09633"</f>
        <v>09633</v>
      </c>
      <c r="C18" s="22" t="str">
        <f t="shared" si="0"/>
        <v>'9633.HK'</v>
      </c>
      <c r="D18" s="22" t="s">
        <v>891</v>
      </c>
      <c r="E18" s="22" t="s">
        <v>892</v>
      </c>
      <c r="F18" s="22">
        <v>490908258360</v>
      </c>
      <c r="G18" s="22">
        <v>503</v>
      </c>
      <c r="H18" s="22" t="s">
        <v>893</v>
      </c>
    </row>
    <row r="19" spans="1:8" x14ac:dyDescent="0.35">
      <c r="A19" s="22" t="s">
        <v>851</v>
      </c>
      <c r="B19" s="22" t="str">
        <f>"00883"</f>
        <v>00883</v>
      </c>
      <c r="C19" s="22" t="str">
        <f t="shared" si="0"/>
        <v>'0883.HK'</v>
      </c>
      <c r="D19" s="22" t="s">
        <v>894</v>
      </c>
      <c r="E19" s="22" t="s">
        <v>883</v>
      </c>
      <c r="F19" s="22">
        <v>480424316238.40002</v>
      </c>
      <c r="G19" s="22">
        <v>540</v>
      </c>
      <c r="H19" s="22" t="s">
        <v>895</v>
      </c>
    </row>
    <row r="20" spans="1:8" x14ac:dyDescent="0.35">
      <c r="A20" s="22" t="s">
        <v>851</v>
      </c>
      <c r="B20" s="22" t="str">
        <f>"01880"</f>
        <v>01880</v>
      </c>
      <c r="C20" s="22" t="str">
        <f t="shared" si="0"/>
        <v>'1880.HK'</v>
      </c>
      <c r="D20" s="22" t="s">
        <v>896</v>
      </c>
      <c r="E20" s="22" t="s">
        <v>897</v>
      </c>
      <c r="F20" s="22">
        <v>463424425856</v>
      </c>
      <c r="G20" s="22">
        <v>25</v>
      </c>
      <c r="H20" s="22" t="s">
        <v>898</v>
      </c>
    </row>
    <row r="21" spans="1:8" x14ac:dyDescent="0.35">
      <c r="A21" s="22" t="s">
        <v>851</v>
      </c>
      <c r="B21" s="22" t="str">
        <f>"00386"</f>
        <v>00386</v>
      </c>
      <c r="C21" s="22" t="str">
        <f t="shared" si="0"/>
        <v>'0386.HK'</v>
      </c>
      <c r="D21" s="22" t="s">
        <v>899</v>
      </c>
      <c r="E21" s="22" t="s">
        <v>883</v>
      </c>
      <c r="F21" s="22">
        <v>462284159367.71997</v>
      </c>
      <c r="G21" s="22">
        <v>370</v>
      </c>
      <c r="H21" s="22" t="s">
        <v>900</v>
      </c>
    </row>
    <row r="22" spans="1:8" x14ac:dyDescent="0.35">
      <c r="A22" s="22" t="s">
        <v>851</v>
      </c>
      <c r="B22" s="22" t="str">
        <f>"01658"</f>
        <v>01658</v>
      </c>
      <c r="C22" s="22" t="str">
        <f t="shared" si="0"/>
        <v>'1658.HK'</v>
      </c>
      <c r="D22" s="22" t="s">
        <v>901</v>
      </c>
      <c r="E22" s="22" t="s">
        <v>858</v>
      </c>
      <c r="F22" s="22">
        <v>458224479320.79999</v>
      </c>
      <c r="G22" s="22">
        <v>247</v>
      </c>
      <c r="H22" s="22" t="s">
        <v>902</v>
      </c>
    </row>
    <row r="23" spans="1:8" x14ac:dyDescent="0.35">
      <c r="A23" s="22" t="s">
        <v>851</v>
      </c>
      <c r="B23" s="22" t="str">
        <f>"01088"</f>
        <v>01088</v>
      </c>
      <c r="C23" s="22" t="str">
        <f t="shared" si="0"/>
        <v>'1088.HK'</v>
      </c>
      <c r="D23" s="22" t="s">
        <v>903</v>
      </c>
      <c r="E23" s="22" t="s">
        <v>904</v>
      </c>
      <c r="F23" s="22">
        <v>457969384962.75</v>
      </c>
      <c r="G23" s="22">
        <v>715</v>
      </c>
      <c r="H23" s="22" t="s">
        <v>905</v>
      </c>
    </row>
    <row r="24" spans="1:8" x14ac:dyDescent="0.35">
      <c r="A24" s="22" t="s">
        <v>851</v>
      </c>
      <c r="B24" s="22" t="str">
        <f>"00388"</f>
        <v>00388</v>
      </c>
      <c r="C24" s="22" t="str">
        <f t="shared" si="0"/>
        <v>'0388.HK'</v>
      </c>
      <c r="D24" s="22" t="s">
        <v>906</v>
      </c>
      <c r="E24" s="22" t="s">
        <v>907</v>
      </c>
      <c r="F24" s="22">
        <v>434868054985</v>
      </c>
      <c r="G24" s="22">
        <v>782</v>
      </c>
      <c r="H24" s="22" t="s">
        <v>908</v>
      </c>
    </row>
    <row r="25" spans="1:8" x14ac:dyDescent="0.35">
      <c r="A25" s="22" t="s">
        <v>851</v>
      </c>
      <c r="B25" s="22" t="str">
        <f>"09999"</f>
        <v>09999</v>
      </c>
      <c r="C25" s="22" t="str">
        <f t="shared" si="0"/>
        <v>'9999.HK'</v>
      </c>
      <c r="D25" s="22" t="s">
        <v>909</v>
      </c>
      <c r="E25" s="22" t="s">
        <v>910</v>
      </c>
      <c r="F25" s="22">
        <v>409777232000</v>
      </c>
      <c r="G25" s="22">
        <v>212</v>
      </c>
      <c r="H25" s="22" t="s">
        <v>911</v>
      </c>
    </row>
    <row r="26" spans="1:8" x14ac:dyDescent="0.35">
      <c r="A26" s="22" t="s">
        <v>851</v>
      </c>
      <c r="B26" s="22" t="str">
        <f>"02628"</f>
        <v>02628</v>
      </c>
      <c r="C26" s="22" t="str">
        <f t="shared" si="0"/>
        <v>'2628.HK'</v>
      </c>
      <c r="D26" s="22" t="s">
        <v>912</v>
      </c>
      <c r="E26" s="22" t="s">
        <v>870</v>
      </c>
      <c r="F26" s="22">
        <v>386095870300</v>
      </c>
      <c r="G26" s="22">
        <v>348</v>
      </c>
      <c r="H26" s="22" t="s">
        <v>913</v>
      </c>
    </row>
    <row r="27" spans="1:8" x14ac:dyDescent="0.35">
      <c r="A27" s="22" t="s">
        <v>851</v>
      </c>
      <c r="B27" s="22" t="str">
        <f>"03328"</f>
        <v>03328</v>
      </c>
      <c r="C27" s="22" t="str">
        <f t="shared" si="0"/>
        <v>'3328.HK'</v>
      </c>
      <c r="D27" s="22" t="s">
        <v>914</v>
      </c>
      <c r="E27" s="22" t="s">
        <v>858</v>
      </c>
      <c r="F27" s="22">
        <v>340123288034.09998</v>
      </c>
      <c r="G27" s="22">
        <v>452</v>
      </c>
      <c r="H27" s="22" t="s">
        <v>915</v>
      </c>
    </row>
    <row r="28" spans="1:8" x14ac:dyDescent="0.35">
      <c r="A28" s="22" t="s">
        <v>851</v>
      </c>
      <c r="B28" s="22" t="str">
        <f>"01876"</f>
        <v>01876</v>
      </c>
      <c r="C28" s="22" t="str">
        <f t="shared" si="0"/>
        <v>'1876.HK'</v>
      </c>
      <c r="D28" s="22" t="s">
        <v>916</v>
      </c>
      <c r="E28" s="22" t="s">
        <v>917</v>
      </c>
      <c r="F28" s="22">
        <v>330422755150</v>
      </c>
      <c r="G28" s="22">
        <v>84</v>
      </c>
      <c r="H28" s="22" t="s">
        <v>918</v>
      </c>
    </row>
    <row r="29" spans="1:8" x14ac:dyDescent="0.35">
      <c r="A29" s="22" t="s">
        <v>851</v>
      </c>
      <c r="B29" s="22" t="str">
        <f>"09888"</f>
        <v>09888</v>
      </c>
      <c r="C29" s="22" t="str">
        <f t="shared" si="0"/>
        <v>'9888.HK'</v>
      </c>
      <c r="D29" s="22" t="s">
        <v>919</v>
      </c>
      <c r="E29" s="22" t="s">
        <v>853</v>
      </c>
      <c r="F29" s="22">
        <v>324750832000</v>
      </c>
      <c r="G29" s="22">
        <v>124</v>
      </c>
      <c r="H29" s="22" t="s">
        <v>920</v>
      </c>
    </row>
    <row r="30" spans="1:8" x14ac:dyDescent="0.35">
      <c r="A30" s="22" t="s">
        <v>851</v>
      </c>
      <c r="B30" s="22" t="str">
        <f>"01024"</f>
        <v>01024</v>
      </c>
      <c r="C30" s="22" t="str">
        <f t="shared" si="0"/>
        <v>'1024.HK'</v>
      </c>
      <c r="D30" s="22" t="s">
        <v>921</v>
      </c>
      <c r="E30" s="22" t="s">
        <v>910</v>
      </c>
      <c r="F30" s="22">
        <v>316817952137.59998</v>
      </c>
      <c r="G30" s="22">
        <v>267</v>
      </c>
      <c r="H30" s="22" t="s">
        <v>922</v>
      </c>
    </row>
    <row r="31" spans="1:8" x14ac:dyDescent="0.35">
      <c r="A31" s="22" t="s">
        <v>851</v>
      </c>
      <c r="B31" s="22" t="str">
        <f>"00016"</f>
        <v>00016</v>
      </c>
      <c r="C31" s="22" t="str">
        <f t="shared" si="0"/>
        <v>'0016.HK'</v>
      </c>
      <c r="D31" s="22" t="s">
        <v>923</v>
      </c>
      <c r="E31" s="22" t="s">
        <v>924</v>
      </c>
      <c r="F31" s="22">
        <v>316437605920.79999</v>
      </c>
      <c r="G31" s="22">
        <v>98</v>
      </c>
      <c r="H31" s="22" t="s">
        <v>925</v>
      </c>
    </row>
    <row r="32" spans="1:8" x14ac:dyDescent="0.35">
      <c r="A32" s="22" t="s">
        <v>851</v>
      </c>
      <c r="B32" s="22" t="str">
        <f>"02378"</f>
        <v>02378</v>
      </c>
      <c r="C32" s="22" t="str">
        <f t="shared" si="0"/>
        <v>'2378.HK'</v>
      </c>
      <c r="D32" s="22" t="s">
        <v>926</v>
      </c>
      <c r="E32" s="22" t="s">
        <v>870</v>
      </c>
      <c r="F32" s="22">
        <v>296926004448</v>
      </c>
      <c r="G32" s="22">
        <v>25</v>
      </c>
      <c r="H32" s="22" t="s">
        <v>927</v>
      </c>
    </row>
    <row r="33" spans="1:8" x14ac:dyDescent="0.35">
      <c r="A33" s="22" t="s">
        <v>851</v>
      </c>
      <c r="B33" s="22" t="str">
        <f>"02899"</f>
        <v>02899</v>
      </c>
      <c r="C33" s="22" t="str">
        <f t="shared" si="0"/>
        <v>'2899.HK'</v>
      </c>
      <c r="D33" s="22" t="s">
        <v>928</v>
      </c>
      <c r="E33" s="22" t="s">
        <v>929</v>
      </c>
      <c r="F33" s="22">
        <v>295941469577.59998</v>
      </c>
      <c r="G33" s="22">
        <v>197</v>
      </c>
      <c r="H33" s="22" t="s">
        <v>930</v>
      </c>
    </row>
    <row r="34" spans="1:8" x14ac:dyDescent="0.35">
      <c r="A34" s="22" t="s">
        <v>851</v>
      </c>
      <c r="B34" s="22" t="str">
        <f>"00728"</f>
        <v>00728</v>
      </c>
      <c r="C34" s="22" t="str">
        <f t="shared" si="0"/>
        <v>'0728.HK'</v>
      </c>
      <c r="D34" s="22" t="s">
        <v>931</v>
      </c>
      <c r="E34" s="22" t="s">
        <v>865</v>
      </c>
      <c r="F34" s="22">
        <v>291907772449.81</v>
      </c>
      <c r="G34" s="22">
        <v>311</v>
      </c>
      <c r="H34" s="22" t="s">
        <v>932</v>
      </c>
    </row>
    <row r="35" spans="1:8" x14ac:dyDescent="0.35">
      <c r="A35" s="22" t="s">
        <v>851</v>
      </c>
      <c r="B35" s="22" t="str">
        <f>"02388"</f>
        <v>02388</v>
      </c>
      <c r="C35" s="22" t="str">
        <f t="shared" si="0"/>
        <v>'2388.HK'</v>
      </c>
      <c r="D35" s="22" t="s">
        <v>933</v>
      </c>
      <c r="E35" s="22" t="s">
        <v>858</v>
      </c>
      <c r="F35" s="22">
        <v>283350511128.79999</v>
      </c>
      <c r="G35" s="22">
        <v>106</v>
      </c>
      <c r="H35" s="22" t="s">
        <v>934</v>
      </c>
    </row>
    <row r="36" spans="1:8" x14ac:dyDescent="0.35">
      <c r="A36" s="22" t="s">
        <v>851</v>
      </c>
      <c r="B36" s="22" t="str">
        <f>"02020"</f>
        <v>02020</v>
      </c>
      <c r="C36" s="22" t="str">
        <f t="shared" si="0"/>
        <v>'2020.HK'</v>
      </c>
      <c r="D36" s="22" t="s">
        <v>935</v>
      </c>
      <c r="E36" s="22" t="s">
        <v>889</v>
      </c>
      <c r="F36" s="22">
        <v>282759568700</v>
      </c>
      <c r="G36" s="22">
        <v>567</v>
      </c>
      <c r="H36" s="22" t="s">
        <v>936</v>
      </c>
    </row>
    <row r="37" spans="1:8" x14ac:dyDescent="0.35">
      <c r="A37" s="22" t="s">
        <v>851</v>
      </c>
      <c r="B37" s="22" t="str">
        <f>"01810"</f>
        <v>01810</v>
      </c>
      <c r="C37" s="22" t="str">
        <f t="shared" si="0"/>
        <v>'1810.HK'</v>
      </c>
      <c r="D37" s="22" t="s">
        <v>937</v>
      </c>
      <c r="E37" s="22" t="s">
        <v>938</v>
      </c>
      <c r="F37" s="22">
        <v>279918681903.96002</v>
      </c>
      <c r="G37" s="22">
        <v>2040</v>
      </c>
      <c r="H37" s="22" t="s">
        <v>939</v>
      </c>
    </row>
    <row r="38" spans="1:8" x14ac:dyDescent="0.35">
      <c r="A38" s="22" t="s">
        <v>851</v>
      </c>
      <c r="B38" s="22" t="str">
        <f>"02269"</f>
        <v>02269</v>
      </c>
      <c r="C38" s="22" t="str">
        <f t="shared" si="0"/>
        <v>'2269.HK'</v>
      </c>
      <c r="D38" s="22" t="s">
        <v>940</v>
      </c>
      <c r="E38" s="22" t="s">
        <v>941</v>
      </c>
      <c r="F38" s="22">
        <v>264081520026.45001</v>
      </c>
      <c r="G38" s="22">
        <v>584</v>
      </c>
      <c r="H38" s="22" t="s">
        <v>942</v>
      </c>
    </row>
    <row r="39" spans="1:8" x14ac:dyDescent="0.35">
      <c r="A39" s="22" t="s">
        <v>851</v>
      </c>
      <c r="B39" s="22" t="str">
        <f>"00945"</f>
        <v>00945</v>
      </c>
      <c r="C39" s="22" t="str">
        <f t="shared" si="0"/>
        <v>'0945.HK'</v>
      </c>
      <c r="D39" s="22" t="s">
        <v>943</v>
      </c>
      <c r="E39" s="22" t="s">
        <v>870</v>
      </c>
      <c r="F39" s="22">
        <v>261072033591.60001</v>
      </c>
      <c r="G39" s="22">
        <v>22</v>
      </c>
      <c r="H39" s="22" t="s">
        <v>944</v>
      </c>
    </row>
    <row r="40" spans="1:8" x14ac:dyDescent="0.35">
      <c r="A40" s="22" t="s">
        <v>851</v>
      </c>
      <c r="B40" s="22" t="str">
        <f>"01109"</f>
        <v>01109</v>
      </c>
      <c r="C40" s="22" t="str">
        <f t="shared" si="0"/>
        <v>'1109.HK'</v>
      </c>
      <c r="D40" s="22" t="s">
        <v>945</v>
      </c>
      <c r="E40" s="22" t="s">
        <v>924</v>
      </c>
      <c r="F40" s="22">
        <v>260992388591.39999</v>
      </c>
      <c r="G40" s="22">
        <v>298</v>
      </c>
      <c r="H40" s="22" t="s">
        <v>946</v>
      </c>
    </row>
    <row r="41" spans="1:8" x14ac:dyDescent="0.35">
      <c r="A41" s="22" t="s">
        <v>851</v>
      </c>
      <c r="B41" s="22" t="str">
        <f>"00066"</f>
        <v>00066</v>
      </c>
      <c r="C41" s="22" t="str">
        <f t="shared" si="0"/>
        <v>'0066.HK'</v>
      </c>
      <c r="D41" s="22" t="s">
        <v>947</v>
      </c>
      <c r="E41" s="22" t="s">
        <v>948</v>
      </c>
      <c r="F41" s="22">
        <v>259246140771.20001</v>
      </c>
      <c r="G41" s="22">
        <v>124</v>
      </c>
      <c r="H41" s="22" t="s">
        <v>949</v>
      </c>
    </row>
    <row r="42" spans="1:8" x14ac:dyDescent="0.35">
      <c r="A42" s="22" t="s">
        <v>851</v>
      </c>
      <c r="B42" s="22" t="str">
        <f>"02359"</f>
        <v>02359</v>
      </c>
      <c r="C42" s="22" t="str">
        <f t="shared" si="0"/>
        <v>'2359.HK'</v>
      </c>
      <c r="D42" s="22" t="s">
        <v>950</v>
      </c>
      <c r="E42" s="22" t="s">
        <v>941</v>
      </c>
      <c r="F42" s="22">
        <v>252677052069.75</v>
      </c>
      <c r="G42" s="22">
        <v>235</v>
      </c>
      <c r="H42" s="22" t="s">
        <v>951</v>
      </c>
    </row>
    <row r="43" spans="1:8" x14ac:dyDescent="0.35">
      <c r="A43" s="22" t="s">
        <v>851</v>
      </c>
      <c r="B43" s="22" t="str">
        <f>"06690"</f>
        <v>06690</v>
      </c>
      <c r="C43" s="22" t="str">
        <f t="shared" si="0"/>
        <v>'6690.HK'</v>
      </c>
      <c r="D43" s="22" t="s">
        <v>952</v>
      </c>
      <c r="E43" s="22" t="s">
        <v>953</v>
      </c>
      <c r="F43" s="22">
        <v>251361809673.79999</v>
      </c>
      <c r="G43" s="22">
        <v>57</v>
      </c>
      <c r="H43" s="22" t="s">
        <v>954</v>
      </c>
    </row>
    <row r="44" spans="1:8" x14ac:dyDescent="0.35">
      <c r="A44" s="22" t="s">
        <v>851</v>
      </c>
      <c r="B44" s="22" t="str">
        <f>"00011"</f>
        <v>00011</v>
      </c>
      <c r="C44" s="22" t="str">
        <f t="shared" si="0"/>
        <v>'0011.HK'</v>
      </c>
      <c r="D44" s="22" t="s">
        <v>955</v>
      </c>
      <c r="E44" s="22" t="s">
        <v>858</v>
      </c>
      <c r="F44" s="22">
        <v>248348371406.39999</v>
      </c>
      <c r="G44" s="22">
        <v>134</v>
      </c>
      <c r="H44" s="22" t="s">
        <v>956</v>
      </c>
    </row>
    <row r="45" spans="1:8" x14ac:dyDescent="0.35">
      <c r="A45" s="22" t="s">
        <v>851</v>
      </c>
      <c r="B45" s="22" t="str">
        <f>"00267"</f>
        <v>00267</v>
      </c>
      <c r="C45" s="22" t="str">
        <f t="shared" si="0"/>
        <v>'0267.HK'</v>
      </c>
      <c r="D45" s="22" t="s">
        <v>957</v>
      </c>
      <c r="E45" s="22" t="s">
        <v>958</v>
      </c>
      <c r="F45" s="22">
        <v>239412861444.89999</v>
      </c>
      <c r="G45" s="22">
        <v>205</v>
      </c>
      <c r="H45" s="22" t="s">
        <v>959</v>
      </c>
    </row>
    <row r="46" spans="1:8" x14ac:dyDescent="0.35">
      <c r="A46" s="22" t="s">
        <v>851</v>
      </c>
      <c r="B46" s="22" t="str">
        <f>"00027"</f>
        <v>00027</v>
      </c>
      <c r="C46" s="22" t="str">
        <f t="shared" si="0"/>
        <v>'0027.HK'</v>
      </c>
      <c r="D46" s="22" t="s">
        <v>960</v>
      </c>
      <c r="E46" s="22" t="s">
        <v>961</v>
      </c>
      <c r="F46" s="22">
        <v>234173680198.39999</v>
      </c>
      <c r="G46" s="22">
        <v>203</v>
      </c>
      <c r="H46" s="22" t="s">
        <v>962</v>
      </c>
    </row>
    <row r="47" spans="1:8" x14ac:dyDescent="0.35">
      <c r="A47" s="22" t="s">
        <v>851</v>
      </c>
      <c r="B47" s="22" t="str">
        <f>"06030"</f>
        <v>06030</v>
      </c>
      <c r="C47" s="22" t="str">
        <f t="shared" si="0"/>
        <v>'6030.HK'</v>
      </c>
      <c r="D47" s="22" t="s">
        <v>963</v>
      </c>
      <c r="E47" s="22" t="s">
        <v>964</v>
      </c>
      <c r="F47" s="22">
        <v>233868228961.62</v>
      </c>
      <c r="G47" s="22">
        <v>401</v>
      </c>
      <c r="H47" s="22" t="s">
        <v>965</v>
      </c>
    </row>
    <row r="48" spans="1:8" x14ac:dyDescent="0.35">
      <c r="A48" s="22" t="s">
        <v>851</v>
      </c>
      <c r="B48" s="22" t="str">
        <f>"00688"</f>
        <v>00688</v>
      </c>
      <c r="C48" s="22" t="str">
        <f t="shared" si="0"/>
        <v>'0688.HK'</v>
      </c>
      <c r="D48" s="22" t="s">
        <v>966</v>
      </c>
      <c r="E48" s="22" t="s">
        <v>924</v>
      </c>
      <c r="F48" s="22">
        <v>229842554235</v>
      </c>
      <c r="G48" s="22">
        <v>351</v>
      </c>
      <c r="H48" s="22" t="s">
        <v>967</v>
      </c>
    </row>
    <row r="49" spans="1:8" x14ac:dyDescent="0.35">
      <c r="A49" s="22" t="s">
        <v>851</v>
      </c>
      <c r="B49" s="22" t="str">
        <f>"06618"</f>
        <v>06618</v>
      </c>
      <c r="C49" s="22" t="str">
        <f t="shared" si="0"/>
        <v>'6618.HK'</v>
      </c>
      <c r="D49" s="22" t="s">
        <v>968</v>
      </c>
      <c r="E49" s="22" t="s">
        <v>969</v>
      </c>
      <c r="F49" s="22">
        <v>218937155392.35001</v>
      </c>
      <c r="G49" s="22">
        <v>218</v>
      </c>
      <c r="H49" s="22" t="s">
        <v>970</v>
      </c>
    </row>
    <row r="50" spans="1:8" x14ac:dyDescent="0.35">
      <c r="A50" s="22" t="s">
        <v>851</v>
      </c>
      <c r="B50" s="22" t="str">
        <f>"01928"</f>
        <v>01928</v>
      </c>
      <c r="C50" s="22" t="str">
        <f t="shared" si="0"/>
        <v>'1928.HK'</v>
      </c>
      <c r="D50" s="22" t="s">
        <v>971</v>
      </c>
      <c r="E50" s="22" t="s">
        <v>961</v>
      </c>
      <c r="F50" s="22">
        <v>217706780495.39999</v>
      </c>
      <c r="G50" s="22">
        <v>240</v>
      </c>
      <c r="H50" s="22" t="s">
        <v>972</v>
      </c>
    </row>
    <row r="51" spans="1:8" x14ac:dyDescent="0.35">
      <c r="A51" s="22" t="s">
        <v>851</v>
      </c>
      <c r="B51" s="22" t="str">
        <f>"02057"</f>
        <v>02057</v>
      </c>
      <c r="C51" s="22" t="str">
        <f t="shared" si="0"/>
        <v>'2057.HK'</v>
      </c>
      <c r="D51" s="22" t="s">
        <v>973</v>
      </c>
      <c r="E51" s="22" t="s">
        <v>974</v>
      </c>
      <c r="F51" s="22">
        <v>185257980000</v>
      </c>
      <c r="G51" s="22">
        <v>51</v>
      </c>
      <c r="H51" s="22" t="s">
        <v>975</v>
      </c>
    </row>
    <row r="52" spans="1:8" x14ac:dyDescent="0.35">
      <c r="A52" s="22" t="s">
        <v>851</v>
      </c>
      <c r="B52" s="22" t="str">
        <f>"06160"</f>
        <v>06160</v>
      </c>
      <c r="C52" s="22" t="str">
        <f t="shared" si="0"/>
        <v>'6160.HK'</v>
      </c>
      <c r="D52" s="22" t="s">
        <v>976</v>
      </c>
      <c r="E52" s="22" t="s">
        <v>941</v>
      </c>
      <c r="F52" s="22">
        <v>184568613968.10001</v>
      </c>
      <c r="G52" s="22">
        <v>237</v>
      </c>
      <c r="H52" s="22" t="s">
        <v>977</v>
      </c>
    </row>
    <row r="53" spans="1:8" x14ac:dyDescent="0.35">
      <c r="A53" s="22" t="s">
        <v>851</v>
      </c>
      <c r="B53" s="22" t="str">
        <f>"02331"</f>
        <v>02331</v>
      </c>
      <c r="C53" s="22" t="str">
        <f t="shared" si="0"/>
        <v>'2331.HK'</v>
      </c>
      <c r="D53" s="22" t="s">
        <v>978</v>
      </c>
      <c r="E53" s="22" t="s">
        <v>889</v>
      </c>
      <c r="F53" s="22">
        <v>182459973859.10001</v>
      </c>
      <c r="G53" s="22">
        <v>334</v>
      </c>
      <c r="H53" s="22" t="s">
        <v>979</v>
      </c>
    </row>
    <row r="54" spans="1:8" x14ac:dyDescent="0.35">
      <c r="A54" s="22" t="s">
        <v>851</v>
      </c>
      <c r="B54" s="22" t="str">
        <f>"09987"</f>
        <v>09987</v>
      </c>
      <c r="C54" s="22" t="str">
        <f t="shared" si="0"/>
        <v>'9987.HK'</v>
      </c>
      <c r="D54" s="22" t="s">
        <v>980</v>
      </c>
      <c r="E54" s="22" t="s">
        <v>981</v>
      </c>
      <c r="F54" s="22">
        <v>181475075854.39999</v>
      </c>
      <c r="G54" s="22">
        <v>32</v>
      </c>
      <c r="H54" s="22" t="s">
        <v>982</v>
      </c>
    </row>
    <row r="55" spans="1:8" x14ac:dyDescent="0.35">
      <c r="A55" s="22" t="s">
        <v>851</v>
      </c>
      <c r="B55" s="22" t="str">
        <f>"00001"</f>
        <v>00001</v>
      </c>
      <c r="C55" s="22" t="str">
        <f t="shared" si="0"/>
        <v>'0001.HK'</v>
      </c>
      <c r="D55" s="22" t="s">
        <v>983</v>
      </c>
      <c r="E55" s="22" t="s">
        <v>958</v>
      </c>
      <c r="F55" s="22">
        <v>181161104850</v>
      </c>
      <c r="G55" s="22">
        <v>176</v>
      </c>
      <c r="H55" s="22" t="s">
        <v>984</v>
      </c>
    </row>
    <row r="56" spans="1:8" x14ac:dyDescent="0.35">
      <c r="A56" s="22" t="s">
        <v>851</v>
      </c>
      <c r="B56" s="22" t="str">
        <f>"02202"</f>
        <v>02202</v>
      </c>
      <c r="C56" s="22" t="str">
        <f t="shared" si="0"/>
        <v>'2202.HK'</v>
      </c>
      <c r="D56" s="22" t="s">
        <v>985</v>
      </c>
      <c r="E56" s="22" t="s">
        <v>924</v>
      </c>
      <c r="F56" s="22">
        <v>180508610989.92001</v>
      </c>
      <c r="G56" s="22">
        <v>537</v>
      </c>
      <c r="H56" s="22" t="s">
        <v>986</v>
      </c>
    </row>
    <row r="57" spans="1:8" x14ac:dyDescent="0.35">
      <c r="A57" s="22" t="s">
        <v>851</v>
      </c>
      <c r="B57" s="22" t="str">
        <f>"00291"</f>
        <v>00291</v>
      </c>
      <c r="C57" s="22" t="str">
        <f t="shared" si="0"/>
        <v>'0291.HK'</v>
      </c>
      <c r="D57" s="22" t="s">
        <v>987</v>
      </c>
      <c r="E57" s="22" t="s">
        <v>917</v>
      </c>
      <c r="F57" s="22">
        <v>178267520929.75</v>
      </c>
      <c r="G57" s="22">
        <v>256</v>
      </c>
      <c r="H57" s="22" t="s">
        <v>988</v>
      </c>
    </row>
    <row r="58" spans="1:8" x14ac:dyDescent="0.35">
      <c r="A58" s="22" t="s">
        <v>851</v>
      </c>
      <c r="B58" s="22" t="str">
        <f>"02015"</f>
        <v>02015</v>
      </c>
      <c r="C58" s="22" t="str">
        <f t="shared" si="0"/>
        <v>'2015.HK'</v>
      </c>
      <c r="D58" s="22" t="s">
        <v>989</v>
      </c>
      <c r="E58" s="22" t="s">
        <v>886</v>
      </c>
      <c r="F58" s="22">
        <v>176876441093.89999</v>
      </c>
      <c r="G58" s="22">
        <v>78</v>
      </c>
      <c r="H58" s="22" t="s">
        <v>990</v>
      </c>
    </row>
    <row r="59" spans="1:8" x14ac:dyDescent="0.35">
      <c r="A59" s="22" t="s">
        <v>851</v>
      </c>
      <c r="B59" s="22" t="str">
        <f>"01113"</f>
        <v>01113</v>
      </c>
      <c r="C59" s="22" t="str">
        <f t="shared" si="0"/>
        <v>'1113.HK'</v>
      </c>
      <c r="D59" s="22" t="s">
        <v>991</v>
      </c>
      <c r="E59" s="22" t="s">
        <v>924</v>
      </c>
      <c r="F59" s="22">
        <v>173409655017.29999</v>
      </c>
      <c r="G59" s="22">
        <v>115</v>
      </c>
      <c r="H59" s="22" t="s">
        <v>992</v>
      </c>
    </row>
    <row r="60" spans="1:8" x14ac:dyDescent="0.35">
      <c r="A60" s="22" t="s">
        <v>851</v>
      </c>
      <c r="B60" s="22" t="str">
        <f>"09961"</f>
        <v>09961</v>
      </c>
      <c r="C60" s="22" t="str">
        <f t="shared" si="0"/>
        <v>'9961.HK'</v>
      </c>
      <c r="D60" s="22" t="s">
        <v>993</v>
      </c>
      <c r="E60" s="22" t="s">
        <v>897</v>
      </c>
      <c r="F60" s="22">
        <v>173261628000</v>
      </c>
      <c r="G60" s="22">
        <v>32</v>
      </c>
      <c r="H60" s="22" t="s">
        <v>994</v>
      </c>
    </row>
    <row r="61" spans="1:8" x14ac:dyDescent="0.35">
      <c r="A61" s="22" t="s">
        <v>851</v>
      </c>
      <c r="B61" s="22" t="str">
        <f>"00998"</f>
        <v>00998</v>
      </c>
      <c r="C61" s="22" t="str">
        <f t="shared" si="0"/>
        <v>'0998.HK'</v>
      </c>
      <c r="D61" s="22" t="s">
        <v>995</v>
      </c>
      <c r="E61" s="22" t="s">
        <v>858</v>
      </c>
      <c r="F61" s="22">
        <v>171271952799.5</v>
      </c>
      <c r="G61" s="22">
        <v>632</v>
      </c>
      <c r="H61" s="22" t="s">
        <v>996</v>
      </c>
    </row>
    <row r="62" spans="1:8" x14ac:dyDescent="0.35">
      <c r="A62" s="22" t="s">
        <v>851</v>
      </c>
      <c r="B62" s="22" t="str">
        <f>"02888"</f>
        <v>02888</v>
      </c>
      <c r="C62" s="22" t="str">
        <f t="shared" si="0"/>
        <v>'2888.HK'</v>
      </c>
      <c r="D62" s="22" t="s">
        <v>997</v>
      </c>
      <c r="E62" s="22" t="s">
        <v>858</v>
      </c>
      <c r="F62" s="22">
        <v>170500766459.5</v>
      </c>
      <c r="G62" s="22">
        <v>62</v>
      </c>
      <c r="H62" s="22" t="s">
        <v>998</v>
      </c>
    </row>
    <row r="63" spans="1:8" x14ac:dyDescent="0.35">
      <c r="A63" s="22" t="s">
        <v>851</v>
      </c>
      <c r="B63" s="22" t="str">
        <f>"02601"</f>
        <v>02601</v>
      </c>
      <c r="C63" s="22" t="str">
        <f t="shared" si="0"/>
        <v>'2601.HK'</v>
      </c>
      <c r="D63" s="22" t="s">
        <v>999</v>
      </c>
      <c r="E63" s="22" t="s">
        <v>870</v>
      </c>
      <c r="F63" s="22">
        <v>169510416437.10001</v>
      </c>
      <c r="G63" s="22">
        <v>612</v>
      </c>
      <c r="H63" s="22" t="s">
        <v>1000</v>
      </c>
    </row>
    <row r="64" spans="1:8" x14ac:dyDescent="0.35">
      <c r="A64" s="22" t="s">
        <v>851</v>
      </c>
      <c r="B64" s="22" t="str">
        <f>"01929"</f>
        <v>01929</v>
      </c>
      <c r="C64" s="22" t="str">
        <f t="shared" si="0"/>
        <v>'1929.HK'</v>
      </c>
      <c r="D64" s="22" t="s">
        <v>1001</v>
      </c>
      <c r="E64" s="22" t="s">
        <v>1002</v>
      </c>
      <c r="F64" s="22">
        <v>164600000000</v>
      </c>
      <c r="G64" s="22">
        <v>123</v>
      </c>
      <c r="H64" s="22" t="s">
        <v>1003</v>
      </c>
    </row>
    <row r="65" spans="1:8" x14ac:dyDescent="0.35">
      <c r="A65" s="22" t="s">
        <v>851</v>
      </c>
      <c r="B65" s="22" t="str">
        <f>"02328"</f>
        <v>02328</v>
      </c>
      <c r="C65" s="22" t="str">
        <f t="shared" si="0"/>
        <v>'2328.HK'</v>
      </c>
      <c r="D65" s="22" t="s">
        <v>1004</v>
      </c>
      <c r="E65" s="22" t="s">
        <v>870</v>
      </c>
      <c r="F65" s="22">
        <v>164151607936.14001</v>
      </c>
      <c r="G65" s="22">
        <v>295</v>
      </c>
      <c r="H65" s="22" t="s">
        <v>1005</v>
      </c>
    </row>
    <row r="66" spans="1:8" x14ac:dyDescent="0.35">
      <c r="A66" s="22" t="s">
        <v>851</v>
      </c>
      <c r="B66" s="22" t="str">
        <f>"00669"</f>
        <v>00669</v>
      </c>
      <c r="C66" s="22" t="str">
        <f t="shared" si="0"/>
        <v>'0669.HK'</v>
      </c>
      <c r="D66" s="22" t="s">
        <v>1006</v>
      </c>
      <c r="E66" s="22" t="s">
        <v>953</v>
      </c>
      <c r="F66" s="22">
        <v>162095563087.35001</v>
      </c>
      <c r="G66" s="22">
        <v>125</v>
      </c>
      <c r="H66" s="22" t="s">
        <v>1007</v>
      </c>
    </row>
    <row r="67" spans="1:8" x14ac:dyDescent="0.35">
      <c r="A67" s="22" t="s">
        <v>851</v>
      </c>
      <c r="B67" s="22" t="str">
        <f>"00762"</f>
        <v>00762</v>
      </c>
      <c r="C67" s="22" t="str">
        <f t="shared" ref="C67:C130" si="1">CONCATENATE("'",RIGHT(B67,4),".HK'")</f>
        <v>'0762.HK'</v>
      </c>
      <c r="D67" s="22" t="s">
        <v>1008</v>
      </c>
      <c r="E67" s="22" t="s">
        <v>865</v>
      </c>
      <c r="F67" s="22">
        <v>158498284107.10001</v>
      </c>
      <c r="G67" s="22">
        <v>242</v>
      </c>
      <c r="H67" s="22" t="s">
        <v>1009</v>
      </c>
    </row>
    <row r="68" spans="1:8" x14ac:dyDescent="0.35">
      <c r="A68" s="22" t="s">
        <v>851</v>
      </c>
      <c r="B68" s="22" t="str">
        <f>"00960"</f>
        <v>00960</v>
      </c>
      <c r="C68" s="22" t="str">
        <f t="shared" si="1"/>
        <v>'0960.HK'</v>
      </c>
      <c r="D68" s="22" t="s">
        <v>1010</v>
      </c>
      <c r="E68" s="22" t="s">
        <v>924</v>
      </c>
      <c r="F68" s="22">
        <v>151699240072.79999</v>
      </c>
      <c r="G68" s="22">
        <v>315</v>
      </c>
      <c r="H68" s="22" t="s">
        <v>1011</v>
      </c>
    </row>
    <row r="69" spans="1:8" x14ac:dyDescent="0.35">
      <c r="A69" s="22" t="s">
        <v>851</v>
      </c>
      <c r="B69" s="22" t="str">
        <f>"00788"</f>
        <v>00788</v>
      </c>
      <c r="C69" s="22" t="str">
        <f t="shared" si="1"/>
        <v>'0788.HK'</v>
      </c>
      <c r="D69" s="22" t="s">
        <v>1012</v>
      </c>
      <c r="E69" s="22" t="s">
        <v>1013</v>
      </c>
      <c r="F69" s="22">
        <v>151367285080.64001</v>
      </c>
      <c r="G69" s="22">
        <v>183</v>
      </c>
      <c r="H69" s="22" t="s">
        <v>1014</v>
      </c>
    </row>
    <row r="70" spans="1:8" x14ac:dyDescent="0.35">
      <c r="A70" s="22" t="s">
        <v>851</v>
      </c>
      <c r="B70" s="22" t="str">
        <f>"00914"</f>
        <v>00914</v>
      </c>
      <c r="C70" s="22" t="str">
        <f t="shared" si="1"/>
        <v>'0914.HK'</v>
      </c>
      <c r="D70" s="22" t="s">
        <v>1015</v>
      </c>
      <c r="E70" s="22" t="s">
        <v>1016</v>
      </c>
      <c r="F70" s="22">
        <v>147055646567.25</v>
      </c>
      <c r="G70" s="22">
        <v>460</v>
      </c>
      <c r="H70" s="22" t="s">
        <v>1017</v>
      </c>
    </row>
    <row r="71" spans="1:8" x14ac:dyDescent="0.35">
      <c r="A71" s="22" t="s">
        <v>851</v>
      </c>
      <c r="B71" s="22" t="str">
        <f>"02319"</f>
        <v>02319</v>
      </c>
      <c r="C71" s="22" t="str">
        <f t="shared" si="1"/>
        <v>'2319.HK'</v>
      </c>
      <c r="D71" s="22" t="s">
        <v>1018</v>
      </c>
      <c r="E71" s="22" t="s">
        <v>1019</v>
      </c>
      <c r="F71" s="22">
        <v>143969039177.60001</v>
      </c>
      <c r="G71" s="22">
        <v>771</v>
      </c>
      <c r="H71" s="22" t="s">
        <v>1020</v>
      </c>
    </row>
    <row r="72" spans="1:8" x14ac:dyDescent="0.35">
      <c r="A72" s="22" t="s">
        <v>851</v>
      </c>
      <c r="B72" s="22" t="str">
        <f>"00002"</f>
        <v>00002</v>
      </c>
      <c r="C72" s="22" t="str">
        <f t="shared" si="1"/>
        <v>'0002.HK'</v>
      </c>
      <c r="D72" s="22" t="s">
        <v>1021</v>
      </c>
      <c r="E72" s="22" t="s">
        <v>1022</v>
      </c>
      <c r="F72" s="22">
        <v>143881359961.5</v>
      </c>
      <c r="G72" s="22">
        <v>100</v>
      </c>
      <c r="H72" s="22" t="s">
        <v>1023</v>
      </c>
    </row>
    <row r="73" spans="1:8" x14ac:dyDescent="0.35">
      <c r="A73" s="22" t="s">
        <v>851</v>
      </c>
      <c r="B73" s="22" t="str">
        <f>"02423"</f>
        <v>02423</v>
      </c>
      <c r="C73" s="22" t="str">
        <f t="shared" si="1"/>
        <v>'2423.HK'</v>
      </c>
      <c r="D73" s="22" t="s">
        <v>1024</v>
      </c>
      <c r="E73" s="22" t="s">
        <v>1025</v>
      </c>
      <c r="F73" s="22">
        <v>141675626397.5</v>
      </c>
      <c r="G73" s="22">
        <v>9</v>
      </c>
      <c r="H73" s="22" t="s">
        <v>1026</v>
      </c>
    </row>
    <row r="74" spans="1:8" x14ac:dyDescent="0.35">
      <c r="A74" s="22" t="s">
        <v>851</v>
      </c>
      <c r="B74" s="22" t="str">
        <f>"01997"</f>
        <v>01997</v>
      </c>
      <c r="C74" s="22" t="str">
        <f t="shared" si="1"/>
        <v>'1997.HK'</v>
      </c>
      <c r="D74" s="22" t="s">
        <v>1027</v>
      </c>
      <c r="E74" s="22" t="s">
        <v>1028</v>
      </c>
      <c r="F74" s="22">
        <v>141032759339.14999</v>
      </c>
      <c r="G74" s="22">
        <v>57</v>
      </c>
      <c r="H74" s="22" t="s">
        <v>1029</v>
      </c>
    </row>
    <row r="75" spans="1:8" x14ac:dyDescent="0.35">
      <c r="A75" s="22" t="s">
        <v>851</v>
      </c>
      <c r="B75" s="22" t="str">
        <f>"00003"</f>
        <v>00003</v>
      </c>
      <c r="C75" s="22" t="str">
        <f t="shared" si="1"/>
        <v>'0003.HK'</v>
      </c>
      <c r="D75" s="22" t="s">
        <v>1030</v>
      </c>
      <c r="E75" s="22" t="s">
        <v>1031</v>
      </c>
      <c r="F75" s="22">
        <v>140508821837.94</v>
      </c>
      <c r="G75" s="22">
        <v>102</v>
      </c>
      <c r="H75" s="22" t="s">
        <v>1032</v>
      </c>
    </row>
    <row r="76" spans="1:8" x14ac:dyDescent="0.35">
      <c r="A76" s="22" t="s">
        <v>851</v>
      </c>
      <c r="B76" s="22" t="str">
        <f>"09866"</f>
        <v>09866</v>
      </c>
      <c r="C76" s="22" t="str">
        <f t="shared" si="1"/>
        <v>'9866.HK'</v>
      </c>
      <c r="D76" s="22" t="s">
        <v>1033</v>
      </c>
      <c r="E76" s="22" t="s">
        <v>886</v>
      </c>
      <c r="F76" s="22">
        <v>135721658000</v>
      </c>
      <c r="G76" s="22">
        <v>39</v>
      </c>
      <c r="H76" s="22" t="s">
        <v>1034</v>
      </c>
    </row>
    <row r="77" spans="1:8" x14ac:dyDescent="0.35">
      <c r="A77" s="22" t="s">
        <v>851</v>
      </c>
      <c r="B77" s="22" t="str">
        <f>"00012"</f>
        <v>00012</v>
      </c>
      <c r="C77" s="22" t="str">
        <f t="shared" si="1"/>
        <v>'0012.HK'</v>
      </c>
      <c r="D77" s="22" t="s">
        <v>1035</v>
      </c>
      <c r="E77" s="22" t="s">
        <v>924</v>
      </c>
      <c r="F77" s="22">
        <v>133622281282.8</v>
      </c>
      <c r="G77" s="22">
        <v>81</v>
      </c>
      <c r="H77" s="22" t="s">
        <v>1036</v>
      </c>
    </row>
    <row r="78" spans="1:8" x14ac:dyDescent="0.35">
      <c r="A78" s="22" t="s">
        <v>851</v>
      </c>
      <c r="B78" s="22" t="str">
        <f>"02313"</f>
        <v>02313</v>
      </c>
      <c r="C78" s="22" t="str">
        <f t="shared" si="1"/>
        <v>'2313.HK'</v>
      </c>
      <c r="D78" s="22" t="s">
        <v>1037</v>
      </c>
      <c r="E78" s="22" t="s">
        <v>889</v>
      </c>
      <c r="F78" s="22">
        <v>133260665494.05</v>
      </c>
      <c r="G78" s="22">
        <v>273</v>
      </c>
      <c r="H78" s="22" t="s">
        <v>1038</v>
      </c>
    </row>
    <row r="79" spans="1:8" x14ac:dyDescent="0.35">
      <c r="A79" s="22" t="s">
        <v>851</v>
      </c>
      <c r="B79" s="22" t="str">
        <f>"00981"</f>
        <v>00981</v>
      </c>
      <c r="C79" s="22" t="str">
        <f t="shared" si="1"/>
        <v>'0981.HK'</v>
      </c>
      <c r="D79" s="22" t="s">
        <v>1039</v>
      </c>
      <c r="E79" s="22" t="s">
        <v>1040</v>
      </c>
      <c r="F79" s="22">
        <v>133089004612.48</v>
      </c>
      <c r="G79" s="22">
        <v>862</v>
      </c>
      <c r="H79" s="22" t="s">
        <v>1041</v>
      </c>
    </row>
    <row r="80" spans="1:8" x14ac:dyDescent="0.35">
      <c r="A80" s="22" t="s">
        <v>851</v>
      </c>
      <c r="B80" s="22" t="str">
        <f>"06818"</f>
        <v>06818</v>
      </c>
      <c r="C80" s="22" t="str">
        <f t="shared" si="1"/>
        <v>'6818.HK'</v>
      </c>
      <c r="D80" s="22" t="s">
        <v>1042</v>
      </c>
      <c r="E80" s="22" t="s">
        <v>858</v>
      </c>
      <c r="F80" s="22">
        <v>130757276964.60001</v>
      </c>
      <c r="G80" s="22">
        <v>336</v>
      </c>
      <c r="H80" s="22" t="s">
        <v>1043</v>
      </c>
    </row>
    <row r="81" spans="1:8" x14ac:dyDescent="0.35">
      <c r="A81" s="22" t="s">
        <v>851</v>
      </c>
      <c r="B81" s="22" t="str">
        <f>"02688"</f>
        <v>02688</v>
      </c>
      <c r="C81" s="22" t="str">
        <f t="shared" si="1"/>
        <v>'2688.HK'</v>
      </c>
      <c r="D81" s="22" t="s">
        <v>1044</v>
      </c>
      <c r="E81" s="22" t="s">
        <v>1031</v>
      </c>
      <c r="F81" s="22">
        <v>128242356165</v>
      </c>
      <c r="G81" s="22">
        <v>146</v>
      </c>
      <c r="H81" s="22" t="s">
        <v>1045</v>
      </c>
    </row>
    <row r="82" spans="1:8" x14ac:dyDescent="0.35">
      <c r="A82" s="22" t="s">
        <v>851</v>
      </c>
      <c r="B82" s="22" t="str">
        <f>"01919"</f>
        <v>01919</v>
      </c>
      <c r="C82" s="22" t="str">
        <f t="shared" si="1"/>
        <v>'1919.HK'</v>
      </c>
      <c r="D82" s="22" t="s">
        <v>1046</v>
      </c>
      <c r="E82" s="22" t="s">
        <v>1047</v>
      </c>
      <c r="F82" s="22">
        <v>127791743550.25999</v>
      </c>
      <c r="G82" s="22">
        <v>194</v>
      </c>
      <c r="H82" s="22" t="s">
        <v>1048</v>
      </c>
    </row>
    <row r="83" spans="1:8" x14ac:dyDescent="0.35">
      <c r="A83" s="22" t="s">
        <v>851</v>
      </c>
      <c r="B83" s="22" t="str">
        <f>"06862"</f>
        <v>06862</v>
      </c>
      <c r="C83" s="22" t="str">
        <f t="shared" si="1"/>
        <v>'6862.HK'</v>
      </c>
      <c r="D83" s="22" t="s">
        <v>1049</v>
      </c>
      <c r="E83" s="22" t="s">
        <v>981</v>
      </c>
      <c r="F83" s="22">
        <v>127087200000</v>
      </c>
      <c r="G83" s="22">
        <v>623</v>
      </c>
      <c r="H83" s="22" t="s">
        <v>1050</v>
      </c>
    </row>
    <row r="84" spans="1:8" x14ac:dyDescent="0.35">
      <c r="A84" s="22" t="s">
        <v>851</v>
      </c>
      <c r="B84" s="22" t="str">
        <f>"00823"</f>
        <v>00823</v>
      </c>
      <c r="C84" s="22" t="str">
        <f t="shared" si="1"/>
        <v>'0823.HK'</v>
      </c>
      <c r="D84" s="22" t="s">
        <v>1051</v>
      </c>
      <c r="F84" s="22">
        <v>122656327669.8</v>
      </c>
      <c r="G84" s="22">
        <v>216</v>
      </c>
      <c r="H84" s="22" t="s">
        <v>1052</v>
      </c>
    </row>
    <row r="85" spans="1:8" x14ac:dyDescent="0.35">
      <c r="A85" s="22" t="s">
        <v>851</v>
      </c>
      <c r="B85" s="22" t="str">
        <f>"01972"</f>
        <v>01972</v>
      </c>
      <c r="C85" s="22" t="str">
        <f t="shared" si="1"/>
        <v>'1972.HK'</v>
      </c>
      <c r="D85" s="22" t="s">
        <v>1053</v>
      </c>
      <c r="E85" s="22" t="s">
        <v>1028</v>
      </c>
      <c r="F85" s="22">
        <v>120802500000</v>
      </c>
      <c r="G85" s="22">
        <v>71</v>
      </c>
      <c r="H85" s="22" t="s">
        <v>1054</v>
      </c>
    </row>
    <row r="86" spans="1:8" x14ac:dyDescent="0.35">
      <c r="A86" s="22" t="s">
        <v>851</v>
      </c>
      <c r="B86" s="22" t="str">
        <f>"01988"</f>
        <v>01988</v>
      </c>
      <c r="C86" s="22" t="str">
        <f t="shared" si="1"/>
        <v>'1988.HK'</v>
      </c>
      <c r="D86" s="22" t="s">
        <v>1055</v>
      </c>
      <c r="E86" s="22" t="s">
        <v>858</v>
      </c>
      <c r="F86" s="22">
        <v>119963826695.48</v>
      </c>
      <c r="G86" s="22">
        <v>880</v>
      </c>
      <c r="H86" s="22" t="s">
        <v>1056</v>
      </c>
    </row>
    <row r="87" spans="1:8" x14ac:dyDescent="0.35">
      <c r="A87" s="22" t="s">
        <v>851</v>
      </c>
      <c r="B87" s="22" t="str">
        <f>"00175"</f>
        <v>00175</v>
      </c>
      <c r="C87" s="22" t="str">
        <f t="shared" si="1"/>
        <v>'0175.HK'</v>
      </c>
      <c r="D87" s="22" t="s">
        <v>1057</v>
      </c>
      <c r="E87" s="22" t="s">
        <v>886</v>
      </c>
      <c r="F87" s="22">
        <v>119275709101.96001</v>
      </c>
      <c r="G87" s="22">
        <v>708</v>
      </c>
      <c r="H87" s="22" t="s">
        <v>1058</v>
      </c>
    </row>
    <row r="88" spans="1:8" x14ac:dyDescent="0.35">
      <c r="A88" s="22" t="s">
        <v>851</v>
      </c>
      <c r="B88" s="22" t="str">
        <f>"01772"</f>
        <v>01772</v>
      </c>
      <c r="C88" s="22" t="str">
        <f t="shared" si="1"/>
        <v>'1772.HK'</v>
      </c>
      <c r="D88" s="22" t="s">
        <v>1059</v>
      </c>
      <c r="E88" s="22" t="s">
        <v>1060</v>
      </c>
      <c r="F88" s="22">
        <v>118495169716.25</v>
      </c>
      <c r="G88" s="22">
        <v>112</v>
      </c>
      <c r="H88" s="22" t="s">
        <v>1061</v>
      </c>
    </row>
    <row r="89" spans="1:8" x14ac:dyDescent="0.35">
      <c r="A89" s="22" t="s">
        <v>851</v>
      </c>
      <c r="B89" s="22" t="str">
        <f>"01171"</f>
        <v>01171</v>
      </c>
      <c r="C89" s="22" t="str">
        <f t="shared" si="1"/>
        <v>'1171.HK'</v>
      </c>
      <c r="D89" s="22" t="s">
        <v>1062</v>
      </c>
      <c r="E89" s="22" t="s">
        <v>904</v>
      </c>
      <c r="F89" s="22">
        <v>117779146632</v>
      </c>
      <c r="G89" s="22">
        <v>399</v>
      </c>
      <c r="H89" s="22" t="s">
        <v>1063</v>
      </c>
    </row>
    <row r="90" spans="1:8" x14ac:dyDescent="0.35">
      <c r="A90" s="22" t="s">
        <v>851</v>
      </c>
      <c r="B90" s="22" t="str">
        <f>"01913"</f>
        <v>01913</v>
      </c>
      <c r="C90" s="22" t="str">
        <f t="shared" si="1"/>
        <v>'1913.HK'</v>
      </c>
      <c r="D90" s="22" t="s">
        <v>1064</v>
      </c>
      <c r="E90" s="22" t="s">
        <v>1065</v>
      </c>
      <c r="F90" s="22">
        <v>116170609600</v>
      </c>
      <c r="G90" s="22">
        <v>27</v>
      </c>
      <c r="H90" s="22" t="s">
        <v>1066</v>
      </c>
    </row>
    <row r="91" spans="1:8" x14ac:dyDescent="0.35">
      <c r="A91" s="22" t="s">
        <v>851</v>
      </c>
      <c r="B91" s="22" t="str">
        <f>"01339"</f>
        <v>01339</v>
      </c>
      <c r="C91" s="22" t="str">
        <f t="shared" si="1"/>
        <v>'1339.HK'</v>
      </c>
      <c r="D91" s="22" t="s">
        <v>1067</v>
      </c>
      <c r="E91" s="22" t="s">
        <v>870</v>
      </c>
      <c r="F91" s="22">
        <v>115866855327.46001</v>
      </c>
      <c r="G91" s="22">
        <v>534</v>
      </c>
      <c r="H91" s="22" t="s">
        <v>1068</v>
      </c>
    </row>
    <row r="92" spans="1:8" x14ac:dyDescent="0.35">
      <c r="A92" s="22" t="s">
        <v>851</v>
      </c>
      <c r="B92" s="22" t="str">
        <f>"01179"</f>
        <v>01179</v>
      </c>
      <c r="C92" s="22" t="str">
        <f t="shared" si="1"/>
        <v>'1179.HK'</v>
      </c>
      <c r="D92" s="22" t="s">
        <v>1069</v>
      </c>
      <c r="E92" s="22" t="s">
        <v>1070</v>
      </c>
      <c r="F92" s="22">
        <v>111584442000</v>
      </c>
      <c r="G92" s="22">
        <v>36</v>
      </c>
      <c r="H92" s="22" t="s">
        <v>1071</v>
      </c>
    </row>
    <row r="93" spans="1:8" x14ac:dyDescent="0.35">
      <c r="A93" s="22" t="s">
        <v>851</v>
      </c>
      <c r="B93" s="22" t="str">
        <f>"00168"</f>
        <v>00168</v>
      </c>
      <c r="C93" s="22" t="str">
        <f t="shared" si="1"/>
        <v>'0168.HK'</v>
      </c>
      <c r="D93" s="22" t="s">
        <v>1072</v>
      </c>
      <c r="E93" s="22" t="s">
        <v>917</v>
      </c>
      <c r="F93" s="22">
        <v>106556109333.3</v>
      </c>
      <c r="G93" s="22">
        <v>152</v>
      </c>
      <c r="H93" s="22" t="s">
        <v>1073</v>
      </c>
    </row>
    <row r="94" spans="1:8" x14ac:dyDescent="0.35">
      <c r="A94" s="22" t="s">
        <v>851</v>
      </c>
      <c r="B94" s="22" t="str">
        <f>"02382"</f>
        <v>02382</v>
      </c>
      <c r="C94" s="22" t="str">
        <f t="shared" si="1"/>
        <v>'2382.HK'</v>
      </c>
      <c r="D94" s="22" t="s">
        <v>1074</v>
      </c>
      <c r="E94" s="22" t="s">
        <v>1075</v>
      </c>
      <c r="F94" s="22">
        <v>105187886230</v>
      </c>
      <c r="G94" s="22">
        <v>552</v>
      </c>
      <c r="H94" s="22" t="s">
        <v>1076</v>
      </c>
    </row>
    <row r="95" spans="1:8" x14ac:dyDescent="0.35">
      <c r="A95" s="22" t="s">
        <v>851</v>
      </c>
      <c r="B95" s="22" t="str">
        <f>"00390"</f>
        <v>00390</v>
      </c>
      <c r="C95" s="22" t="str">
        <f t="shared" si="1"/>
        <v>'0390.HK'</v>
      </c>
      <c r="D95" s="22" t="s">
        <v>1077</v>
      </c>
      <c r="E95" s="22" t="s">
        <v>1078</v>
      </c>
      <c r="F95" s="22">
        <v>104460089382.25999</v>
      </c>
      <c r="G95" s="22">
        <v>253</v>
      </c>
      <c r="H95" s="22" t="s">
        <v>1079</v>
      </c>
    </row>
    <row r="96" spans="1:8" x14ac:dyDescent="0.35">
      <c r="A96" s="22" t="s">
        <v>851</v>
      </c>
      <c r="B96" s="22" t="str">
        <f>"00753"</f>
        <v>00753</v>
      </c>
      <c r="C96" s="22" t="str">
        <f t="shared" si="1"/>
        <v>'0753.HK'</v>
      </c>
      <c r="D96" s="22" t="s">
        <v>1080</v>
      </c>
      <c r="E96" s="22" t="s">
        <v>1081</v>
      </c>
      <c r="F96" s="22">
        <v>104142924876.45</v>
      </c>
      <c r="G96" s="22">
        <v>127</v>
      </c>
      <c r="H96" s="22" t="s">
        <v>1082</v>
      </c>
    </row>
    <row r="97" spans="1:8" x14ac:dyDescent="0.35">
      <c r="A97" s="22" t="s">
        <v>851</v>
      </c>
      <c r="B97" s="22" t="str">
        <f>"01038"</f>
        <v>01038</v>
      </c>
      <c r="C97" s="22" t="str">
        <f t="shared" si="1"/>
        <v>'1038.HK'</v>
      </c>
      <c r="D97" s="22" t="s">
        <v>1083</v>
      </c>
      <c r="E97" s="22" t="s">
        <v>1022</v>
      </c>
      <c r="F97" s="22">
        <v>103556009839.5</v>
      </c>
      <c r="G97" s="22">
        <v>108</v>
      </c>
      <c r="H97" s="22" t="s">
        <v>1084</v>
      </c>
    </row>
    <row r="98" spans="1:8" x14ac:dyDescent="0.35">
      <c r="A98" s="22" t="s">
        <v>851</v>
      </c>
      <c r="B98" s="22" t="str">
        <f>"02618"</f>
        <v>02618</v>
      </c>
      <c r="C98" s="22" t="str">
        <f t="shared" si="1"/>
        <v>'2618.HK'</v>
      </c>
      <c r="D98" s="22" t="s">
        <v>1085</v>
      </c>
      <c r="E98" s="22" t="s">
        <v>1086</v>
      </c>
      <c r="F98" s="22">
        <v>102658372372.32001</v>
      </c>
      <c r="G98" s="22">
        <v>82</v>
      </c>
      <c r="H98" s="22" t="s">
        <v>1087</v>
      </c>
    </row>
    <row r="99" spans="1:8" x14ac:dyDescent="0.35">
      <c r="A99" s="22" t="s">
        <v>851</v>
      </c>
      <c r="B99" s="22" t="str">
        <f>"00881"</f>
        <v>00881</v>
      </c>
      <c r="C99" s="22" t="str">
        <f t="shared" si="1"/>
        <v>'0881.HK'</v>
      </c>
      <c r="D99" s="22" t="s">
        <v>1088</v>
      </c>
      <c r="E99" s="22" t="s">
        <v>1089</v>
      </c>
      <c r="F99" s="22">
        <v>100524684993.95</v>
      </c>
      <c r="G99" s="22">
        <v>111</v>
      </c>
      <c r="H99" s="22" t="s">
        <v>1090</v>
      </c>
    </row>
    <row r="100" spans="1:8" x14ac:dyDescent="0.35">
      <c r="A100" s="22" t="s">
        <v>851</v>
      </c>
      <c r="B100" s="22" t="str">
        <f>"01093"</f>
        <v>01093</v>
      </c>
      <c r="C100" s="22" t="str">
        <f t="shared" si="1"/>
        <v>'1093.HK'</v>
      </c>
      <c r="D100" s="22" t="s">
        <v>1091</v>
      </c>
      <c r="E100" s="22" t="s">
        <v>969</v>
      </c>
      <c r="F100" s="22">
        <v>99284388170.240005</v>
      </c>
      <c r="G100" s="22">
        <v>552</v>
      </c>
      <c r="H100" s="22" t="s">
        <v>1092</v>
      </c>
    </row>
    <row r="101" spans="1:8" x14ac:dyDescent="0.35">
      <c r="A101" s="22" t="s">
        <v>851</v>
      </c>
      <c r="B101" s="22" t="str">
        <f>"09626"</f>
        <v>09626</v>
      </c>
      <c r="C101" s="22" t="str">
        <f t="shared" si="1"/>
        <v>'9626.HK'</v>
      </c>
      <c r="D101" s="22" t="s">
        <v>1093</v>
      </c>
      <c r="E101" s="22" t="s">
        <v>910</v>
      </c>
      <c r="F101" s="22">
        <v>97776093096</v>
      </c>
      <c r="G101" s="22">
        <v>175</v>
      </c>
      <c r="H101" s="22" t="s">
        <v>1094</v>
      </c>
    </row>
    <row r="102" spans="1:8" x14ac:dyDescent="0.35">
      <c r="A102" s="22" t="s">
        <v>851</v>
      </c>
      <c r="B102" s="22" t="str">
        <f>"00019"</f>
        <v>00019</v>
      </c>
      <c r="C102" s="22" t="str">
        <f t="shared" si="1"/>
        <v>'0019.HK'</v>
      </c>
      <c r="D102" s="22" t="s">
        <v>1095</v>
      </c>
      <c r="E102" s="22" t="s">
        <v>958</v>
      </c>
      <c r="F102" s="22">
        <v>96985235050</v>
      </c>
      <c r="G102" s="22">
        <v>74</v>
      </c>
      <c r="H102" s="22" t="s">
        <v>1096</v>
      </c>
    </row>
    <row r="103" spans="1:8" x14ac:dyDescent="0.35">
      <c r="A103" s="22" t="s">
        <v>851</v>
      </c>
      <c r="B103" s="22" t="str">
        <f>"01055"</f>
        <v>01055</v>
      </c>
      <c r="C103" s="22" t="str">
        <f t="shared" si="1"/>
        <v>'1055.HK'</v>
      </c>
      <c r="D103" s="22" t="s">
        <v>1097</v>
      </c>
      <c r="E103" s="22" t="s">
        <v>1081</v>
      </c>
      <c r="F103" s="22">
        <v>96040716766.800003</v>
      </c>
      <c r="G103" s="22">
        <v>179</v>
      </c>
      <c r="H103" s="22" t="s">
        <v>1098</v>
      </c>
    </row>
    <row r="104" spans="1:8" x14ac:dyDescent="0.35">
      <c r="A104" s="22" t="s">
        <v>851</v>
      </c>
      <c r="B104" s="22" t="str">
        <f>"01816"</f>
        <v>01816</v>
      </c>
      <c r="C104" s="22" t="str">
        <f t="shared" si="1"/>
        <v>'1816.HK'</v>
      </c>
      <c r="D104" s="22" t="s">
        <v>1099</v>
      </c>
      <c r="E104" s="22" t="s">
        <v>1022</v>
      </c>
      <c r="F104" s="22">
        <v>95947361090</v>
      </c>
      <c r="G104" s="22">
        <v>359</v>
      </c>
      <c r="H104" s="22" t="s">
        <v>1100</v>
      </c>
    </row>
    <row r="105" spans="1:8" x14ac:dyDescent="0.35">
      <c r="A105" s="22" t="s">
        <v>851</v>
      </c>
      <c r="B105" s="22" t="str">
        <f>"09696"</f>
        <v>09696</v>
      </c>
      <c r="C105" s="22" t="str">
        <f t="shared" si="1"/>
        <v>'9696.HK'</v>
      </c>
      <c r="D105" s="22" t="s">
        <v>1101</v>
      </c>
      <c r="E105" s="22" t="s">
        <v>1060</v>
      </c>
      <c r="F105" s="22">
        <v>94698485339.100006</v>
      </c>
      <c r="G105" s="22">
        <v>7</v>
      </c>
      <c r="H105" s="22" t="s">
        <v>1102</v>
      </c>
    </row>
    <row r="106" spans="1:8" x14ac:dyDescent="0.35">
      <c r="A106" s="22" t="s">
        <v>851</v>
      </c>
      <c r="B106" s="22" t="str">
        <f>"01209"</f>
        <v>01209</v>
      </c>
      <c r="C106" s="22" t="str">
        <f t="shared" si="1"/>
        <v>'1209.HK'</v>
      </c>
      <c r="D106" s="22" t="s">
        <v>1103</v>
      </c>
      <c r="E106" s="22" t="s">
        <v>1104</v>
      </c>
      <c r="F106" s="22">
        <v>94609625000</v>
      </c>
      <c r="G106" s="22">
        <v>67</v>
      </c>
      <c r="H106" s="22" t="s">
        <v>1105</v>
      </c>
    </row>
    <row r="107" spans="1:8" x14ac:dyDescent="0.35">
      <c r="A107" s="22" t="s">
        <v>851</v>
      </c>
      <c r="B107" s="22" t="str">
        <f>"02333"</f>
        <v>02333</v>
      </c>
      <c r="C107" s="22" t="str">
        <f t="shared" si="1"/>
        <v>'2333.HK'</v>
      </c>
      <c r="D107" s="22" t="s">
        <v>1106</v>
      </c>
      <c r="E107" s="22" t="s">
        <v>886</v>
      </c>
      <c r="F107" s="22">
        <v>93971682191.520004</v>
      </c>
      <c r="G107" s="22">
        <v>581</v>
      </c>
      <c r="H107" s="22" t="s">
        <v>1107</v>
      </c>
    </row>
    <row r="108" spans="1:8" x14ac:dyDescent="0.35">
      <c r="A108" s="22" t="s">
        <v>851</v>
      </c>
      <c r="B108" s="22" t="str">
        <f>"02338"</f>
        <v>02338</v>
      </c>
      <c r="C108" s="22" t="str">
        <f t="shared" si="1"/>
        <v>'2338.HK'</v>
      </c>
      <c r="D108" s="22" t="s">
        <v>1108</v>
      </c>
      <c r="E108" s="22" t="s">
        <v>1109</v>
      </c>
      <c r="F108" s="22">
        <v>93723220257.539993</v>
      </c>
      <c r="G108" s="22">
        <v>194</v>
      </c>
      <c r="H108" s="22" t="s">
        <v>1110</v>
      </c>
    </row>
    <row r="109" spans="1:8" x14ac:dyDescent="0.35">
      <c r="A109" s="22" t="s">
        <v>851</v>
      </c>
      <c r="B109" s="22" t="str">
        <f>"00316"</f>
        <v>00316</v>
      </c>
      <c r="C109" s="22" t="str">
        <f t="shared" si="1"/>
        <v>'0316.HK'</v>
      </c>
      <c r="D109" s="22" t="s">
        <v>1111</v>
      </c>
      <c r="E109" s="22" t="s">
        <v>1047</v>
      </c>
      <c r="F109" s="22">
        <v>93574896184.899994</v>
      </c>
      <c r="G109" s="22">
        <v>55</v>
      </c>
      <c r="H109" s="22" t="s">
        <v>1112</v>
      </c>
    </row>
    <row r="110" spans="1:8" x14ac:dyDescent="0.35">
      <c r="A110" s="22" t="s">
        <v>851</v>
      </c>
      <c r="B110" s="22" t="str">
        <f>"00006"</f>
        <v>00006</v>
      </c>
      <c r="C110" s="22" t="str">
        <f t="shared" si="1"/>
        <v>'0006.HK'</v>
      </c>
      <c r="D110" s="22" t="s">
        <v>1113</v>
      </c>
      <c r="E110" s="22" t="s">
        <v>1022</v>
      </c>
      <c r="F110" s="22">
        <v>91744076879.699997</v>
      </c>
      <c r="G110" s="22">
        <v>101</v>
      </c>
      <c r="H110" s="22" t="s">
        <v>1114</v>
      </c>
    </row>
    <row r="111" spans="1:8" x14ac:dyDescent="0.35">
      <c r="A111" s="22" t="s">
        <v>851</v>
      </c>
      <c r="B111" s="22" t="str">
        <f>"01766"</f>
        <v>01766</v>
      </c>
      <c r="C111" s="22" t="str">
        <f t="shared" si="1"/>
        <v>'1766.HK'</v>
      </c>
      <c r="D111" s="22" t="s">
        <v>1115</v>
      </c>
      <c r="E111" s="22" t="s">
        <v>1109</v>
      </c>
      <c r="F111" s="22">
        <v>90975399158.960007</v>
      </c>
      <c r="G111" s="22">
        <v>284</v>
      </c>
      <c r="H111" s="22" t="s">
        <v>1116</v>
      </c>
    </row>
    <row r="112" spans="1:8" x14ac:dyDescent="0.35">
      <c r="A112" s="22" t="s">
        <v>851</v>
      </c>
      <c r="B112" s="22" t="str">
        <f>"00241"</f>
        <v>00241</v>
      </c>
      <c r="C112" s="22" t="str">
        <f t="shared" si="1"/>
        <v>'0241.HK'</v>
      </c>
      <c r="D112" s="22" t="s">
        <v>1117</v>
      </c>
      <c r="E112" s="22" t="s">
        <v>969</v>
      </c>
      <c r="F112" s="22">
        <v>89913167329.300003</v>
      </c>
      <c r="G112" s="22">
        <v>284</v>
      </c>
      <c r="H112" s="22" t="s">
        <v>1118</v>
      </c>
    </row>
    <row r="113" spans="1:8" x14ac:dyDescent="0.35">
      <c r="A113" s="22" t="s">
        <v>851</v>
      </c>
      <c r="B113" s="22" t="str">
        <f>"03692"</f>
        <v>03692</v>
      </c>
      <c r="C113" s="22" t="str">
        <f t="shared" si="1"/>
        <v>'3692.HK'</v>
      </c>
      <c r="D113" s="22" t="s">
        <v>1119</v>
      </c>
      <c r="E113" s="22" t="s">
        <v>969</v>
      </c>
      <c r="F113" s="22">
        <v>89427486057</v>
      </c>
      <c r="G113" s="22">
        <v>162</v>
      </c>
      <c r="H113" s="22" t="s">
        <v>1120</v>
      </c>
    </row>
    <row r="114" spans="1:8" x14ac:dyDescent="0.35">
      <c r="A114" s="22" t="s">
        <v>851</v>
      </c>
      <c r="B114" s="22" t="str">
        <f>"03606"</f>
        <v>03606</v>
      </c>
      <c r="C114" s="22" t="str">
        <f t="shared" si="1"/>
        <v>'3606.HK'</v>
      </c>
      <c r="D114" s="22" t="s">
        <v>1121</v>
      </c>
      <c r="E114" s="22" t="s">
        <v>1122</v>
      </c>
      <c r="F114" s="22">
        <v>87556895498.600006</v>
      </c>
      <c r="G114" s="22">
        <v>367</v>
      </c>
      <c r="H114" s="22" t="s">
        <v>1123</v>
      </c>
    </row>
    <row r="115" spans="1:8" x14ac:dyDescent="0.35">
      <c r="A115" s="22" t="s">
        <v>851</v>
      </c>
      <c r="B115" s="22" t="str">
        <f>"01177"</f>
        <v>01177</v>
      </c>
      <c r="C115" s="22" t="str">
        <f t="shared" si="1"/>
        <v>'1177.HK'</v>
      </c>
      <c r="D115" s="22" t="s">
        <v>1124</v>
      </c>
      <c r="E115" s="22" t="s">
        <v>969</v>
      </c>
      <c r="F115" s="22">
        <v>87108205274.899994</v>
      </c>
      <c r="G115" s="22">
        <v>603</v>
      </c>
      <c r="H115" s="22" t="s">
        <v>1125</v>
      </c>
    </row>
    <row r="116" spans="1:8" x14ac:dyDescent="0.35">
      <c r="A116" s="22" t="s">
        <v>851</v>
      </c>
      <c r="B116" s="22" t="str">
        <f>"00916"</f>
        <v>00916</v>
      </c>
      <c r="C116" s="22" t="str">
        <f t="shared" si="1"/>
        <v>'0916.HK'</v>
      </c>
      <c r="D116" s="22" t="s">
        <v>1126</v>
      </c>
      <c r="E116" s="22" t="s">
        <v>1127</v>
      </c>
      <c r="F116" s="22">
        <v>86334220589.199997</v>
      </c>
      <c r="G116" s="22">
        <v>104</v>
      </c>
      <c r="H116" s="22" t="s">
        <v>1128</v>
      </c>
    </row>
    <row r="117" spans="1:8" x14ac:dyDescent="0.35">
      <c r="A117" s="22" t="s">
        <v>851</v>
      </c>
      <c r="B117" s="22" t="str">
        <f>"01776"</f>
        <v>01776</v>
      </c>
      <c r="C117" s="22" t="str">
        <f t="shared" si="1"/>
        <v>'1776.HK'</v>
      </c>
      <c r="D117" s="22" t="s">
        <v>1129</v>
      </c>
      <c r="E117" s="22" t="s">
        <v>1130</v>
      </c>
      <c r="F117" s="22">
        <v>85661025343.360001</v>
      </c>
      <c r="G117" s="22">
        <v>210</v>
      </c>
      <c r="H117" s="22" t="s">
        <v>1131</v>
      </c>
    </row>
    <row r="118" spans="1:8" x14ac:dyDescent="0.35">
      <c r="A118" s="22" t="s">
        <v>851</v>
      </c>
      <c r="B118" s="22" t="str">
        <f>"01898"</f>
        <v>01898</v>
      </c>
      <c r="C118" s="22" t="str">
        <f t="shared" si="1"/>
        <v>'1898.HK'</v>
      </c>
      <c r="D118" s="22" t="s">
        <v>1132</v>
      </c>
      <c r="E118" s="22" t="s">
        <v>904</v>
      </c>
      <c r="F118" s="22">
        <v>85385792296</v>
      </c>
      <c r="G118" s="22">
        <v>159</v>
      </c>
      <c r="H118" s="22" t="s">
        <v>1133</v>
      </c>
    </row>
    <row r="119" spans="1:8" x14ac:dyDescent="0.35">
      <c r="A119" s="22" t="s">
        <v>851</v>
      </c>
      <c r="B119" s="22" t="str">
        <f>"00763"</f>
        <v>00763</v>
      </c>
      <c r="C119" s="22" t="str">
        <f t="shared" si="1"/>
        <v>'0763.HK'</v>
      </c>
      <c r="D119" s="22" t="s">
        <v>1134</v>
      </c>
      <c r="E119" s="22" t="s">
        <v>938</v>
      </c>
      <c r="F119" s="22">
        <v>84776413893.199997</v>
      </c>
      <c r="G119" s="22">
        <v>185</v>
      </c>
      <c r="H119" s="22" t="s">
        <v>1135</v>
      </c>
    </row>
    <row r="120" spans="1:8" x14ac:dyDescent="0.35">
      <c r="A120" s="22" t="s">
        <v>851</v>
      </c>
      <c r="B120" s="22" t="str">
        <f>"00083"</f>
        <v>00083</v>
      </c>
      <c r="C120" s="22" t="str">
        <f t="shared" si="1"/>
        <v>'0083.HK'</v>
      </c>
      <c r="D120" s="22" t="s">
        <v>1136</v>
      </c>
      <c r="E120" s="22" t="s">
        <v>924</v>
      </c>
      <c r="F120" s="22">
        <v>81579973028.839996</v>
      </c>
      <c r="G120" s="22">
        <v>78</v>
      </c>
      <c r="H120" s="22" t="s">
        <v>1137</v>
      </c>
    </row>
    <row r="121" spans="1:8" x14ac:dyDescent="0.35">
      <c r="A121" s="22" t="s">
        <v>851</v>
      </c>
      <c r="B121" s="22" t="str">
        <f>"03993"</f>
        <v>03993</v>
      </c>
      <c r="C121" s="22" t="str">
        <f t="shared" si="1"/>
        <v>'3993.HK'</v>
      </c>
      <c r="D121" s="22" t="s">
        <v>1138</v>
      </c>
      <c r="E121" s="22" t="s">
        <v>1060</v>
      </c>
      <c r="F121" s="22">
        <v>79917190157.100006</v>
      </c>
      <c r="G121" s="22">
        <v>102</v>
      </c>
      <c r="H121" s="22" t="s">
        <v>1139</v>
      </c>
    </row>
    <row r="122" spans="1:8" x14ac:dyDescent="0.35">
      <c r="A122" s="22" t="s">
        <v>851</v>
      </c>
      <c r="B122" s="22" t="str">
        <f>"03347"</f>
        <v>03347</v>
      </c>
      <c r="C122" s="22" t="str">
        <f t="shared" si="1"/>
        <v>'3347.HK'</v>
      </c>
      <c r="D122" s="22" t="s">
        <v>1140</v>
      </c>
      <c r="E122" s="22" t="s">
        <v>941</v>
      </c>
      <c r="F122" s="22">
        <v>79913508952</v>
      </c>
      <c r="G122" s="22">
        <v>114</v>
      </c>
      <c r="H122" s="22" t="s">
        <v>1141</v>
      </c>
    </row>
    <row r="123" spans="1:8" x14ac:dyDescent="0.35">
      <c r="A123" s="22" t="s">
        <v>851</v>
      </c>
      <c r="B123" s="22" t="str">
        <f>"00836"</f>
        <v>00836</v>
      </c>
      <c r="C123" s="22" t="str">
        <f t="shared" si="1"/>
        <v>'0836.HK'</v>
      </c>
      <c r="D123" s="22" t="s">
        <v>1142</v>
      </c>
      <c r="E123" s="22" t="s">
        <v>1022</v>
      </c>
      <c r="F123" s="22">
        <v>79757157209.199997</v>
      </c>
      <c r="G123" s="22">
        <v>207</v>
      </c>
      <c r="H123" s="22" t="s">
        <v>1143</v>
      </c>
    </row>
    <row r="124" spans="1:8" x14ac:dyDescent="0.35">
      <c r="A124" s="22" t="s">
        <v>851</v>
      </c>
      <c r="B124" s="22" t="str">
        <f>"00968"</f>
        <v>00968</v>
      </c>
      <c r="C124" s="22" t="str">
        <f t="shared" si="1"/>
        <v>'0968.HK'</v>
      </c>
      <c r="D124" s="22" t="s">
        <v>1144</v>
      </c>
      <c r="E124" s="22" t="s">
        <v>1145</v>
      </c>
      <c r="F124" s="22">
        <v>79263229361.580002</v>
      </c>
      <c r="G124" s="22">
        <v>177</v>
      </c>
      <c r="H124" s="22" t="s">
        <v>1146</v>
      </c>
    </row>
    <row r="125" spans="1:8" x14ac:dyDescent="0.35">
      <c r="A125" s="22" t="s">
        <v>851</v>
      </c>
      <c r="B125" s="22" t="str">
        <f>"00322"</f>
        <v>00322</v>
      </c>
      <c r="C125" s="22" t="str">
        <f t="shared" si="1"/>
        <v>'0322.HK'</v>
      </c>
      <c r="D125" s="22" t="s">
        <v>1147</v>
      </c>
      <c r="E125" s="22" t="s">
        <v>892</v>
      </c>
      <c r="F125" s="22">
        <v>78990984327.199997</v>
      </c>
      <c r="G125" s="22">
        <v>147</v>
      </c>
      <c r="H125" s="22" t="s">
        <v>1148</v>
      </c>
    </row>
    <row r="126" spans="1:8" x14ac:dyDescent="0.35">
      <c r="A126" s="22" t="s">
        <v>851</v>
      </c>
      <c r="B126" s="22" t="str">
        <f>"06886"</f>
        <v>06886</v>
      </c>
      <c r="C126" s="22" t="str">
        <f t="shared" si="1"/>
        <v>'6886.HK'</v>
      </c>
      <c r="D126" s="22" t="s">
        <v>1149</v>
      </c>
      <c r="E126" s="22" t="s">
        <v>1130</v>
      </c>
      <c r="F126" s="22">
        <v>78957624534.899994</v>
      </c>
      <c r="G126" s="22">
        <v>334</v>
      </c>
      <c r="H126" s="22" t="s">
        <v>1150</v>
      </c>
    </row>
    <row r="127" spans="1:8" x14ac:dyDescent="0.35">
      <c r="A127" s="22" t="s">
        <v>851</v>
      </c>
      <c r="B127" s="22" t="str">
        <f>"00992"</f>
        <v>00992</v>
      </c>
      <c r="C127" s="22" t="str">
        <f t="shared" si="1"/>
        <v>'0992.HK'</v>
      </c>
      <c r="D127" s="22" t="s">
        <v>1151</v>
      </c>
      <c r="E127" s="22" t="s">
        <v>1152</v>
      </c>
      <c r="F127" s="22">
        <v>78711565588.589996</v>
      </c>
      <c r="G127" s="22">
        <v>167</v>
      </c>
      <c r="H127" s="22" t="s">
        <v>1153</v>
      </c>
    </row>
    <row r="128" spans="1:8" x14ac:dyDescent="0.35">
      <c r="A128" s="22" t="s">
        <v>851</v>
      </c>
      <c r="B128" s="22" t="str">
        <f>"02611"</f>
        <v>02611</v>
      </c>
      <c r="C128" s="22" t="str">
        <f t="shared" si="1"/>
        <v>'2611.HK'</v>
      </c>
      <c r="D128" s="22" t="s">
        <v>1154</v>
      </c>
      <c r="E128" s="22" t="s">
        <v>1130</v>
      </c>
      <c r="F128" s="22">
        <v>78378714251.199997</v>
      </c>
      <c r="G128" s="22">
        <v>156</v>
      </c>
      <c r="H128" s="22" t="s">
        <v>1155</v>
      </c>
    </row>
    <row r="129" spans="1:8" x14ac:dyDescent="0.35">
      <c r="A129" s="22" t="s">
        <v>851</v>
      </c>
      <c r="B129" s="22" t="str">
        <f>"00087"</f>
        <v>00087</v>
      </c>
      <c r="C129" s="22" t="str">
        <f t="shared" si="1"/>
        <v>'0087.HK'</v>
      </c>
      <c r="D129" s="22" t="s">
        <v>1156</v>
      </c>
      <c r="E129" s="22" t="s">
        <v>958</v>
      </c>
      <c r="F129" s="22">
        <v>75465272850</v>
      </c>
      <c r="G129" s="22">
        <v>78</v>
      </c>
      <c r="H129" s="22" t="s">
        <v>1157</v>
      </c>
    </row>
    <row r="130" spans="1:8" x14ac:dyDescent="0.35">
      <c r="A130" s="22" t="s">
        <v>851</v>
      </c>
      <c r="B130" s="22" t="str">
        <f>"02007"</f>
        <v>02007</v>
      </c>
      <c r="C130" s="22" t="str">
        <f t="shared" si="1"/>
        <v>'2007.HK'</v>
      </c>
      <c r="D130" s="22" t="s">
        <v>1158</v>
      </c>
      <c r="E130" s="22" t="s">
        <v>924</v>
      </c>
      <c r="F130" s="22">
        <v>74345795571.800003</v>
      </c>
      <c r="G130" s="22">
        <v>675</v>
      </c>
      <c r="H130" s="22" t="s">
        <v>1159</v>
      </c>
    </row>
    <row r="131" spans="1:8" x14ac:dyDescent="0.35">
      <c r="A131" s="22" t="s">
        <v>851</v>
      </c>
      <c r="B131" s="22" t="str">
        <f>"01821"</f>
        <v>01821</v>
      </c>
      <c r="C131" s="22" t="str">
        <f t="shared" ref="C131:C194" si="2">CONCATENATE("'",RIGHT(B131,4),".HK'")</f>
        <v>'1821.HK'</v>
      </c>
      <c r="D131" s="22" t="s">
        <v>1160</v>
      </c>
      <c r="E131" s="22" t="s">
        <v>964</v>
      </c>
      <c r="F131" s="22">
        <v>74028702574.080002</v>
      </c>
      <c r="G131" s="22">
        <v>11</v>
      </c>
      <c r="H131" s="22" t="s">
        <v>1161</v>
      </c>
    </row>
    <row r="132" spans="1:8" x14ac:dyDescent="0.35">
      <c r="A132" s="22" t="s">
        <v>851</v>
      </c>
      <c r="B132" s="22" t="str">
        <f>"06823"</f>
        <v>06823</v>
      </c>
      <c r="C132" s="22" t="str">
        <f t="shared" si="2"/>
        <v>'6823.HK'</v>
      </c>
      <c r="D132" s="22" t="s">
        <v>1162</v>
      </c>
      <c r="E132" s="22" t="s">
        <v>865</v>
      </c>
      <c r="F132" s="22">
        <v>73978285179.839996</v>
      </c>
      <c r="G132" s="22">
        <v>30</v>
      </c>
      <c r="H132" s="22" t="s">
        <v>1163</v>
      </c>
    </row>
    <row r="133" spans="1:8" x14ac:dyDescent="0.35">
      <c r="A133" s="22" t="s">
        <v>851</v>
      </c>
      <c r="B133" s="22" t="str">
        <f>"00020"</f>
        <v>00020</v>
      </c>
      <c r="C133" s="22" t="str">
        <f t="shared" si="2"/>
        <v>'0020.HK'</v>
      </c>
      <c r="D133" s="22" t="s">
        <v>1164</v>
      </c>
      <c r="E133" s="22" t="s">
        <v>910</v>
      </c>
      <c r="F133" s="22">
        <v>73366533000</v>
      </c>
      <c r="G133" s="22">
        <v>73</v>
      </c>
      <c r="H133" s="22" t="s">
        <v>1165</v>
      </c>
    </row>
    <row r="134" spans="1:8" x14ac:dyDescent="0.35">
      <c r="A134" s="22" t="s">
        <v>851</v>
      </c>
      <c r="B134" s="22" t="str">
        <f>"06969"</f>
        <v>06969</v>
      </c>
      <c r="C134" s="22" t="str">
        <f t="shared" si="2"/>
        <v>'6969.HK'</v>
      </c>
      <c r="D134" s="22" t="s">
        <v>1166</v>
      </c>
      <c r="E134" s="22" t="s">
        <v>1167</v>
      </c>
      <c r="F134" s="22">
        <v>73300694713.199997</v>
      </c>
      <c r="G134" s="22">
        <v>339</v>
      </c>
      <c r="H134" s="22" t="s">
        <v>1168</v>
      </c>
    </row>
    <row r="135" spans="1:8" x14ac:dyDescent="0.35">
      <c r="A135" s="22" t="s">
        <v>851</v>
      </c>
      <c r="B135" s="22" t="str">
        <f>"03908"</f>
        <v>03908</v>
      </c>
      <c r="C135" s="22" t="str">
        <f t="shared" si="2"/>
        <v>'3908.HK'</v>
      </c>
      <c r="D135" s="22" t="s">
        <v>1169</v>
      </c>
      <c r="E135" s="22" t="s">
        <v>1130</v>
      </c>
      <c r="F135" s="22">
        <v>71443401646.399994</v>
      </c>
      <c r="G135" s="22">
        <v>147</v>
      </c>
      <c r="H135" s="22" t="s">
        <v>1170</v>
      </c>
    </row>
    <row r="136" spans="1:8" x14ac:dyDescent="0.35">
      <c r="A136" s="22" t="s">
        <v>851</v>
      </c>
      <c r="B136" s="22" t="str">
        <f>"09868"</f>
        <v>09868</v>
      </c>
      <c r="C136" s="22" t="str">
        <f t="shared" si="2"/>
        <v>'9868.HK'</v>
      </c>
      <c r="D136" s="22" t="s">
        <v>1171</v>
      </c>
      <c r="E136" s="22" t="s">
        <v>886</v>
      </c>
      <c r="F136" s="22">
        <v>71345375015.600006</v>
      </c>
      <c r="G136" s="22">
        <v>77</v>
      </c>
      <c r="H136" s="22" t="s">
        <v>1172</v>
      </c>
    </row>
    <row r="137" spans="1:8" x14ac:dyDescent="0.35">
      <c r="A137" s="22" t="s">
        <v>851</v>
      </c>
      <c r="B137" s="22" t="str">
        <f>"01378"</f>
        <v>01378</v>
      </c>
      <c r="C137" s="22" t="str">
        <f t="shared" si="2"/>
        <v>'1378.HK'</v>
      </c>
      <c r="D137" s="22" t="s">
        <v>1173</v>
      </c>
      <c r="E137" s="22" t="s">
        <v>1174</v>
      </c>
      <c r="F137" s="22">
        <v>71256048956</v>
      </c>
      <c r="G137" s="22">
        <v>160</v>
      </c>
      <c r="H137" s="22" t="s">
        <v>1175</v>
      </c>
    </row>
    <row r="138" spans="1:8" x14ac:dyDescent="0.35">
      <c r="A138" s="22" t="s">
        <v>851</v>
      </c>
      <c r="B138" s="22" t="str">
        <f>"00101"</f>
        <v>00101</v>
      </c>
      <c r="C138" s="22" t="str">
        <f t="shared" si="2"/>
        <v>'0101.HK'</v>
      </c>
      <c r="D138" s="22" t="s">
        <v>1176</v>
      </c>
      <c r="E138" s="22" t="s">
        <v>1028</v>
      </c>
      <c r="F138" s="22">
        <v>70908348159.199997</v>
      </c>
      <c r="G138" s="22">
        <v>113</v>
      </c>
      <c r="H138" s="22" t="s">
        <v>1177</v>
      </c>
    </row>
    <row r="139" spans="1:8" x14ac:dyDescent="0.35">
      <c r="A139" s="22" t="s">
        <v>851</v>
      </c>
      <c r="B139" s="22" t="str">
        <f>"00004"</f>
        <v>00004</v>
      </c>
      <c r="C139" s="22" t="str">
        <f t="shared" si="2"/>
        <v>'0004.HK'</v>
      </c>
      <c r="D139" s="22" t="s">
        <v>1178</v>
      </c>
      <c r="E139" s="22" t="s">
        <v>924</v>
      </c>
      <c r="F139" s="22">
        <v>70747032620.050003</v>
      </c>
      <c r="G139" s="22">
        <v>101</v>
      </c>
      <c r="H139" s="22" t="s">
        <v>1179</v>
      </c>
    </row>
    <row r="140" spans="1:8" x14ac:dyDescent="0.35">
      <c r="A140" s="22" t="s">
        <v>851</v>
      </c>
      <c r="B140" s="22" t="str">
        <f>"01193"</f>
        <v>01193</v>
      </c>
      <c r="C140" s="22" t="str">
        <f t="shared" si="2"/>
        <v>'1193.HK'</v>
      </c>
      <c r="D140" s="22" t="s">
        <v>1180</v>
      </c>
      <c r="E140" s="22" t="s">
        <v>1031</v>
      </c>
      <c r="F140" s="22">
        <v>68494780981.599998</v>
      </c>
      <c r="G140" s="22">
        <v>149</v>
      </c>
      <c r="H140" s="22" t="s">
        <v>1181</v>
      </c>
    </row>
    <row r="141" spans="1:8" x14ac:dyDescent="0.35">
      <c r="A141" s="22" t="s">
        <v>851</v>
      </c>
      <c r="B141" s="22" t="str">
        <f>"02196"</f>
        <v>02196</v>
      </c>
      <c r="C141" s="22" t="str">
        <f t="shared" si="2"/>
        <v>'2196.HK'</v>
      </c>
      <c r="D141" s="22" t="s">
        <v>1182</v>
      </c>
      <c r="E141" s="22" t="s">
        <v>969</v>
      </c>
      <c r="F141" s="22">
        <v>68407209241.599998</v>
      </c>
      <c r="G141" s="22">
        <v>309</v>
      </c>
      <c r="H141" s="22" t="s">
        <v>1183</v>
      </c>
    </row>
    <row r="142" spans="1:8" x14ac:dyDescent="0.35">
      <c r="A142" s="22" t="s">
        <v>851</v>
      </c>
      <c r="B142" s="22" t="str">
        <f>"01698"</f>
        <v>01698</v>
      </c>
      <c r="C142" s="22" t="str">
        <f t="shared" si="2"/>
        <v>'1698.HK'</v>
      </c>
      <c r="D142" s="22" t="s">
        <v>1184</v>
      </c>
      <c r="E142" s="22" t="s">
        <v>1185</v>
      </c>
      <c r="F142" s="22">
        <v>67437500000</v>
      </c>
      <c r="G142" s="22">
        <v>3</v>
      </c>
      <c r="H142" s="22" t="s">
        <v>1186</v>
      </c>
    </row>
    <row r="143" spans="1:8" x14ac:dyDescent="0.35">
      <c r="A143" s="22" t="s">
        <v>851</v>
      </c>
      <c r="B143" s="22" t="str">
        <f>"01787"</f>
        <v>01787</v>
      </c>
      <c r="C143" s="22" t="str">
        <f t="shared" si="2"/>
        <v>'1787.HK'</v>
      </c>
      <c r="D143" s="22" t="s">
        <v>1187</v>
      </c>
      <c r="E143" s="22" t="s">
        <v>929</v>
      </c>
      <c r="F143" s="22">
        <v>67101442875</v>
      </c>
      <c r="G143" s="22">
        <v>72</v>
      </c>
      <c r="H143" s="22" t="s">
        <v>1188</v>
      </c>
    </row>
    <row r="144" spans="1:8" x14ac:dyDescent="0.35">
      <c r="A144" s="22" t="s">
        <v>851</v>
      </c>
      <c r="B144" s="22" t="str">
        <f>"06099"</f>
        <v>06099</v>
      </c>
      <c r="C144" s="22" t="str">
        <f t="shared" si="2"/>
        <v>'6099.HK'</v>
      </c>
      <c r="D144" s="22" t="s">
        <v>1189</v>
      </c>
      <c r="E144" s="22" t="s">
        <v>1130</v>
      </c>
      <c r="F144" s="22">
        <v>66702360602.019997</v>
      </c>
      <c r="G144" s="22">
        <v>158</v>
      </c>
      <c r="H144" s="22" t="s">
        <v>1190</v>
      </c>
    </row>
    <row r="145" spans="1:8" x14ac:dyDescent="0.35">
      <c r="A145" s="22" t="s">
        <v>851</v>
      </c>
      <c r="B145" s="22" t="str">
        <f>"03759"</f>
        <v>03759</v>
      </c>
      <c r="C145" s="22" t="str">
        <f t="shared" si="2"/>
        <v>'3759.HK'</v>
      </c>
      <c r="D145" s="22" t="s">
        <v>1191</v>
      </c>
      <c r="E145" s="22" t="s">
        <v>969</v>
      </c>
      <c r="F145" s="22">
        <v>66461573698.199997</v>
      </c>
      <c r="G145" s="22">
        <v>82</v>
      </c>
      <c r="H145" s="22" t="s">
        <v>1192</v>
      </c>
    </row>
    <row r="146" spans="1:8" x14ac:dyDescent="0.35">
      <c r="A146" s="22" t="s">
        <v>851</v>
      </c>
      <c r="B146" s="22" t="str">
        <f>"01186"</f>
        <v>01186</v>
      </c>
      <c r="C146" s="22" t="str">
        <f t="shared" si="2"/>
        <v>'1186.HK'</v>
      </c>
      <c r="D146" s="22" t="s">
        <v>1193</v>
      </c>
      <c r="E146" s="22" t="s">
        <v>1078</v>
      </c>
      <c r="F146" s="22">
        <v>66403957935</v>
      </c>
      <c r="G146" s="22">
        <v>328</v>
      </c>
      <c r="H146" s="22" t="s">
        <v>1194</v>
      </c>
    </row>
    <row r="147" spans="1:8" x14ac:dyDescent="0.35">
      <c r="A147" s="22" t="s">
        <v>851</v>
      </c>
      <c r="B147" s="22" t="str">
        <f>"06098"</f>
        <v>06098</v>
      </c>
      <c r="C147" s="22" t="str">
        <f t="shared" si="2"/>
        <v>'6098.HK'</v>
      </c>
      <c r="D147" s="22" t="s">
        <v>1195</v>
      </c>
      <c r="E147" s="22" t="s">
        <v>1104</v>
      </c>
      <c r="F147" s="22">
        <v>65371208818.199997</v>
      </c>
      <c r="G147" s="22">
        <v>272</v>
      </c>
      <c r="H147" s="22" t="s">
        <v>1196</v>
      </c>
    </row>
    <row r="148" spans="1:8" x14ac:dyDescent="0.35">
      <c r="A148" s="22" t="s">
        <v>851</v>
      </c>
      <c r="B148" s="22" t="str">
        <f>"00902"</f>
        <v>00902</v>
      </c>
      <c r="C148" s="22" t="str">
        <f t="shared" si="2"/>
        <v>'0902.HK'</v>
      </c>
      <c r="D148" s="22" t="s">
        <v>1197</v>
      </c>
      <c r="E148" s="22" t="s">
        <v>1022</v>
      </c>
      <c r="F148" s="22">
        <v>63734259037.540001</v>
      </c>
      <c r="G148" s="22">
        <v>298</v>
      </c>
      <c r="H148" s="22" t="s">
        <v>1198</v>
      </c>
    </row>
    <row r="149" spans="1:8" x14ac:dyDescent="0.35">
      <c r="A149" s="22" t="s">
        <v>851</v>
      </c>
      <c r="B149" s="22" t="str">
        <f>"01099"</f>
        <v>01099</v>
      </c>
      <c r="C149" s="22" t="str">
        <f t="shared" si="2"/>
        <v>'1099.HK'</v>
      </c>
      <c r="D149" s="22" t="s">
        <v>1199</v>
      </c>
      <c r="E149" s="22" t="s">
        <v>969</v>
      </c>
      <c r="F149" s="22">
        <v>63505353486.849998</v>
      </c>
      <c r="G149" s="22">
        <v>289</v>
      </c>
      <c r="H149" s="22" t="s">
        <v>1200</v>
      </c>
    </row>
    <row r="150" spans="1:8" x14ac:dyDescent="0.35">
      <c r="A150" s="22" t="s">
        <v>851</v>
      </c>
      <c r="B150" s="22" t="str">
        <f>"00268"</f>
        <v>00268</v>
      </c>
      <c r="C150" s="22" t="str">
        <f t="shared" si="2"/>
        <v>'0268.HK'</v>
      </c>
      <c r="D150" s="22" t="s">
        <v>1201</v>
      </c>
      <c r="E150" s="22" t="s">
        <v>1202</v>
      </c>
      <c r="F150" s="22">
        <v>62949772790.519997</v>
      </c>
      <c r="G150" s="22">
        <v>215</v>
      </c>
      <c r="H150" s="22" t="s">
        <v>1203</v>
      </c>
    </row>
    <row r="151" spans="1:8" x14ac:dyDescent="0.35">
      <c r="A151" s="22" t="s">
        <v>851</v>
      </c>
      <c r="B151" s="22" t="str">
        <f>"00151"</f>
        <v>00151</v>
      </c>
      <c r="C151" s="22" t="str">
        <f t="shared" si="2"/>
        <v>'0151.HK'</v>
      </c>
      <c r="D151" s="22" t="s">
        <v>1204</v>
      </c>
      <c r="E151" s="22" t="s">
        <v>1205</v>
      </c>
      <c r="F151" s="22">
        <v>62864921834.150002</v>
      </c>
      <c r="G151" s="22">
        <v>153</v>
      </c>
      <c r="H151" s="22" t="s">
        <v>1206</v>
      </c>
    </row>
    <row r="152" spans="1:8" x14ac:dyDescent="0.35">
      <c r="A152" s="22" t="s">
        <v>851</v>
      </c>
      <c r="B152" s="22" t="str">
        <f>"06837"</f>
        <v>06837</v>
      </c>
      <c r="C152" s="22" t="str">
        <f t="shared" si="2"/>
        <v>'6837.HK'</v>
      </c>
      <c r="D152" s="22" t="s">
        <v>1207</v>
      </c>
      <c r="E152" s="22" t="s">
        <v>1130</v>
      </c>
      <c r="F152" s="22">
        <v>62708160000</v>
      </c>
      <c r="G152" s="22">
        <v>317</v>
      </c>
      <c r="H152" s="22" t="s">
        <v>1208</v>
      </c>
    </row>
    <row r="153" spans="1:8" x14ac:dyDescent="0.35">
      <c r="A153" s="22" t="s">
        <v>851</v>
      </c>
      <c r="B153" s="22" t="str">
        <f>"00384"</f>
        <v>00384</v>
      </c>
      <c r="C153" s="22" t="str">
        <f t="shared" si="2"/>
        <v>'0384.HK'</v>
      </c>
      <c r="D153" s="22" t="s">
        <v>1209</v>
      </c>
      <c r="E153" s="22" t="s">
        <v>1031</v>
      </c>
      <c r="F153" s="22">
        <v>62455054662.559998</v>
      </c>
      <c r="G153" s="22">
        <v>166</v>
      </c>
      <c r="H153" s="22" t="s">
        <v>1210</v>
      </c>
    </row>
    <row r="154" spans="1:8" x14ac:dyDescent="0.35">
      <c r="A154" s="22" t="s">
        <v>851</v>
      </c>
      <c r="B154" s="22" t="str">
        <f>"01800"</f>
        <v>01800</v>
      </c>
      <c r="C154" s="22" t="str">
        <f t="shared" si="2"/>
        <v>'1800.HK'</v>
      </c>
      <c r="D154" s="22" t="s">
        <v>1211</v>
      </c>
      <c r="E154" s="22" t="s">
        <v>1078</v>
      </c>
      <c r="F154" s="22">
        <v>62237988986.25</v>
      </c>
      <c r="G154" s="22">
        <v>318</v>
      </c>
      <c r="H154" s="22" t="s">
        <v>1212</v>
      </c>
    </row>
    <row r="155" spans="1:8" x14ac:dyDescent="0.35">
      <c r="A155" s="22" t="s">
        <v>851</v>
      </c>
      <c r="B155" s="22" t="str">
        <f>"06963"</f>
        <v>06963</v>
      </c>
      <c r="C155" s="22" t="str">
        <f t="shared" si="2"/>
        <v>'6963.HK'</v>
      </c>
      <c r="D155" s="22" t="s">
        <v>1213</v>
      </c>
      <c r="E155" s="22" t="s">
        <v>870</v>
      </c>
      <c r="F155" s="22">
        <v>62108208000</v>
      </c>
      <c r="H155" s="22" t="s">
        <v>1214</v>
      </c>
    </row>
    <row r="156" spans="1:8" x14ac:dyDescent="0.35">
      <c r="A156" s="22" t="s">
        <v>851</v>
      </c>
      <c r="B156" s="22" t="str">
        <f>"06186"</f>
        <v>06186</v>
      </c>
      <c r="C156" s="22" t="str">
        <f t="shared" si="2"/>
        <v>'6186.HK'</v>
      </c>
      <c r="D156" s="22" t="s">
        <v>1215</v>
      </c>
      <c r="E156" s="22" t="s">
        <v>1019</v>
      </c>
      <c r="F156" s="22">
        <v>61585497453.120003</v>
      </c>
      <c r="G156" s="22">
        <v>466</v>
      </c>
      <c r="H156" s="22" t="s">
        <v>1216</v>
      </c>
    </row>
    <row r="157" spans="1:8" x14ac:dyDescent="0.35">
      <c r="A157" s="22" t="s">
        <v>851</v>
      </c>
      <c r="B157" s="22" t="str">
        <f>"01336"</f>
        <v>01336</v>
      </c>
      <c r="C157" s="22" t="str">
        <f t="shared" si="2"/>
        <v>'1336.HK'</v>
      </c>
      <c r="D157" s="22" t="s">
        <v>1217</v>
      </c>
      <c r="E157" s="22" t="s">
        <v>870</v>
      </c>
      <c r="F157" s="22">
        <v>61579849884</v>
      </c>
      <c r="G157" s="22">
        <v>671</v>
      </c>
      <c r="H157" s="22" t="s">
        <v>1218</v>
      </c>
    </row>
    <row r="158" spans="1:8" x14ac:dyDescent="0.35">
      <c r="A158" s="22" t="s">
        <v>851</v>
      </c>
      <c r="B158" s="22" t="str">
        <f>"02602"</f>
        <v>02602</v>
      </c>
      <c r="C158" s="22" t="str">
        <f t="shared" si="2"/>
        <v>'2602.HK'</v>
      </c>
      <c r="D158" s="22" t="s">
        <v>1219</v>
      </c>
      <c r="E158" s="22" t="s">
        <v>1104</v>
      </c>
      <c r="F158" s="22">
        <v>61398219270</v>
      </c>
      <c r="G158" s="22">
        <v>9</v>
      </c>
      <c r="H158" s="22" t="s">
        <v>1220</v>
      </c>
    </row>
    <row r="159" spans="1:8" x14ac:dyDescent="0.35">
      <c r="A159" s="22" t="s">
        <v>851</v>
      </c>
      <c r="B159" s="22" t="str">
        <f>"00670"</f>
        <v>00670</v>
      </c>
      <c r="C159" s="22" t="str">
        <f t="shared" si="2"/>
        <v>'0670.HK'</v>
      </c>
      <c r="D159" s="22" t="s">
        <v>1221</v>
      </c>
      <c r="E159" s="22" t="s">
        <v>1081</v>
      </c>
      <c r="F159" s="22">
        <v>61341930253.5</v>
      </c>
      <c r="G159" s="22">
        <v>101</v>
      </c>
      <c r="H159" s="22" t="s">
        <v>1222</v>
      </c>
    </row>
    <row r="160" spans="1:8" x14ac:dyDescent="0.35">
      <c r="A160" s="22" t="s">
        <v>851</v>
      </c>
      <c r="B160" s="22" t="str">
        <f>"00868"</f>
        <v>00868</v>
      </c>
      <c r="C160" s="22" t="str">
        <f t="shared" si="2"/>
        <v>'0868.HK'</v>
      </c>
      <c r="D160" s="22" t="s">
        <v>1223</v>
      </c>
      <c r="E160" s="22" t="s">
        <v>1224</v>
      </c>
      <c r="F160" s="22">
        <v>61282496430.839996</v>
      </c>
      <c r="G160" s="22">
        <v>185</v>
      </c>
      <c r="H160" s="22" t="s">
        <v>1225</v>
      </c>
    </row>
    <row r="161" spans="1:8" x14ac:dyDescent="0.35">
      <c r="A161" s="22" t="s">
        <v>851</v>
      </c>
      <c r="B161" s="22" t="str">
        <f>"00486"</f>
        <v>00486</v>
      </c>
      <c r="C161" s="22" t="str">
        <f t="shared" si="2"/>
        <v>'0486.HK'</v>
      </c>
      <c r="D161" s="22" t="s">
        <v>1226</v>
      </c>
      <c r="E161" s="22" t="s">
        <v>1174</v>
      </c>
      <c r="F161" s="22">
        <v>59860478556.279999</v>
      </c>
      <c r="G161" s="22">
        <v>34</v>
      </c>
      <c r="H161" s="22" t="s">
        <v>1227</v>
      </c>
    </row>
    <row r="162" spans="1:8" x14ac:dyDescent="0.35">
      <c r="A162" s="22" t="s">
        <v>851</v>
      </c>
      <c r="B162" s="22" t="str">
        <f>"00288"</f>
        <v>00288</v>
      </c>
      <c r="C162" s="22" t="str">
        <f t="shared" si="2"/>
        <v>'0288.HK'</v>
      </c>
      <c r="D162" s="22" t="s">
        <v>1228</v>
      </c>
      <c r="E162" s="22" t="s">
        <v>1229</v>
      </c>
      <c r="F162" s="22">
        <v>59788823103</v>
      </c>
      <c r="G162" s="22">
        <v>251</v>
      </c>
      <c r="H162" s="22" t="s">
        <v>1230</v>
      </c>
    </row>
    <row r="163" spans="1:8" x14ac:dyDescent="0.35">
      <c r="A163" s="22" t="s">
        <v>851</v>
      </c>
      <c r="B163" s="22" t="str">
        <f>"01066"</f>
        <v>01066</v>
      </c>
      <c r="C163" s="22" t="str">
        <f t="shared" si="2"/>
        <v>'1066.HK'</v>
      </c>
      <c r="D163" s="22" t="s">
        <v>1231</v>
      </c>
      <c r="E163" s="22" t="s">
        <v>1232</v>
      </c>
      <c r="F163" s="22">
        <v>59601045504.959999</v>
      </c>
      <c r="G163" s="22">
        <v>171</v>
      </c>
      <c r="H163" s="22" t="s">
        <v>1233</v>
      </c>
    </row>
    <row r="164" spans="1:8" x14ac:dyDescent="0.35">
      <c r="A164" s="22" t="s">
        <v>851</v>
      </c>
      <c r="B164" s="22" t="str">
        <f>"02016"</f>
        <v>02016</v>
      </c>
      <c r="C164" s="22" t="str">
        <f t="shared" si="2"/>
        <v>'2016.HK'</v>
      </c>
      <c r="D164" s="22" t="s">
        <v>1234</v>
      </c>
      <c r="E164" s="22" t="s">
        <v>858</v>
      </c>
      <c r="F164" s="22">
        <v>59552350978.400002</v>
      </c>
      <c r="G164" s="22">
        <v>72</v>
      </c>
      <c r="H164" s="22" t="s">
        <v>1235</v>
      </c>
    </row>
    <row r="165" spans="1:8" x14ac:dyDescent="0.35">
      <c r="A165" s="22" t="s">
        <v>851</v>
      </c>
      <c r="B165" s="22" t="str">
        <f>"02600"</f>
        <v>02600</v>
      </c>
      <c r="C165" s="22" t="str">
        <f t="shared" si="2"/>
        <v>'2600.HK'</v>
      </c>
      <c r="D165" s="22" t="s">
        <v>1236</v>
      </c>
      <c r="E165" s="22" t="s">
        <v>1174</v>
      </c>
      <c r="F165" s="22">
        <v>57744758755.870003</v>
      </c>
      <c r="G165" s="22">
        <v>92</v>
      </c>
      <c r="H165" s="22" t="s">
        <v>1237</v>
      </c>
    </row>
    <row r="166" spans="1:8" x14ac:dyDescent="0.35">
      <c r="A166" s="22" t="s">
        <v>851</v>
      </c>
      <c r="B166" s="22" t="str">
        <f>"00285"</f>
        <v>00285</v>
      </c>
      <c r="C166" s="22" t="str">
        <f t="shared" si="2"/>
        <v>'0285.HK'</v>
      </c>
      <c r="D166" s="22" t="s">
        <v>1238</v>
      </c>
      <c r="E166" s="22" t="s">
        <v>938</v>
      </c>
      <c r="F166" s="22">
        <v>57682035200</v>
      </c>
      <c r="G166" s="22">
        <v>196</v>
      </c>
      <c r="H166" s="22" t="s">
        <v>1239</v>
      </c>
    </row>
    <row r="167" spans="1:8" x14ac:dyDescent="0.35">
      <c r="A167" s="22" t="s">
        <v>851</v>
      </c>
      <c r="B167" s="22" t="str">
        <f>"00017"</f>
        <v>00017</v>
      </c>
      <c r="C167" s="22" t="str">
        <f t="shared" si="2"/>
        <v>'0017.HK'</v>
      </c>
      <c r="D167" s="22" t="s">
        <v>1240</v>
      </c>
      <c r="E167" s="22" t="s">
        <v>924</v>
      </c>
      <c r="F167" s="22">
        <v>57253404640.25</v>
      </c>
      <c r="G167" s="22">
        <v>84</v>
      </c>
      <c r="H167" s="22" t="s">
        <v>1241</v>
      </c>
    </row>
    <row r="168" spans="1:8" x14ac:dyDescent="0.35">
      <c r="A168" s="22" t="s">
        <v>851</v>
      </c>
      <c r="B168" s="22" t="str">
        <f>"01548"</f>
        <v>01548</v>
      </c>
      <c r="C168" s="22" t="str">
        <f t="shared" si="2"/>
        <v>'1548.HK'</v>
      </c>
      <c r="D168" s="22" t="s">
        <v>1242</v>
      </c>
      <c r="E168" s="22" t="s">
        <v>941</v>
      </c>
      <c r="F168" s="22">
        <v>56151930942.900002</v>
      </c>
      <c r="G168" s="22">
        <v>177</v>
      </c>
      <c r="H168" s="22" t="s">
        <v>1243</v>
      </c>
    </row>
    <row r="169" spans="1:8" x14ac:dyDescent="0.35">
      <c r="A169" s="22" t="s">
        <v>851</v>
      </c>
      <c r="B169" s="22" t="str">
        <f>"02238"</f>
        <v>02238</v>
      </c>
      <c r="C169" s="22" t="str">
        <f t="shared" si="2"/>
        <v>'2238.HK'</v>
      </c>
      <c r="D169" s="22" t="s">
        <v>1244</v>
      </c>
      <c r="E169" s="22" t="s">
        <v>886</v>
      </c>
      <c r="F169" s="22">
        <v>55772894311.809998</v>
      </c>
      <c r="G169" s="22">
        <v>262</v>
      </c>
      <c r="H169" s="22" t="s">
        <v>1245</v>
      </c>
    </row>
    <row r="170" spans="1:8" x14ac:dyDescent="0.35">
      <c r="A170" s="22" t="s">
        <v>851</v>
      </c>
      <c r="B170" s="22" t="str">
        <f>"03323"</f>
        <v>03323</v>
      </c>
      <c r="C170" s="22" t="str">
        <f t="shared" si="2"/>
        <v>'3323.HK'</v>
      </c>
      <c r="D170" s="22" t="s">
        <v>1246</v>
      </c>
      <c r="E170" s="22" t="s">
        <v>1016</v>
      </c>
      <c r="F170" s="22">
        <v>55079052422.860001</v>
      </c>
      <c r="G170" s="22">
        <v>620</v>
      </c>
      <c r="H170" s="22" t="s">
        <v>1247</v>
      </c>
    </row>
    <row r="171" spans="1:8" x14ac:dyDescent="0.35">
      <c r="A171" s="22" t="s">
        <v>851</v>
      </c>
      <c r="B171" s="22" t="str">
        <f>"03898"</f>
        <v>03898</v>
      </c>
      <c r="C171" s="22" t="str">
        <f t="shared" si="2"/>
        <v>'3898.HK'</v>
      </c>
      <c r="D171" s="22" t="s">
        <v>1248</v>
      </c>
      <c r="E171" s="22" t="s">
        <v>1109</v>
      </c>
      <c r="F171" s="22">
        <v>54737556648.800003</v>
      </c>
      <c r="G171" s="22">
        <v>121</v>
      </c>
      <c r="H171" s="22" t="s">
        <v>1249</v>
      </c>
    </row>
    <row r="172" spans="1:8" x14ac:dyDescent="0.35">
      <c r="A172" s="22" t="s">
        <v>851</v>
      </c>
      <c r="B172" s="22" t="str">
        <f>"00293"</f>
        <v>00293</v>
      </c>
      <c r="C172" s="22" t="str">
        <f t="shared" si="2"/>
        <v>'0293.HK'</v>
      </c>
      <c r="D172" s="22" t="s">
        <v>1250</v>
      </c>
      <c r="E172" s="22" t="s">
        <v>1081</v>
      </c>
      <c r="F172" s="22">
        <v>54201225709.260002</v>
      </c>
      <c r="G172" s="22">
        <v>80</v>
      </c>
      <c r="H172" s="22" t="s">
        <v>1251</v>
      </c>
    </row>
    <row r="173" spans="1:8" x14ac:dyDescent="0.35">
      <c r="A173" s="22" t="s">
        <v>851</v>
      </c>
      <c r="B173" s="22" t="str">
        <f>"00656"</f>
        <v>00656</v>
      </c>
      <c r="C173" s="22" t="str">
        <f t="shared" si="2"/>
        <v>'0656.HK'</v>
      </c>
      <c r="D173" s="22" t="s">
        <v>1252</v>
      </c>
      <c r="E173" s="22" t="s">
        <v>958</v>
      </c>
      <c r="F173" s="22">
        <v>53924578413.440002</v>
      </c>
      <c r="G173" s="22">
        <v>767</v>
      </c>
      <c r="H173" s="22" t="s">
        <v>1253</v>
      </c>
    </row>
    <row r="174" spans="1:8" x14ac:dyDescent="0.35">
      <c r="A174" s="22" t="s">
        <v>851</v>
      </c>
      <c r="B174" s="22" t="str">
        <f>"00270"</f>
        <v>00270</v>
      </c>
      <c r="C174" s="22" t="str">
        <f t="shared" si="2"/>
        <v>'0270.HK'</v>
      </c>
      <c r="D174" s="22" t="s">
        <v>1254</v>
      </c>
      <c r="E174" s="22" t="s">
        <v>1255</v>
      </c>
      <c r="F174" s="22">
        <v>53871648665.599998</v>
      </c>
      <c r="G174" s="22">
        <v>89</v>
      </c>
      <c r="H174" s="22" t="s">
        <v>1256</v>
      </c>
    </row>
    <row r="175" spans="1:8" x14ac:dyDescent="0.35">
      <c r="A175" s="22" t="s">
        <v>851</v>
      </c>
      <c r="B175" s="22" t="str">
        <f>"01801"</f>
        <v>01801</v>
      </c>
      <c r="C175" s="22" t="str">
        <f t="shared" si="2"/>
        <v>'1801.HK'</v>
      </c>
      <c r="D175" s="22" t="s">
        <v>1257</v>
      </c>
      <c r="E175" s="22" t="s">
        <v>969</v>
      </c>
      <c r="F175" s="22">
        <v>53701313365</v>
      </c>
      <c r="G175" s="22">
        <v>319</v>
      </c>
      <c r="H175" s="22" t="s">
        <v>1258</v>
      </c>
    </row>
    <row r="176" spans="1:8" x14ac:dyDescent="0.35">
      <c r="A176" s="22" t="s">
        <v>851</v>
      </c>
      <c r="B176" s="22" t="str">
        <f>"03800"</f>
        <v>03800</v>
      </c>
      <c r="C176" s="22" t="str">
        <f t="shared" si="2"/>
        <v>'3800.HK'</v>
      </c>
      <c r="D176" s="22" t="s">
        <v>1259</v>
      </c>
      <c r="E176" s="22" t="s">
        <v>1145</v>
      </c>
      <c r="F176" s="22">
        <v>53674825986.540001</v>
      </c>
      <c r="G176" s="22">
        <v>150</v>
      </c>
      <c r="H176" s="22" t="s">
        <v>1260</v>
      </c>
    </row>
    <row r="177" spans="1:8" x14ac:dyDescent="0.35">
      <c r="A177" s="22" t="s">
        <v>851</v>
      </c>
      <c r="B177" s="22" t="str">
        <f>"06066"</f>
        <v>06066</v>
      </c>
      <c r="C177" s="22" t="str">
        <f t="shared" si="2"/>
        <v>'6066.HK'</v>
      </c>
      <c r="D177" s="22" t="s">
        <v>1261</v>
      </c>
      <c r="E177" s="22" t="s">
        <v>1130</v>
      </c>
      <c r="F177" s="22">
        <v>53055792411.480003</v>
      </c>
      <c r="G177" s="22">
        <v>194</v>
      </c>
      <c r="H177" s="22" t="s">
        <v>1262</v>
      </c>
    </row>
    <row r="178" spans="1:8" x14ac:dyDescent="0.35">
      <c r="A178" s="22" t="s">
        <v>851</v>
      </c>
      <c r="B178" s="22" t="str">
        <f>"02066"</f>
        <v>02066</v>
      </c>
      <c r="C178" s="22" t="str">
        <f t="shared" si="2"/>
        <v>'2066.HK'</v>
      </c>
      <c r="D178" s="22" t="s">
        <v>1263</v>
      </c>
      <c r="E178" s="22" t="s">
        <v>858</v>
      </c>
      <c r="F178" s="22">
        <v>52780081200</v>
      </c>
      <c r="G178" s="22">
        <v>52</v>
      </c>
      <c r="H178" s="22" t="s">
        <v>1264</v>
      </c>
    </row>
    <row r="179" spans="1:8" x14ac:dyDescent="0.35">
      <c r="A179" s="22" t="s">
        <v>851</v>
      </c>
      <c r="B179" s="22" t="str">
        <f>"00696"</f>
        <v>00696</v>
      </c>
      <c r="C179" s="22" t="str">
        <f t="shared" si="2"/>
        <v>'0696.HK'</v>
      </c>
      <c r="D179" s="22" t="s">
        <v>1265</v>
      </c>
      <c r="E179" s="22" t="s">
        <v>1202</v>
      </c>
      <c r="F179" s="22">
        <v>50506377506.139999</v>
      </c>
      <c r="G179" s="22">
        <v>135</v>
      </c>
      <c r="H179" s="22" t="s">
        <v>1266</v>
      </c>
    </row>
    <row r="180" spans="1:8" x14ac:dyDescent="0.35">
      <c r="A180" s="22" t="s">
        <v>851</v>
      </c>
      <c r="B180" s="22" t="str">
        <f>"02607"</f>
        <v>02607</v>
      </c>
      <c r="C180" s="22" t="str">
        <f t="shared" si="2"/>
        <v>'2607.HK'</v>
      </c>
      <c r="D180" s="22" t="s">
        <v>1267</v>
      </c>
      <c r="E180" s="22" t="s">
        <v>969</v>
      </c>
      <c r="F180" s="22">
        <v>49906005147</v>
      </c>
      <c r="G180" s="22">
        <v>267</v>
      </c>
      <c r="H180" s="22" t="s">
        <v>1268</v>
      </c>
    </row>
    <row r="181" spans="1:8" x14ac:dyDescent="0.35">
      <c r="A181" s="22" t="s">
        <v>851</v>
      </c>
      <c r="B181" s="22" t="str">
        <f>"01797"</f>
        <v>01797</v>
      </c>
      <c r="C181" s="22" t="str">
        <f t="shared" si="2"/>
        <v>'1797.HK'</v>
      </c>
      <c r="D181" s="22" t="s">
        <v>1269</v>
      </c>
      <c r="E181" s="22" t="s">
        <v>1270</v>
      </c>
      <c r="F181" s="22">
        <v>49786578072</v>
      </c>
      <c r="G181" s="22">
        <v>192</v>
      </c>
      <c r="H181" s="22" t="s">
        <v>1271</v>
      </c>
    </row>
    <row r="182" spans="1:8" x14ac:dyDescent="0.35">
      <c r="A182" s="22" t="s">
        <v>851</v>
      </c>
      <c r="B182" s="22" t="str">
        <f>"09889"</f>
        <v>09889</v>
      </c>
      <c r="C182" s="22" t="str">
        <f t="shared" si="2"/>
        <v>'9889.HK'</v>
      </c>
      <c r="D182" s="22" t="s">
        <v>1272</v>
      </c>
      <c r="E182" s="22" t="s">
        <v>858</v>
      </c>
      <c r="F182" s="22">
        <v>49735298582.199997</v>
      </c>
      <c r="G182" s="22">
        <v>3</v>
      </c>
      <c r="H182" s="22" t="s">
        <v>1273</v>
      </c>
    </row>
    <row r="183" spans="1:8" x14ac:dyDescent="0.35">
      <c r="A183" s="22" t="s">
        <v>851</v>
      </c>
      <c r="B183" s="22" t="str">
        <f>"00135"</f>
        <v>00135</v>
      </c>
      <c r="C183" s="22" t="str">
        <f t="shared" si="2"/>
        <v>'0135.HK'</v>
      </c>
      <c r="D183" s="22" t="s">
        <v>1274</v>
      </c>
      <c r="E183" s="22" t="s">
        <v>1031</v>
      </c>
      <c r="F183" s="22">
        <v>48835641633.120003</v>
      </c>
      <c r="G183" s="22">
        <v>100</v>
      </c>
      <c r="H183" s="22" t="s">
        <v>1275</v>
      </c>
    </row>
    <row r="184" spans="1:8" x14ac:dyDescent="0.35">
      <c r="A184" s="22" t="s">
        <v>851</v>
      </c>
      <c r="B184" s="22" t="str">
        <f>"03799"</f>
        <v>03799</v>
      </c>
      <c r="C184" s="22" t="str">
        <f t="shared" si="2"/>
        <v>'3799.HK'</v>
      </c>
      <c r="D184" s="22" t="s">
        <v>1276</v>
      </c>
      <c r="E184" s="22" t="s">
        <v>1205</v>
      </c>
      <c r="F184" s="22">
        <v>48751058300</v>
      </c>
      <c r="G184" s="22">
        <v>202</v>
      </c>
      <c r="H184" s="22" t="s">
        <v>1277</v>
      </c>
    </row>
    <row r="185" spans="1:8" x14ac:dyDescent="0.35">
      <c r="A185" s="22" t="s">
        <v>851</v>
      </c>
      <c r="B185" s="22" t="str">
        <f>"01128"</f>
        <v>01128</v>
      </c>
      <c r="C185" s="22" t="str">
        <f t="shared" si="2"/>
        <v>'1128.HK'</v>
      </c>
      <c r="D185" s="22" t="s">
        <v>1278</v>
      </c>
      <c r="E185" s="22" t="s">
        <v>961</v>
      </c>
      <c r="F185" s="22">
        <v>48375387984</v>
      </c>
      <c r="G185" s="22">
        <v>128</v>
      </c>
      <c r="H185" s="22" t="s">
        <v>1279</v>
      </c>
    </row>
    <row r="186" spans="1:8" x14ac:dyDescent="0.35">
      <c r="A186" s="22" t="s">
        <v>851</v>
      </c>
      <c r="B186" s="22" t="str">
        <f>"09901"</f>
        <v>09901</v>
      </c>
      <c r="C186" s="22" t="str">
        <f t="shared" si="2"/>
        <v>'9901.HK'</v>
      </c>
      <c r="D186" s="22" t="s">
        <v>1280</v>
      </c>
      <c r="E186" s="22" t="s">
        <v>1270</v>
      </c>
      <c r="F186" s="22">
        <v>47826738000</v>
      </c>
      <c r="G186" s="22">
        <v>29</v>
      </c>
      <c r="H186" s="22" t="s">
        <v>1281</v>
      </c>
    </row>
    <row r="187" spans="1:8" x14ac:dyDescent="0.35">
      <c r="A187" s="22" t="s">
        <v>851</v>
      </c>
      <c r="B187" s="22" t="str">
        <f>"01044"</f>
        <v>01044</v>
      </c>
      <c r="C187" s="22" t="str">
        <f t="shared" si="2"/>
        <v>'1044.HK'</v>
      </c>
      <c r="D187" s="22" t="s">
        <v>1282</v>
      </c>
      <c r="E187" s="22" t="s">
        <v>1283</v>
      </c>
      <c r="F187" s="22">
        <v>47298321321.900002</v>
      </c>
      <c r="G187" s="22">
        <v>265</v>
      </c>
      <c r="H187" s="22" t="s">
        <v>1284</v>
      </c>
    </row>
    <row r="188" spans="1:8" x14ac:dyDescent="0.35">
      <c r="A188" s="22" t="s">
        <v>851</v>
      </c>
      <c r="B188" s="22" t="str">
        <f>"01308"</f>
        <v>01308</v>
      </c>
      <c r="C188" s="22" t="str">
        <f t="shared" si="2"/>
        <v>'1308.HK'</v>
      </c>
      <c r="D188" s="22" t="s">
        <v>1285</v>
      </c>
      <c r="E188" s="22" t="s">
        <v>1047</v>
      </c>
      <c r="F188" s="22">
        <v>46889337172.800003</v>
      </c>
      <c r="G188" s="22">
        <v>64</v>
      </c>
      <c r="H188" s="22" t="s">
        <v>1286</v>
      </c>
    </row>
    <row r="189" spans="1:8" x14ac:dyDescent="0.35">
      <c r="A189" s="22" t="s">
        <v>851</v>
      </c>
      <c r="B189" s="22" t="str">
        <f>"02588"</f>
        <v>02588</v>
      </c>
      <c r="C189" s="22" t="str">
        <f t="shared" si="2"/>
        <v>'2588.HK'</v>
      </c>
      <c r="D189" s="22" t="s">
        <v>1287</v>
      </c>
      <c r="E189" s="22" t="s">
        <v>1081</v>
      </c>
      <c r="F189" s="22">
        <v>46463991861.300003</v>
      </c>
      <c r="G189" s="22">
        <v>92</v>
      </c>
      <c r="H189" s="22" t="s">
        <v>1288</v>
      </c>
    </row>
    <row r="190" spans="1:8" x14ac:dyDescent="0.35">
      <c r="A190" s="22" t="s">
        <v>851</v>
      </c>
      <c r="B190" s="22" t="str">
        <f>"02638"</f>
        <v>02638</v>
      </c>
      <c r="C190" s="22" t="str">
        <f t="shared" si="2"/>
        <v>'2638.HK'</v>
      </c>
      <c r="D190" s="22" t="s">
        <v>1289</v>
      </c>
      <c r="E190" s="22" t="s">
        <v>1022</v>
      </c>
      <c r="F190" s="22">
        <v>46390050000</v>
      </c>
      <c r="G190" s="22">
        <v>26</v>
      </c>
      <c r="H190" s="22" t="s">
        <v>1290</v>
      </c>
    </row>
    <row r="191" spans="1:8" x14ac:dyDescent="0.35">
      <c r="A191" s="22" t="s">
        <v>851</v>
      </c>
      <c r="B191" s="22" t="str">
        <f>"00144"</f>
        <v>00144</v>
      </c>
      <c r="C191" s="22" t="str">
        <f t="shared" si="2"/>
        <v>'0144.HK'</v>
      </c>
      <c r="D191" s="22" t="s">
        <v>1291</v>
      </c>
      <c r="E191" s="22" t="s">
        <v>1047</v>
      </c>
      <c r="F191" s="22">
        <v>46359175672.68</v>
      </c>
      <c r="G191" s="22">
        <v>249</v>
      </c>
      <c r="H191" s="22" t="s">
        <v>1292</v>
      </c>
    </row>
    <row r="192" spans="1:8" x14ac:dyDescent="0.35">
      <c r="A192" s="22" t="s">
        <v>851</v>
      </c>
      <c r="B192" s="22" t="str">
        <f>"02883"</f>
        <v>02883</v>
      </c>
      <c r="C192" s="22" t="str">
        <f t="shared" si="2"/>
        <v>'2883.HK'</v>
      </c>
      <c r="D192" s="22" t="s">
        <v>1293</v>
      </c>
      <c r="E192" s="22" t="s">
        <v>1294</v>
      </c>
      <c r="F192" s="22">
        <v>46141294640</v>
      </c>
      <c r="G192" s="22">
        <v>133</v>
      </c>
      <c r="H192" s="22" t="s">
        <v>1295</v>
      </c>
    </row>
    <row r="193" spans="1:8" x14ac:dyDescent="0.35">
      <c r="A193" s="22" t="s">
        <v>851</v>
      </c>
      <c r="B193" s="22" t="str">
        <f>"02380"</f>
        <v>02380</v>
      </c>
      <c r="C193" s="22" t="str">
        <f t="shared" si="2"/>
        <v>'2380.HK'</v>
      </c>
      <c r="D193" s="22" t="s">
        <v>1296</v>
      </c>
      <c r="E193" s="22" t="s">
        <v>1022</v>
      </c>
      <c r="F193" s="22">
        <v>44656245048.629997</v>
      </c>
      <c r="G193" s="22">
        <v>248</v>
      </c>
      <c r="H193" s="22" t="s">
        <v>1297</v>
      </c>
    </row>
    <row r="194" spans="1:8" x14ac:dyDescent="0.35">
      <c r="A194" s="22" t="s">
        <v>851</v>
      </c>
      <c r="B194" s="22" t="str">
        <f>"00247"</f>
        <v>00247</v>
      </c>
      <c r="C194" s="22" t="str">
        <f t="shared" si="2"/>
        <v>'0247.HK'</v>
      </c>
      <c r="D194" s="22" t="s">
        <v>1298</v>
      </c>
      <c r="E194" s="22" t="s">
        <v>924</v>
      </c>
      <c r="F194" s="22">
        <v>44462750482.5</v>
      </c>
      <c r="G194" s="22">
        <v>16</v>
      </c>
      <c r="H194" s="22" t="s">
        <v>1299</v>
      </c>
    </row>
    <row r="195" spans="1:8" x14ac:dyDescent="0.35">
      <c r="A195" s="22" t="s">
        <v>851</v>
      </c>
      <c r="B195" s="22" t="str">
        <f>"01072"</f>
        <v>01072</v>
      </c>
      <c r="C195" s="22" t="str">
        <f t="shared" ref="C195:C258" si="3">CONCATENATE("'",RIGHT(B195,4),".HK'")</f>
        <v>'1072.HK'</v>
      </c>
      <c r="D195" s="22" t="s">
        <v>1300</v>
      </c>
      <c r="E195" s="22" t="s">
        <v>1301</v>
      </c>
      <c r="F195" s="22">
        <v>43413804534.239998</v>
      </c>
      <c r="G195" s="22">
        <v>71</v>
      </c>
      <c r="H195" s="22" t="s">
        <v>1302</v>
      </c>
    </row>
    <row r="196" spans="1:8" x14ac:dyDescent="0.35">
      <c r="A196" s="22" t="s">
        <v>851</v>
      </c>
      <c r="B196" s="22" t="str">
        <f>"01585"</f>
        <v>01585</v>
      </c>
      <c r="C196" s="22" t="str">
        <f t="shared" si="3"/>
        <v>'1585.HK'</v>
      </c>
      <c r="D196" s="22" t="s">
        <v>1303</v>
      </c>
      <c r="E196" s="22" t="s">
        <v>886</v>
      </c>
      <c r="F196" s="22">
        <v>43260856000</v>
      </c>
      <c r="G196" s="22">
        <v>118</v>
      </c>
      <c r="H196" s="22" t="s">
        <v>1304</v>
      </c>
    </row>
    <row r="197" spans="1:8" x14ac:dyDescent="0.35">
      <c r="A197" s="22" t="s">
        <v>851</v>
      </c>
      <c r="B197" s="22" t="str">
        <f>"00780"</f>
        <v>00780</v>
      </c>
      <c r="C197" s="22" t="str">
        <f t="shared" si="3"/>
        <v>'0780.HK'</v>
      </c>
      <c r="D197" s="22" t="s">
        <v>1305</v>
      </c>
      <c r="E197" s="22" t="s">
        <v>897</v>
      </c>
      <c r="F197" s="22">
        <v>43255702709.519997</v>
      </c>
      <c r="G197" s="22">
        <v>51</v>
      </c>
      <c r="H197" s="22" t="s">
        <v>1306</v>
      </c>
    </row>
    <row r="198" spans="1:8" x14ac:dyDescent="0.35">
      <c r="A198" s="22" t="s">
        <v>851</v>
      </c>
      <c r="B198" s="22" t="str">
        <f>"03311"</f>
        <v>03311</v>
      </c>
      <c r="C198" s="22" t="str">
        <f t="shared" si="3"/>
        <v>'3311.HK'</v>
      </c>
      <c r="D198" s="22" t="s">
        <v>1307</v>
      </c>
      <c r="E198" s="22" t="s">
        <v>1078</v>
      </c>
      <c r="F198" s="22">
        <v>42668613177.959999</v>
      </c>
      <c r="G198" s="22">
        <v>157</v>
      </c>
      <c r="H198" s="22" t="s">
        <v>1308</v>
      </c>
    </row>
    <row r="199" spans="1:8" x14ac:dyDescent="0.35">
      <c r="A199" s="22" t="s">
        <v>851</v>
      </c>
      <c r="B199" s="22" t="str">
        <f>"06821"</f>
        <v>06821</v>
      </c>
      <c r="C199" s="22" t="str">
        <f t="shared" si="3"/>
        <v>'6821.HK'</v>
      </c>
      <c r="D199" s="22" t="s">
        <v>1309</v>
      </c>
      <c r="E199" s="22" t="s">
        <v>969</v>
      </c>
      <c r="F199" s="22">
        <v>42585211921.5</v>
      </c>
      <c r="G199" s="22">
        <v>18</v>
      </c>
      <c r="H199" s="22" t="s">
        <v>1310</v>
      </c>
    </row>
    <row r="200" spans="1:8" x14ac:dyDescent="0.35">
      <c r="A200" s="22" t="s">
        <v>851</v>
      </c>
      <c r="B200" s="22" t="str">
        <f>"01359"</f>
        <v>01359</v>
      </c>
      <c r="C200" s="22" t="str">
        <f t="shared" si="3"/>
        <v>'1359.HK'</v>
      </c>
      <c r="D200" s="22" t="s">
        <v>1311</v>
      </c>
      <c r="E200" s="22" t="s">
        <v>964</v>
      </c>
      <c r="F200" s="22">
        <v>41980988661.699997</v>
      </c>
      <c r="G200" s="22">
        <v>516</v>
      </c>
      <c r="H200" s="22" t="s">
        <v>1312</v>
      </c>
    </row>
    <row r="201" spans="1:8" x14ac:dyDescent="0.35">
      <c r="A201" s="22" t="s">
        <v>851</v>
      </c>
      <c r="B201" s="22" t="str">
        <f>"03320"</f>
        <v>03320</v>
      </c>
      <c r="C201" s="22" t="str">
        <f t="shared" si="3"/>
        <v>'3320.HK'</v>
      </c>
      <c r="D201" s="22" t="s">
        <v>1313</v>
      </c>
      <c r="E201" s="22" t="s">
        <v>969</v>
      </c>
      <c r="F201" s="22">
        <v>40961968205.720001</v>
      </c>
      <c r="G201" s="22">
        <v>140</v>
      </c>
      <c r="H201" s="22" t="s">
        <v>1314</v>
      </c>
    </row>
    <row r="202" spans="1:8" x14ac:dyDescent="0.35">
      <c r="A202" s="22" t="s">
        <v>851</v>
      </c>
      <c r="B202" s="22" t="str">
        <f>"00358"</f>
        <v>00358</v>
      </c>
      <c r="C202" s="22" t="str">
        <f t="shared" si="3"/>
        <v>'0358.HK'</v>
      </c>
      <c r="D202" s="22" t="s">
        <v>1315</v>
      </c>
      <c r="E202" s="22" t="s">
        <v>1316</v>
      </c>
      <c r="F202" s="22">
        <v>40860206979</v>
      </c>
      <c r="G202" s="22">
        <v>116</v>
      </c>
      <c r="H202" s="22" t="s">
        <v>1317</v>
      </c>
    </row>
    <row r="203" spans="1:8" x14ac:dyDescent="0.35">
      <c r="A203" s="22" t="s">
        <v>851</v>
      </c>
      <c r="B203" s="22" t="str">
        <f>"03668"</f>
        <v>03668</v>
      </c>
      <c r="C203" s="22" t="str">
        <f t="shared" si="3"/>
        <v>'3668.HK'</v>
      </c>
      <c r="D203" s="22" t="s">
        <v>1318</v>
      </c>
      <c r="E203" s="22" t="s">
        <v>904</v>
      </c>
      <c r="F203" s="22">
        <v>40669534659.599998</v>
      </c>
      <c r="G203" s="22">
        <v>14</v>
      </c>
      <c r="H203" s="22" t="s">
        <v>1319</v>
      </c>
    </row>
    <row r="204" spans="1:8" x14ac:dyDescent="0.35">
      <c r="A204" s="22" t="s">
        <v>851</v>
      </c>
      <c r="B204" s="22" t="str">
        <f>"06865"</f>
        <v>06865</v>
      </c>
      <c r="C204" s="22" t="str">
        <f t="shared" si="3"/>
        <v>'6865.HK'</v>
      </c>
      <c r="D204" s="22" t="s">
        <v>1320</v>
      </c>
      <c r="E204" s="22" t="s">
        <v>1145</v>
      </c>
      <c r="F204" s="22">
        <v>40490413050.82</v>
      </c>
      <c r="G204" s="22">
        <v>106</v>
      </c>
      <c r="H204" s="22" t="s">
        <v>1321</v>
      </c>
    </row>
    <row r="205" spans="1:8" x14ac:dyDescent="0.35">
      <c r="A205" s="22" t="s">
        <v>851</v>
      </c>
      <c r="B205" s="22" t="str">
        <f>"03998"</f>
        <v>03998</v>
      </c>
      <c r="C205" s="22" t="str">
        <f t="shared" si="3"/>
        <v>'3998.HK'</v>
      </c>
      <c r="D205" s="22" t="s">
        <v>1322</v>
      </c>
      <c r="E205" s="22" t="s">
        <v>889</v>
      </c>
      <c r="F205" s="22">
        <v>40423423138.349998</v>
      </c>
      <c r="G205" s="22">
        <v>127</v>
      </c>
      <c r="H205" s="22" t="s">
        <v>1323</v>
      </c>
    </row>
    <row r="206" spans="1:8" x14ac:dyDescent="0.35">
      <c r="A206" s="22" t="s">
        <v>851</v>
      </c>
      <c r="B206" s="22" t="str">
        <f>"00853"</f>
        <v>00853</v>
      </c>
      <c r="C206" s="22" t="str">
        <f t="shared" si="3"/>
        <v>'0853.HK'</v>
      </c>
      <c r="D206" s="22" t="s">
        <v>1324</v>
      </c>
      <c r="E206" s="22" t="s">
        <v>1232</v>
      </c>
      <c r="F206" s="22">
        <v>40291494960.150002</v>
      </c>
      <c r="G206" s="22">
        <v>525</v>
      </c>
      <c r="H206" s="22" t="s">
        <v>1325</v>
      </c>
    </row>
    <row r="207" spans="1:8" x14ac:dyDescent="0.35">
      <c r="A207" s="22" t="s">
        <v>851</v>
      </c>
      <c r="B207" s="22" t="str">
        <f>"09926"</f>
        <v>09926</v>
      </c>
      <c r="C207" s="22" t="str">
        <f t="shared" si="3"/>
        <v>'9926.HK'</v>
      </c>
      <c r="D207" s="22" t="s">
        <v>1326</v>
      </c>
      <c r="E207" s="22" t="s">
        <v>941</v>
      </c>
      <c r="F207" s="22">
        <v>39782004424.800003</v>
      </c>
      <c r="G207" s="22">
        <v>106</v>
      </c>
      <c r="H207" s="22" t="s">
        <v>1327</v>
      </c>
    </row>
    <row r="208" spans="1:8" x14ac:dyDescent="0.35">
      <c r="A208" s="22" t="s">
        <v>851</v>
      </c>
      <c r="B208" s="22" t="str">
        <f>"06689"</f>
        <v>06689</v>
      </c>
      <c r="C208" s="22" t="str">
        <f t="shared" si="3"/>
        <v>'6689.HK'</v>
      </c>
      <c r="D208" s="22" t="s">
        <v>1328</v>
      </c>
      <c r="E208" s="22" t="s">
        <v>1329</v>
      </c>
      <c r="F208" s="22">
        <v>39539400649.199997</v>
      </c>
      <c r="G208" s="22">
        <v>0</v>
      </c>
      <c r="H208" s="22" t="s">
        <v>1330</v>
      </c>
    </row>
    <row r="209" spans="1:8" x14ac:dyDescent="0.35">
      <c r="A209" s="22" t="s">
        <v>851</v>
      </c>
      <c r="B209" s="22" t="str">
        <f>"06110"</f>
        <v>06110</v>
      </c>
      <c r="C209" s="22" t="str">
        <f t="shared" si="3"/>
        <v>'6110.HK'</v>
      </c>
      <c r="D209" s="22" t="s">
        <v>1331</v>
      </c>
      <c r="E209" s="22" t="s">
        <v>1332</v>
      </c>
      <c r="F209" s="22">
        <v>39439772072.639999</v>
      </c>
      <c r="G209" s="22">
        <v>45</v>
      </c>
      <c r="H209" s="22" t="s">
        <v>1333</v>
      </c>
    </row>
    <row r="210" spans="1:8" x14ac:dyDescent="0.35">
      <c r="A210" s="22" t="s">
        <v>851</v>
      </c>
      <c r="B210" s="22" t="str">
        <f>"06881"</f>
        <v>06881</v>
      </c>
      <c r="C210" s="22" t="str">
        <f t="shared" si="3"/>
        <v>'6881.HK'</v>
      </c>
      <c r="D210" s="22" t="s">
        <v>1334</v>
      </c>
      <c r="E210" s="22" t="s">
        <v>1130</v>
      </c>
      <c r="F210" s="22">
        <v>39129891439.5</v>
      </c>
      <c r="G210" s="22">
        <v>257</v>
      </c>
      <c r="H210" s="22" t="s">
        <v>1335</v>
      </c>
    </row>
    <row r="211" spans="1:8" x14ac:dyDescent="0.35">
      <c r="A211" s="22" t="s">
        <v>851</v>
      </c>
      <c r="B211" s="22" t="str">
        <f>"00489"</f>
        <v>00489</v>
      </c>
      <c r="C211" s="22" t="str">
        <f t="shared" si="3"/>
        <v>'0489.HK'</v>
      </c>
      <c r="D211" s="22" t="s">
        <v>1336</v>
      </c>
      <c r="E211" s="22" t="s">
        <v>1109</v>
      </c>
      <c r="F211" s="22">
        <v>38858701200</v>
      </c>
      <c r="G211" s="22">
        <v>346</v>
      </c>
      <c r="H211" s="22" t="s">
        <v>1337</v>
      </c>
    </row>
    <row r="212" spans="1:8" x14ac:dyDescent="0.35">
      <c r="A212" s="22" t="s">
        <v>851</v>
      </c>
      <c r="B212" s="22" t="str">
        <f>"03888"</f>
        <v>03888</v>
      </c>
      <c r="C212" s="22" t="str">
        <f t="shared" si="3"/>
        <v>'3888.HK'</v>
      </c>
      <c r="D212" s="22" t="s">
        <v>1338</v>
      </c>
      <c r="E212" s="22" t="s">
        <v>910</v>
      </c>
      <c r="F212" s="22">
        <v>38757313148.650002</v>
      </c>
      <c r="G212" s="22">
        <v>328</v>
      </c>
      <c r="H212" s="22" t="s">
        <v>1339</v>
      </c>
    </row>
    <row r="213" spans="1:8" x14ac:dyDescent="0.35">
      <c r="A213" s="22" t="s">
        <v>851</v>
      </c>
      <c r="B213" s="22" t="str">
        <f>"01877"</f>
        <v>01877</v>
      </c>
      <c r="C213" s="22" t="str">
        <f t="shared" si="3"/>
        <v>'1877.HK'</v>
      </c>
      <c r="D213" s="22" t="s">
        <v>1340</v>
      </c>
      <c r="E213" s="22" t="s">
        <v>941</v>
      </c>
      <c r="F213" s="22">
        <v>38386252462</v>
      </c>
      <c r="G213" s="22">
        <v>132</v>
      </c>
      <c r="H213" s="22" t="s">
        <v>1341</v>
      </c>
    </row>
    <row r="214" spans="1:8" x14ac:dyDescent="0.35">
      <c r="A214" s="22" t="s">
        <v>851</v>
      </c>
      <c r="B214" s="22" t="str">
        <f>"03996"</f>
        <v>03996</v>
      </c>
      <c r="C214" s="22" t="str">
        <f t="shared" si="3"/>
        <v>'3996.HK'</v>
      </c>
      <c r="D214" s="22" t="s">
        <v>1342</v>
      </c>
      <c r="E214" s="22" t="s">
        <v>1301</v>
      </c>
      <c r="F214" s="22">
        <v>38355870545.120003</v>
      </c>
      <c r="G214" s="22">
        <v>83</v>
      </c>
      <c r="H214" s="22" t="s">
        <v>1343</v>
      </c>
    </row>
    <row r="215" spans="1:8" x14ac:dyDescent="0.35">
      <c r="A215" s="22" t="s">
        <v>851</v>
      </c>
      <c r="B215" s="22" t="str">
        <f>"06199"</f>
        <v>06199</v>
      </c>
      <c r="C215" s="22" t="str">
        <f t="shared" si="3"/>
        <v>'6199.HK'</v>
      </c>
      <c r="D215" s="22" t="s">
        <v>1344</v>
      </c>
      <c r="E215" s="22" t="s">
        <v>858</v>
      </c>
      <c r="F215" s="22">
        <v>38220682469.279999</v>
      </c>
      <c r="G215" s="22">
        <v>10</v>
      </c>
      <c r="H215" s="22" t="s">
        <v>1345</v>
      </c>
    </row>
    <row r="216" spans="1:8" x14ac:dyDescent="0.35">
      <c r="A216" s="22" t="s">
        <v>851</v>
      </c>
      <c r="B216" s="22" t="str">
        <f>"01908"</f>
        <v>01908</v>
      </c>
      <c r="C216" s="22" t="str">
        <f t="shared" si="3"/>
        <v>'1908.HK'</v>
      </c>
      <c r="D216" s="22" t="s">
        <v>1346</v>
      </c>
      <c r="E216" s="22" t="s">
        <v>924</v>
      </c>
      <c r="F216" s="22">
        <v>37674480493</v>
      </c>
      <c r="G216" s="22">
        <v>51</v>
      </c>
      <c r="H216" s="22" t="s">
        <v>1347</v>
      </c>
    </row>
    <row r="217" spans="1:8" x14ac:dyDescent="0.35">
      <c r="A217" s="22" t="s">
        <v>851</v>
      </c>
      <c r="B217" s="22" t="str">
        <f>"00874"</f>
        <v>00874</v>
      </c>
      <c r="C217" s="22" t="str">
        <f t="shared" si="3"/>
        <v>'0874.HK'</v>
      </c>
      <c r="D217" s="22" t="s">
        <v>1348</v>
      </c>
      <c r="E217" s="22" t="s">
        <v>1349</v>
      </c>
      <c r="F217" s="22">
        <v>37555770921.900002</v>
      </c>
      <c r="G217" s="22">
        <v>288</v>
      </c>
      <c r="H217" s="22" t="s">
        <v>1350</v>
      </c>
    </row>
    <row r="218" spans="1:8" x14ac:dyDescent="0.35">
      <c r="A218" s="22" t="s">
        <v>851</v>
      </c>
      <c r="B218" s="22" t="str">
        <f>"02282"</f>
        <v>02282</v>
      </c>
      <c r="C218" s="22" t="str">
        <f t="shared" si="3"/>
        <v>'2282.HK'</v>
      </c>
      <c r="D218" s="22" t="s">
        <v>1351</v>
      </c>
      <c r="E218" s="22" t="s">
        <v>961</v>
      </c>
      <c r="F218" s="22">
        <v>37012000009.739998</v>
      </c>
      <c r="G218" s="22">
        <v>94</v>
      </c>
      <c r="H218" s="22" t="s">
        <v>1352</v>
      </c>
    </row>
    <row r="219" spans="1:8" x14ac:dyDescent="0.35">
      <c r="A219" s="22" t="s">
        <v>851</v>
      </c>
      <c r="B219" s="22" t="str">
        <f>"09898"</f>
        <v>09898</v>
      </c>
      <c r="C219" s="22" t="str">
        <f t="shared" si="3"/>
        <v>'9898.HK'</v>
      </c>
      <c r="D219" s="22" t="s">
        <v>1353</v>
      </c>
      <c r="E219" s="22" t="s">
        <v>853</v>
      </c>
      <c r="F219" s="22">
        <v>36980080000</v>
      </c>
      <c r="G219" s="22">
        <v>15</v>
      </c>
      <c r="H219" s="22" t="s">
        <v>1354</v>
      </c>
    </row>
    <row r="220" spans="1:8" x14ac:dyDescent="0.35">
      <c r="A220" s="22" t="s">
        <v>851</v>
      </c>
      <c r="B220" s="22" t="str">
        <f>"06806"</f>
        <v>06806</v>
      </c>
      <c r="C220" s="22" t="str">
        <f t="shared" si="3"/>
        <v>'6806.HK'</v>
      </c>
      <c r="D220" s="22" t="s">
        <v>1355</v>
      </c>
      <c r="E220" s="22" t="s">
        <v>1130</v>
      </c>
      <c r="F220" s="22">
        <v>36558319057.599998</v>
      </c>
      <c r="G220" s="22">
        <v>68</v>
      </c>
      <c r="H220" s="22" t="s">
        <v>1356</v>
      </c>
    </row>
    <row r="221" spans="1:8" x14ac:dyDescent="0.35">
      <c r="A221" s="22" t="s">
        <v>851</v>
      </c>
      <c r="B221" s="22" t="str">
        <f>"00973"</f>
        <v>00973</v>
      </c>
      <c r="C221" s="22" t="str">
        <f t="shared" si="3"/>
        <v>'0973.HK'</v>
      </c>
      <c r="D221" s="22" t="s">
        <v>1357</v>
      </c>
      <c r="E221" s="22" t="s">
        <v>1002</v>
      </c>
      <c r="F221" s="22">
        <v>36333336318.599998</v>
      </c>
      <c r="G221" s="22">
        <v>18</v>
      </c>
      <c r="H221" s="22" t="s">
        <v>1358</v>
      </c>
    </row>
    <row r="222" spans="1:8" x14ac:dyDescent="0.35">
      <c r="A222" s="22" t="s">
        <v>851</v>
      </c>
      <c r="B222" s="22" t="str">
        <f>"01618"</f>
        <v>01618</v>
      </c>
      <c r="C222" s="22" t="str">
        <f t="shared" si="3"/>
        <v>'1618.HK'</v>
      </c>
      <c r="D222" s="22" t="s">
        <v>1359</v>
      </c>
      <c r="E222" s="22" t="s">
        <v>1078</v>
      </c>
      <c r="F222" s="22">
        <v>36266333547.5</v>
      </c>
      <c r="G222" s="22">
        <v>135</v>
      </c>
      <c r="H222" s="22" t="s">
        <v>1360</v>
      </c>
    </row>
    <row r="223" spans="1:8" x14ac:dyDescent="0.35">
      <c r="A223" s="22" t="s">
        <v>851</v>
      </c>
      <c r="B223" s="22" t="str">
        <f>"06078"</f>
        <v>06078</v>
      </c>
      <c r="C223" s="22" t="str">
        <f t="shared" si="3"/>
        <v>'6078.HK'</v>
      </c>
      <c r="D223" s="22" t="s">
        <v>1361</v>
      </c>
      <c r="E223" s="22" t="s">
        <v>1362</v>
      </c>
      <c r="F223" s="22">
        <v>36170874330</v>
      </c>
      <c r="G223" s="22">
        <v>125</v>
      </c>
      <c r="H223" s="22" t="s">
        <v>1363</v>
      </c>
    </row>
    <row r="224" spans="1:8" x14ac:dyDescent="0.35">
      <c r="A224" s="22" t="s">
        <v>851</v>
      </c>
      <c r="B224" s="22" t="str">
        <f>"01347"</f>
        <v>01347</v>
      </c>
      <c r="C224" s="22" t="str">
        <f t="shared" si="3"/>
        <v>'1347.HK'</v>
      </c>
      <c r="D224" s="22" t="s">
        <v>1364</v>
      </c>
      <c r="E224" s="22" t="s">
        <v>1040</v>
      </c>
      <c r="F224" s="22">
        <v>36128646129.449997</v>
      </c>
      <c r="G224" s="22">
        <v>199</v>
      </c>
      <c r="H224" s="22" t="s">
        <v>1365</v>
      </c>
    </row>
    <row r="225" spans="1:8" x14ac:dyDescent="0.35">
      <c r="A225" s="22" t="s">
        <v>851</v>
      </c>
      <c r="B225" s="22" t="str">
        <f>"00177"</f>
        <v>00177</v>
      </c>
      <c r="C225" s="22" t="str">
        <f t="shared" si="3"/>
        <v>'0177.HK'</v>
      </c>
      <c r="D225" s="22" t="s">
        <v>1366</v>
      </c>
      <c r="E225" s="22" t="s">
        <v>1367</v>
      </c>
      <c r="F225" s="22">
        <v>35969517150</v>
      </c>
      <c r="G225" s="22">
        <v>170</v>
      </c>
      <c r="H225" s="22" t="s">
        <v>1368</v>
      </c>
    </row>
    <row r="226" spans="1:8" x14ac:dyDescent="0.35">
      <c r="A226" s="22" t="s">
        <v>851</v>
      </c>
      <c r="B226" s="22" t="str">
        <f>"03931"</f>
        <v>03931</v>
      </c>
      <c r="C226" s="22" t="str">
        <f t="shared" si="3"/>
        <v>'3931.HK'</v>
      </c>
      <c r="D226" s="22" t="s">
        <v>1369</v>
      </c>
      <c r="E226" s="22" t="s">
        <v>1122</v>
      </c>
      <c r="F226" s="22">
        <v>35446037160</v>
      </c>
      <c r="G226" s="22">
        <v>7</v>
      </c>
      <c r="H226" s="22" t="s">
        <v>1370</v>
      </c>
    </row>
    <row r="227" spans="1:8" x14ac:dyDescent="0.35">
      <c r="A227" s="22" t="s">
        <v>851</v>
      </c>
      <c r="B227" s="22" t="str">
        <f>"00966"</f>
        <v>00966</v>
      </c>
      <c r="C227" s="22" t="str">
        <f t="shared" si="3"/>
        <v>'0966.HK'</v>
      </c>
      <c r="D227" s="22" t="s">
        <v>1371</v>
      </c>
      <c r="E227" s="22" t="s">
        <v>870</v>
      </c>
      <c r="F227" s="22">
        <v>35329202228.540001</v>
      </c>
      <c r="G227" s="22">
        <v>560</v>
      </c>
      <c r="H227" s="22" t="s">
        <v>1372</v>
      </c>
    </row>
    <row r="228" spans="1:8" x14ac:dyDescent="0.35">
      <c r="A228" s="22" t="s">
        <v>851</v>
      </c>
      <c r="B228" s="22" t="str">
        <f>"00412"</f>
        <v>00412</v>
      </c>
      <c r="C228" s="22" t="str">
        <f t="shared" si="3"/>
        <v>'0412.HK'</v>
      </c>
      <c r="D228" s="22" t="s">
        <v>1373</v>
      </c>
      <c r="E228" s="22" t="s">
        <v>964</v>
      </c>
      <c r="F228" s="22">
        <v>34732117498.93</v>
      </c>
      <c r="G228" s="22">
        <v>6</v>
      </c>
      <c r="H228" s="22" t="s">
        <v>1374</v>
      </c>
    </row>
    <row r="229" spans="1:8" x14ac:dyDescent="0.35">
      <c r="A229" s="22" t="s">
        <v>851</v>
      </c>
      <c r="B229" s="22" t="str">
        <f>"02367"</f>
        <v>02367</v>
      </c>
      <c r="C229" s="22" t="str">
        <f t="shared" si="3"/>
        <v>'2367.HK'</v>
      </c>
      <c r="D229" s="22" t="s">
        <v>1375</v>
      </c>
      <c r="E229" s="22" t="s">
        <v>941</v>
      </c>
      <c r="F229" s="22">
        <v>34576250000</v>
      </c>
      <c r="G229" s="22">
        <v>5</v>
      </c>
      <c r="H229" s="22" t="s">
        <v>1376</v>
      </c>
    </row>
    <row r="230" spans="1:8" x14ac:dyDescent="0.35">
      <c r="A230" s="22" t="s">
        <v>851</v>
      </c>
      <c r="B230" s="22" t="str">
        <f>"02689"</f>
        <v>02689</v>
      </c>
      <c r="C230" s="22" t="str">
        <f t="shared" si="3"/>
        <v>'2689.HK'</v>
      </c>
      <c r="D230" s="22" t="s">
        <v>1377</v>
      </c>
      <c r="E230" s="22" t="s">
        <v>1378</v>
      </c>
      <c r="F230" s="22">
        <v>34534745168.959999</v>
      </c>
      <c r="G230" s="22">
        <v>146</v>
      </c>
      <c r="H230" s="22" t="s">
        <v>1379</v>
      </c>
    </row>
    <row r="231" spans="1:8" x14ac:dyDescent="0.35">
      <c r="A231" s="22" t="s">
        <v>851</v>
      </c>
      <c r="B231" s="22" t="str">
        <f>"03698"</f>
        <v>03698</v>
      </c>
      <c r="C231" s="22" t="str">
        <f t="shared" si="3"/>
        <v>'3698.HK'</v>
      </c>
      <c r="D231" s="22" t="s">
        <v>1380</v>
      </c>
      <c r="E231" s="22" t="s">
        <v>858</v>
      </c>
      <c r="F231" s="22">
        <v>34446707003.279999</v>
      </c>
      <c r="G231" s="22">
        <v>52</v>
      </c>
      <c r="H231" s="22" t="s">
        <v>1381</v>
      </c>
    </row>
    <row r="232" spans="1:8" x14ac:dyDescent="0.35">
      <c r="A232" s="22" t="s">
        <v>851</v>
      </c>
      <c r="B232" s="22" t="str">
        <f>"01882"</f>
        <v>01882</v>
      </c>
      <c r="C232" s="22" t="str">
        <f t="shared" si="3"/>
        <v>'1882.HK'</v>
      </c>
      <c r="D232" s="22" t="s">
        <v>1382</v>
      </c>
      <c r="E232" s="22" t="s">
        <v>1224</v>
      </c>
      <c r="F232" s="22">
        <v>34314000000</v>
      </c>
      <c r="G232" s="22">
        <v>90</v>
      </c>
      <c r="H232" s="22" t="s">
        <v>1383</v>
      </c>
    </row>
    <row r="233" spans="1:8" x14ac:dyDescent="0.35">
      <c r="A233" s="22" t="s">
        <v>851</v>
      </c>
      <c r="B233" s="22" t="str">
        <f>"00220"</f>
        <v>00220</v>
      </c>
      <c r="C233" s="22" t="str">
        <f t="shared" si="3"/>
        <v>'0220.HK'</v>
      </c>
      <c r="D233" s="22" t="s">
        <v>1384</v>
      </c>
      <c r="E233" s="22" t="s">
        <v>892</v>
      </c>
      <c r="F233" s="22">
        <v>34209125280</v>
      </c>
      <c r="G233" s="22">
        <v>97</v>
      </c>
      <c r="H233" s="22" t="s">
        <v>1385</v>
      </c>
    </row>
    <row r="234" spans="1:8" x14ac:dyDescent="0.35">
      <c r="A234" s="22" t="s">
        <v>851</v>
      </c>
      <c r="B234" s="22" t="str">
        <f>"00880"</f>
        <v>00880</v>
      </c>
      <c r="C234" s="22" t="str">
        <f t="shared" si="3"/>
        <v>'0880.HK'</v>
      </c>
      <c r="D234" s="22" t="s">
        <v>1386</v>
      </c>
      <c r="E234" s="22" t="s">
        <v>961</v>
      </c>
      <c r="F234" s="22">
        <v>33875611595.82</v>
      </c>
      <c r="G234" s="22">
        <v>211</v>
      </c>
      <c r="H234" s="22" t="s">
        <v>1387</v>
      </c>
    </row>
    <row r="235" spans="1:8" x14ac:dyDescent="0.35">
      <c r="A235" s="22" t="s">
        <v>851</v>
      </c>
      <c r="B235" s="22" t="str">
        <f>"09863"</f>
        <v>09863</v>
      </c>
      <c r="C235" s="22" t="str">
        <f t="shared" si="3"/>
        <v>'9863.HK'</v>
      </c>
      <c r="D235" s="22" t="s">
        <v>1388</v>
      </c>
      <c r="E235" s="22" t="s">
        <v>886</v>
      </c>
      <c r="F235" s="22">
        <v>33652693437.549999</v>
      </c>
      <c r="G235" s="22">
        <v>3</v>
      </c>
      <c r="H235" s="22" t="s">
        <v>1389</v>
      </c>
    </row>
    <row r="236" spans="1:8" x14ac:dyDescent="0.35">
      <c r="A236" s="22" t="s">
        <v>851</v>
      </c>
      <c r="B236" s="22" t="str">
        <f>"02799"</f>
        <v>02799</v>
      </c>
      <c r="C236" s="22" t="str">
        <f t="shared" si="3"/>
        <v>'2799.HK'</v>
      </c>
      <c r="D236" s="22" t="s">
        <v>1390</v>
      </c>
      <c r="E236" s="22" t="s">
        <v>964</v>
      </c>
      <c r="F236" s="22">
        <v>33302371804.505001</v>
      </c>
      <c r="G236" s="22">
        <v>420</v>
      </c>
      <c r="H236" s="22" t="s">
        <v>1391</v>
      </c>
    </row>
    <row r="237" spans="1:8" x14ac:dyDescent="0.35">
      <c r="A237" s="22" t="s">
        <v>851</v>
      </c>
      <c r="B237" s="22" t="str">
        <f>"03948"</f>
        <v>03948</v>
      </c>
      <c r="C237" s="22" t="str">
        <f t="shared" si="3"/>
        <v>'3948.HK'</v>
      </c>
      <c r="D237" s="22" t="s">
        <v>1392</v>
      </c>
      <c r="E237" s="22" t="s">
        <v>904</v>
      </c>
      <c r="F237" s="22">
        <v>33060711120</v>
      </c>
      <c r="G237" s="22">
        <v>128</v>
      </c>
      <c r="H237" s="22" t="s">
        <v>1393</v>
      </c>
    </row>
    <row r="238" spans="1:8" x14ac:dyDescent="0.35">
      <c r="A238" s="22" t="s">
        <v>851</v>
      </c>
      <c r="B238" s="22" t="str">
        <f>"01157"</f>
        <v>01157</v>
      </c>
      <c r="C238" s="22" t="str">
        <f t="shared" si="3"/>
        <v>'1157.HK'</v>
      </c>
      <c r="D238" s="22" t="s">
        <v>1394</v>
      </c>
      <c r="E238" s="22" t="s">
        <v>1395</v>
      </c>
      <c r="F238" s="22">
        <v>32976370496.799999</v>
      </c>
      <c r="G238" s="22">
        <v>145</v>
      </c>
      <c r="H238" s="22" t="s">
        <v>1396</v>
      </c>
    </row>
    <row r="239" spans="1:8" x14ac:dyDescent="0.35">
      <c r="A239" s="22" t="s">
        <v>851</v>
      </c>
      <c r="B239" s="22" t="str">
        <f>"01071"</f>
        <v>01071</v>
      </c>
      <c r="C239" s="22" t="str">
        <f t="shared" si="3"/>
        <v>'1071.HK'</v>
      </c>
      <c r="D239" s="22" t="s">
        <v>1397</v>
      </c>
      <c r="E239" s="22" t="s">
        <v>1022</v>
      </c>
      <c r="F239" s="22">
        <v>32965326438.099998</v>
      </c>
      <c r="G239" s="22">
        <v>235</v>
      </c>
      <c r="H239" s="22" t="s">
        <v>1398</v>
      </c>
    </row>
    <row r="240" spans="1:8" x14ac:dyDescent="0.35">
      <c r="A240" s="22" t="s">
        <v>851</v>
      </c>
      <c r="B240" s="22" t="str">
        <f>"00772"</f>
        <v>00772</v>
      </c>
      <c r="C240" s="22" t="str">
        <f t="shared" si="3"/>
        <v>'0772.HK'</v>
      </c>
      <c r="D240" s="22" t="s">
        <v>1399</v>
      </c>
      <c r="E240" s="22" t="s">
        <v>1400</v>
      </c>
      <c r="F240" s="22">
        <v>32792200869.099998</v>
      </c>
      <c r="G240" s="22">
        <v>229</v>
      </c>
      <c r="H240" s="22" t="s">
        <v>1401</v>
      </c>
    </row>
    <row r="241" spans="1:8" x14ac:dyDescent="0.35">
      <c r="A241" s="22" t="s">
        <v>851</v>
      </c>
      <c r="B241" s="22" t="str">
        <f>"00392"</f>
        <v>00392</v>
      </c>
      <c r="C241" s="22" t="str">
        <f t="shared" si="3"/>
        <v>'0392.HK'</v>
      </c>
      <c r="D241" s="22" t="s">
        <v>1402</v>
      </c>
      <c r="E241" s="22" t="s">
        <v>1031</v>
      </c>
      <c r="F241" s="22">
        <v>32603396977.799999</v>
      </c>
      <c r="G241" s="22">
        <v>538</v>
      </c>
      <c r="H241" s="22" t="s">
        <v>1403</v>
      </c>
    </row>
    <row r="242" spans="1:8" x14ac:dyDescent="0.35">
      <c r="A242" s="22" t="s">
        <v>851</v>
      </c>
      <c r="B242" s="22" t="str">
        <f>"09995"</f>
        <v>09995</v>
      </c>
      <c r="C242" s="22" t="str">
        <f t="shared" si="3"/>
        <v>'9995.HK'</v>
      </c>
      <c r="D242" s="22" t="s">
        <v>1404</v>
      </c>
      <c r="E242" s="22" t="s">
        <v>941</v>
      </c>
      <c r="F242" s="22">
        <v>32574140729.549999</v>
      </c>
      <c r="G242" s="22">
        <v>67</v>
      </c>
      <c r="H242" s="22" t="s">
        <v>1405</v>
      </c>
    </row>
    <row r="243" spans="1:8" x14ac:dyDescent="0.35">
      <c r="A243" s="22" t="s">
        <v>851</v>
      </c>
      <c r="B243" s="22" t="str">
        <f>"02039"</f>
        <v>02039</v>
      </c>
      <c r="C243" s="22" t="str">
        <f t="shared" si="3"/>
        <v>'2039.HK'</v>
      </c>
      <c r="D243" s="22" t="s">
        <v>1406</v>
      </c>
      <c r="E243" s="22" t="s">
        <v>1109</v>
      </c>
      <c r="F243" s="22">
        <v>32085496290.75</v>
      </c>
      <c r="G243" s="22">
        <v>116</v>
      </c>
      <c r="H243" s="22" t="s">
        <v>1407</v>
      </c>
    </row>
    <row r="244" spans="1:8" x14ac:dyDescent="0.35">
      <c r="A244" s="22" t="s">
        <v>851</v>
      </c>
      <c r="B244" s="22" t="str">
        <f>"06060"</f>
        <v>06060</v>
      </c>
      <c r="C244" s="22" t="str">
        <f t="shared" si="3"/>
        <v>'6060.HK'</v>
      </c>
      <c r="D244" s="22" t="s">
        <v>1408</v>
      </c>
      <c r="E244" s="22" t="s">
        <v>870</v>
      </c>
      <c r="F244" s="22">
        <v>31894939930</v>
      </c>
      <c r="G244" s="22">
        <v>174</v>
      </c>
      <c r="H244" s="22" t="s">
        <v>1409</v>
      </c>
    </row>
    <row r="245" spans="1:8" x14ac:dyDescent="0.35">
      <c r="A245" s="22" t="s">
        <v>851</v>
      </c>
      <c r="B245" s="22" t="str">
        <f>"03958"</f>
        <v>03958</v>
      </c>
      <c r="C245" s="22" t="str">
        <f t="shared" si="3"/>
        <v>'3958.HK'</v>
      </c>
      <c r="D245" s="22" t="s">
        <v>1410</v>
      </c>
      <c r="E245" s="22" t="s">
        <v>1130</v>
      </c>
      <c r="F245" s="22">
        <v>31777453392.080002</v>
      </c>
      <c r="G245" s="22">
        <v>132</v>
      </c>
      <c r="H245" s="22" t="s">
        <v>1411</v>
      </c>
    </row>
    <row r="246" spans="1:8" x14ac:dyDescent="0.35">
      <c r="A246" s="22" t="s">
        <v>851</v>
      </c>
      <c r="B246" s="22" t="str">
        <f>"02208"</f>
        <v>02208</v>
      </c>
      <c r="C246" s="22" t="str">
        <f t="shared" si="3"/>
        <v>'2208.HK'</v>
      </c>
      <c r="D246" s="22" t="s">
        <v>1412</v>
      </c>
      <c r="E246" s="22" t="s">
        <v>1301</v>
      </c>
      <c r="F246" s="22">
        <v>31138748558.389999</v>
      </c>
      <c r="G246" s="22">
        <v>116</v>
      </c>
      <c r="H246" s="22" t="s">
        <v>1413</v>
      </c>
    </row>
    <row r="247" spans="1:8" x14ac:dyDescent="0.35">
      <c r="A247" s="22" t="s">
        <v>851</v>
      </c>
      <c r="B247" s="22" t="str">
        <f>"03918"</f>
        <v>03918</v>
      </c>
      <c r="C247" s="22" t="str">
        <f t="shared" si="3"/>
        <v>'3918.HK'</v>
      </c>
      <c r="D247" s="22" t="s">
        <v>1414</v>
      </c>
      <c r="E247" s="22" t="s">
        <v>961</v>
      </c>
      <c r="F247" s="22">
        <v>31113168113.400002</v>
      </c>
      <c r="G247" s="22">
        <v>85</v>
      </c>
      <c r="H247" s="22" t="s">
        <v>1415</v>
      </c>
    </row>
    <row r="248" spans="1:8" x14ac:dyDescent="0.35">
      <c r="A248" s="22" t="s">
        <v>851</v>
      </c>
      <c r="B248" s="22" t="str">
        <f>"01691"</f>
        <v>01691</v>
      </c>
      <c r="C248" s="22" t="str">
        <f t="shared" si="3"/>
        <v>'1691.HK'</v>
      </c>
      <c r="D248" s="22" t="s">
        <v>1416</v>
      </c>
      <c r="E248" s="22" t="s">
        <v>953</v>
      </c>
      <c r="F248" s="22">
        <v>31032157019.759998</v>
      </c>
      <c r="G248" s="22">
        <v>34</v>
      </c>
      <c r="H248" s="22" t="s">
        <v>1417</v>
      </c>
    </row>
    <row r="249" spans="1:8" x14ac:dyDescent="0.35">
      <c r="A249" s="22" t="s">
        <v>851</v>
      </c>
      <c r="B249" s="22" t="str">
        <f>"09698"</f>
        <v>09698</v>
      </c>
      <c r="C249" s="22" t="str">
        <f t="shared" si="3"/>
        <v>'9698.HK'</v>
      </c>
      <c r="D249" s="22" t="s">
        <v>1418</v>
      </c>
      <c r="E249" s="22" t="s">
        <v>1202</v>
      </c>
      <c r="F249" s="22">
        <v>31024985000</v>
      </c>
      <c r="G249" s="22">
        <v>40</v>
      </c>
      <c r="H249" s="22" t="s">
        <v>1419</v>
      </c>
    </row>
    <row r="250" spans="1:8" x14ac:dyDescent="0.35">
      <c r="A250" s="22" t="s">
        <v>851</v>
      </c>
      <c r="B250" s="22" t="str">
        <f>"09922"</f>
        <v>09922</v>
      </c>
      <c r="C250" s="22" t="str">
        <f t="shared" si="3"/>
        <v>'9922.HK'</v>
      </c>
      <c r="D250" s="22" t="s">
        <v>1420</v>
      </c>
      <c r="E250" s="22" t="s">
        <v>981</v>
      </c>
      <c r="F250" s="22">
        <v>30894994625</v>
      </c>
      <c r="G250" s="22">
        <v>156</v>
      </c>
      <c r="H250" s="22" t="s">
        <v>1421</v>
      </c>
    </row>
    <row r="251" spans="1:8" x14ac:dyDescent="0.35">
      <c r="A251" s="22" t="s">
        <v>851</v>
      </c>
      <c r="B251" s="22" t="str">
        <f>"03808"</f>
        <v>03808</v>
      </c>
      <c r="C251" s="22" t="str">
        <f t="shared" si="3"/>
        <v>'3808.HK'</v>
      </c>
      <c r="D251" s="22" t="s">
        <v>1422</v>
      </c>
      <c r="E251" s="22" t="s">
        <v>1109</v>
      </c>
      <c r="F251" s="22">
        <v>30867905530.02</v>
      </c>
      <c r="G251" s="22">
        <v>94</v>
      </c>
      <c r="H251" s="22" t="s">
        <v>1423</v>
      </c>
    </row>
    <row r="252" spans="1:8" x14ac:dyDescent="0.35">
      <c r="A252" s="22" t="s">
        <v>851</v>
      </c>
      <c r="B252" s="22" t="str">
        <f>"02518"</f>
        <v>02518</v>
      </c>
      <c r="C252" s="22" t="str">
        <f t="shared" si="3"/>
        <v>'2518.HK'</v>
      </c>
      <c r="D252" s="22" t="s">
        <v>1424</v>
      </c>
      <c r="E252" s="22" t="s">
        <v>853</v>
      </c>
      <c r="F252" s="22">
        <v>30792625500</v>
      </c>
      <c r="G252" s="22">
        <v>9</v>
      </c>
      <c r="H252" s="22" t="s">
        <v>1425</v>
      </c>
    </row>
    <row r="253" spans="1:8" x14ac:dyDescent="0.35">
      <c r="A253" s="22" t="s">
        <v>851</v>
      </c>
      <c r="B253" s="22" t="str">
        <f>"00586"</f>
        <v>00586</v>
      </c>
      <c r="C253" s="22" t="str">
        <f t="shared" si="3"/>
        <v>'0586.HK'</v>
      </c>
      <c r="D253" s="22" t="s">
        <v>1426</v>
      </c>
      <c r="E253" s="22" t="s">
        <v>1301</v>
      </c>
      <c r="F253" s="22">
        <v>30748226600.639999</v>
      </c>
      <c r="G253" s="22">
        <v>75</v>
      </c>
      <c r="H253" s="22" t="s">
        <v>1427</v>
      </c>
    </row>
    <row r="254" spans="1:8" x14ac:dyDescent="0.35">
      <c r="A254" s="22" t="s">
        <v>851</v>
      </c>
      <c r="B254" s="22" t="str">
        <f>"06993"</f>
        <v>06993</v>
      </c>
      <c r="C254" s="22" t="str">
        <f t="shared" si="3"/>
        <v>'6993.HK'</v>
      </c>
      <c r="D254" s="22" t="s">
        <v>1428</v>
      </c>
      <c r="E254" s="22" t="s">
        <v>1429</v>
      </c>
      <c r="F254" s="22">
        <v>30716536287.439999</v>
      </c>
      <c r="G254" s="22">
        <v>104</v>
      </c>
      <c r="H254" s="22" t="s">
        <v>1430</v>
      </c>
    </row>
    <row r="255" spans="1:8" x14ac:dyDescent="0.35">
      <c r="A255" s="22" t="s">
        <v>851</v>
      </c>
      <c r="B255" s="22" t="str">
        <f>"01999"</f>
        <v>01999</v>
      </c>
      <c r="C255" s="22" t="str">
        <f t="shared" si="3"/>
        <v>'1999.HK'</v>
      </c>
      <c r="D255" s="22" t="s">
        <v>1431</v>
      </c>
      <c r="E255" s="22" t="s">
        <v>1429</v>
      </c>
      <c r="F255" s="22">
        <v>30681043812</v>
      </c>
      <c r="G255" s="22">
        <v>220</v>
      </c>
      <c r="H255" s="22" t="s">
        <v>1432</v>
      </c>
    </row>
    <row r="256" spans="1:8" x14ac:dyDescent="0.35">
      <c r="A256" s="22" t="s">
        <v>851</v>
      </c>
      <c r="B256" s="22" t="str">
        <f>"03618"</f>
        <v>03618</v>
      </c>
      <c r="C256" s="22" t="str">
        <f t="shared" si="3"/>
        <v>'3618.HK'</v>
      </c>
      <c r="D256" s="22" t="s">
        <v>1433</v>
      </c>
      <c r="E256" s="22" t="s">
        <v>858</v>
      </c>
      <c r="F256" s="22">
        <v>30663900000</v>
      </c>
      <c r="G256" s="22">
        <v>362</v>
      </c>
      <c r="H256" s="22" t="s">
        <v>1434</v>
      </c>
    </row>
    <row r="257" spans="1:8" x14ac:dyDescent="0.35">
      <c r="A257" s="22" t="s">
        <v>851</v>
      </c>
      <c r="B257" s="22" t="str">
        <f>"00867"</f>
        <v>00867</v>
      </c>
      <c r="C257" s="22" t="str">
        <f t="shared" si="3"/>
        <v>'0867.HK'</v>
      </c>
      <c r="D257" s="22" t="s">
        <v>1435</v>
      </c>
      <c r="E257" s="22" t="s">
        <v>969</v>
      </c>
      <c r="F257" s="22">
        <v>30551776859.52</v>
      </c>
      <c r="G257" s="22">
        <v>169</v>
      </c>
      <c r="H257" s="22" t="s">
        <v>1436</v>
      </c>
    </row>
    <row r="258" spans="1:8" x14ac:dyDescent="0.35">
      <c r="A258" s="22" t="s">
        <v>851</v>
      </c>
      <c r="B258" s="22" t="str">
        <f>"00123"</f>
        <v>00123</v>
      </c>
      <c r="C258" s="22" t="str">
        <f t="shared" si="3"/>
        <v>'0123.HK'</v>
      </c>
      <c r="D258" s="22" t="s">
        <v>1437</v>
      </c>
      <c r="E258" s="22" t="s">
        <v>924</v>
      </c>
      <c r="F258" s="22">
        <v>30283340530.860001</v>
      </c>
      <c r="G258" s="22">
        <v>99</v>
      </c>
      <c r="H258" s="22" t="s">
        <v>1438</v>
      </c>
    </row>
    <row r="259" spans="1:8" x14ac:dyDescent="0.35">
      <c r="A259" s="22" t="s">
        <v>851</v>
      </c>
      <c r="B259" s="22" t="str">
        <f>"01551"</f>
        <v>01551</v>
      </c>
      <c r="C259" s="22" t="str">
        <f t="shared" ref="C259:C322" si="4">CONCATENATE("'",RIGHT(B259,4),".HK'")</f>
        <v>'1551.HK'</v>
      </c>
      <c r="D259" s="22" t="s">
        <v>1439</v>
      </c>
      <c r="E259" s="22" t="s">
        <v>858</v>
      </c>
      <c r="F259" s="22">
        <v>30231348942.959999</v>
      </c>
      <c r="G259" s="22">
        <v>37</v>
      </c>
      <c r="H259" s="22" t="s">
        <v>1440</v>
      </c>
    </row>
    <row r="260" spans="1:8" x14ac:dyDescent="0.35">
      <c r="A260" s="22" t="s">
        <v>851</v>
      </c>
      <c r="B260" s="22" t="str">
        <f>"01138"</f>
        <v>01138</v>
      </c>
      <c r="C260" s="22" t="str">
        <f t="shared" si="4"/>
        <v>'1138.HK'</v>
      </c>
      <c r="D260" s="22" t="s">
        <v>1441</v>
      </c>
      <c r="E260" s="22" t="s">
        <v>1047</v>
      </c>
      <c r="F260" s="22">
        <v>30103599052.450001</v>
      </c>
      <c r="G260" s="22">
        <v>159</v>
      </c>
      <c r="H260" s="22" t="s">
        <v>1442</v>
      </c>
    </row>
    <row r="261" spans="1:8" x14ac:dyDescent="0.35">
      <c r="A261" s="22" t="s">
        <v>851</v>
      </c>
      <c r="B261" s="22" t="str">
        <f>"01818"</f>
        <v>01818</v>
      </c>
      <c r="C261" s="22" t="str">
        <f t="shared" si="4"/>
        <v>'1818.HK'</v>
      </c>
      <c r="D261" s="22" t="s">
        <v>1443</v>
      </c>
      <c r="E261" s="22" t="s">
        <v>929</v>
      </c>
      <c r="F261" s="22">
        <v>29924097816.599998</v>
      </c>
      <c r="G261" s="22">
        <v>55</v>
      </c>
      <c r="H261" s="22" t="s">
        <v>1444</v>
      </c>
    </row>
    <row r="262" spans="1:8" x14ac:dyDescent="0.35">
      <c r="A262" s="22" t="s">
        <v>851</v>
      </c>
      <c r="B262" s="22" t="str">
        <f>"09992"</f>
        <v>09992</v>
      </c>
      <c r="C262" s="22" t="str">
        <f t="shared" si="4"/>
        <v>'9992.HK'</v>
      </c>
      <c r="D262" s="22" t="s">
        <v>1445</v>
      </c>
      <c r="E262" s="22" t="s">
        <v>1446</v>
      </c>
      <c r="F262" s="22">
        <v>29888702907.5</v>
      </c>
      <c r="G262" s="22">
        <v>141</v>
      </c>
      <c r="H262" s="22" t="s">
        <v>1447</v>
      </c>
    </row>
    <row r="263" spans="1:8" x14ac:dyDescent="0.35">
      <c r="A263" s="22" t="s">
        <v>851</v>
      </c>
      <c r="B263" s="22" t="str">
        <f>"01910"</f>
        <v>01910</v>
      </c>
      <c r="C263" s="22" t="str">
        <f t="shared" si="4"/>
        <v>'1910.HK'</v>
      </c>
      <c r="D263" s="22" t="s">
        <v>1448</v>
      </c>
      <c r="E263" s="22" t="s">
        <v>1065</v>
      </c>
      <c r="F263" s="22">
        <v>29847574846.5</v>
      </c>
      <c r="G263" s="22">
        <v>30</v>
      </c>
      <c r="H263" s="22" t="s">
        <v>1449</v>
      </c>
    </row>
    <row r="264" spans="1:8" x14ac:dyDescent="0.35">
      <c r="A264" s="22" t="s">
        <v>851</v>
      </c>
      <c r="B264" s="22" t="str">
        <f>"01579"</f>
        <v>01579</v>
      </c>
      <c r="C264" s="22" t="str">
        <f t="shared" si="4"/>
        <v>'1579.HK'</v>
      </c>
      <c r="D264" s="22" t="s">
        <v>1450</v>
      </c>
      <c r="E264" s="22" t="s">
        <v>1451</v>
      </c>
      <c r="F264" s="22">
        <v>29679615000</v>
      </c>
      <c r="G264" s="22">
        <v>392</v>
      </c>
      <c r="H264" s="22" t="s">
        <v>1452</v>
      </c>
    </row>
    <row r="265" spans="1:8" x14ac:dyDescent="0.35">
      <c r="A265" s="22" t="s">
        <v>851</v>
      </c>
      <c r="B265" s="22" t="str">
        <f>"02252"</f>
        <v>02252</v>
      </c>
      <c r="C265" s="22" t="str">
        <f t="shared" si="4"/>
        <v>'2252.HK'</v>
      </c>
      <c r="D265" s="22" t="s">
        <v>1453</v>
      </c>
      <c r="E265" s="22" t="s">
        <v>1232</v>
      </c>
      <c r="F265" s="22">
        <v>29668479069.450001</v>
      </c>
      <c r="G265" s="22">
        <v>23</v>
      </c>
      <c r="H265" s="22" t="s">
        <v>1454</v>
      </c>
    </row>
    <row r="266" spans="1:8" x14ac:dyDescent="0.35">
      <c r="A266" s="22" t="s">
        <v>851</v>
      </c>
      <c r="B266" s="22" t="str">
        <f>"01313"</f>
        <v>01313</v>
      </c>
      <c r="C266" s="22" t="str">
        <f t="shared" si="4"/>
        <v>'1313.HK'</v>
      </c>
      <c r="D266" s="22" t="s">
        <v>1455</v>
      </c>
      <c r="E266" s="22" t="s">
        <v>1016</v>
      </c>
      <c r="F266" s="22">
        <v>29537826965.91</v>
      </c>
      <c r="G266" s="22">
        <v>131</v>
      </c>
      <c r="H266" s="22" t="s">
        <v>1456</v>
      </c>
    </row>
    <row r="267" spans="1:8" x14ac:dyDescent="0.35">
      <c r="A267" s="22" t="s">
        <v>851</v>
      </c>
      <c r="B267" s="22" t="str">
        <f>"02096"</f>
        <v>02096</v>
      </c>
      <c r="C267" s="22" t="str">
        <f t="shared" si="4"/>
        <v>'2096.HK'</v>
      </c>
      <c r="D267" s="22" t="s">
        <v>1457</v>
      </c>
      <c r="E267" s="22" t="s">
        <v>969</v>
      </c>
      <c r="F267" s="22">
        <v>29370557862.720001</v>
      </c>
      <c r="G267" s="22">
        <v>34</v>
      </c>
      <c r="H267" s="22" t="s">
        <v>1458</v>
      </c>
    </row>
    <row r="268" spans="1:8" x14ac:dyDescent="0.35">
      <c r="A268" s="22" t="s">
        <v>851</v>
      </c>
      <c r="B268" s="22" t="str">
        <f>"02669"</f>
        <v>02669</v>
      </c>
      <c r="C268" s="22" t="str">
        <f t="shared" si="4"/>
        <v>'2669.HK'</v>
      </c>
      <c r="D268" s="22" t="s">
        <v>1459</v>
      </c>
      <c r="E268" s="22" t="s">
        <v>1104</v>
      </c>
      <c r="F268" s="22">
        <v>28924372048</v>
      </c>
      <c r="G268" s="22">
        <v>167</v>
      </c>
      <c r="H268" s="22" t="s">
        <v>1460</v>
      </c>
    </row>
    <row r="269" spans="1:8" x14ac:dyDescent="0.35">
      <c r="A269" s="22" t="s">
        <v>851</v>
      </c>
      <c r="B269" s="22" t="str">
        <f>"03900"</f>
        <v>03900</v>
      </c>
      <c r="C269" s="22" t="str">
        <f t="shared" si="4"/>
        <v>'3900.HK'</v>
      </c>
      <c r="D269" s="22" t="s">
        <v>1461</v>
      </c>
      <c r="E269" s="22" t="s">
        <v>924</v>
      </c>
      <c r="F269" s="22">
        <v>28864785066</v>
      </c>
      <c r="G269" s="22">
        <v>374</v>
      </c>
      <c r="H269" s="22" t="s">
        <v>1462</v>
      </c>
    </row>
    <row r="270" spans="1:8" x14ac:dyDescent="0.35">
      <c r="A270" s="22" t="s">
        <v>851</v>
      </c>
      <c r="B270" s="22" t="str">
        <f>"09668"</f>
        <v>09668</v>
      </c>
      <c r="C270" s="22" t="str">
        <f t="shared" si="4"/>
        <v>'9668.HK'</v>
      </c>
      <c r="D270" s="22" t="s">
        <v>1463</v>
      </c>
      <c r="E270" s="22" t="s">
        <v>858</v>
      </c>
      <c r="F270" s="22">
        <v>28774440000</v>
      </c>
      <c r="G270" s="22">
        <v>11</v>
      </c>
      <c r="H270" s="22" t="s">
        <v>1464</v>
      </c>
    </row>
    <row r="271" spans="1:8" x14ac:dyDescent="0.35">
      <c r="A271" s="22" t="s">
        <v>851</v>
      </c>
      <c r="B271" s="22" t="str">
        <f>"03331"</f>
        <v>03331</v>
      </c>
      <c r="C271" s="22" t="str">
        <f t="shared" si="4"/>
        <v>'3331.HK'</v>
      </c>
      <c r="D271" s="22" t="s">
        <v>1465</v>
      </c>
      <c r="E271" s="22" t="s">
        <v>1283</v>
      </c>
      <c r="F271" s="22">
        <v>28637953877.400002</v>
      </c>
      <c r="G271" s="22">
        <v>139</v>
      </c>
      <c r="H271" s="22" t="s">
        <v>1466</v>
      </c>
    </row>
    <row r="272" spans="1:8" x14ac:dyDescent="0.35">
      <c r="A272" s="22" t="s">
        <v>851</v>
      </c>
      <c r="B272" s="22" t="str">
        <f>"06660"</f>
        <v>06660</v>
      </c>
      <c r="C272" s="22" t="str">
        <f t="shared" si="4"/>
        <v>'6660.HK'</v>
      </c>
      <c r="D272" s="22" t="s">
        <v>1467</v>
      </c>
      <c r="E272" s="22" t="s">
        <v>969</v>
      </c>
      <c r="F272" s="22">
        <v>28581077336.400002</v>
      </c>
      <c r="H272" s="22" t="s">
        <v>1468</v>
      </c>
    </row>
    <row r="273" spans="1:8" x14ac:dyDescent="0.35">
      <c r="A273" s="22" t="s">
        <v>851</v>
      </c>
      <c r="B273" s="22" t="str">
        <f>"00148"</f>
        <v>00148</v>
      </c>
      <c r="C273" s="22" t="str">
        <f t="shared" si="4"/>
        <v>'0148.HK'</v>
      </c>
      <c r="D273" s="22" t="s">
        <v>1469</v>
      </c>
      <c r="E273" s="22" t="s">
        <v>1224</v>
      </c>
      <c r="F273" s="22">
        <v>28218749681.200001</v>
      </c>
      <c r="G273" s="22">
        <v>108</v>
      </c>
      <c r="H273" s="22" t="s">
        <v>1470</v>
      </c>
    </row>
    <row r="274" spans="1:8" x14ac:dyDescent="0.35">
      <c r="A274" s="22" t="s">
        <v>851</v>
      </c>
      <c r="B274" s="22" t="str">
        <f>"02727"</f>
        <v>02727</v>
      </c>
      <c r="C274" s="22" t="str">
        <f t="shared" si="4"/>
        <v>'2727.HK'</v>
      </c>
      <c r="D274" s="22" t="s">
        <v>1471</v>
      </c>
      <c r="E274" s="22" t="s">
        <v>1301</v>
      </c>
      <c r="F274" s="22">
        <v>28199454456.52</v>
      </c>
      <c r="G274" s="22">
        <v>114</v>
      </c>
      <c r="H274" s="22" t="s">
        <v>1472</v>
      </c>
    </row>
    <row r="275" spans="1:8" x14ac:dyDescent="0.35">
      <c r="A275" s="22" t="s">
        <v>851</v>
      </c>
      <c r="B275" s="22" t="str">
        <f>"02357"</f>
        <v>02357</v>
      </c>
      <c r="C275" s="22" t="str">
        <f t="shared" si="4"/>
        <v>'2357.HK'</v>
      </c>
      <c r="D275" s="22" t="s">
        <v>1473</v>
      </c>
      <c r="E275" s="22" t="s">
        <v>1474</v>
      </c>
      <c r="F275" s="22">
        <v>27992136038.459999</v>
      </c>
      <c r="G275" s="22">
        <v>79</v>
      </c>
      <c r="H275" s="22" t="s">
        <v>1475</v>
      </c>
    </row>
    <row r="276" spans="1:8" x14ac:dyDescent="0.35">
      <c r="A276" s="22" t="s">
        <v>851</v>
      </c>
      <c r="B276" s="22" t="str">
        <f>"00008"</f>
        <v>00008</v>
      </c>
      <c r="C276" s="22" t="str">
        <f t="shared" si="4"/>
        <v>'0008.HK'</v>
      </c>
      <c r="D276" s="22" t="s">
        <v>1476</v>
      </c>
      <c r="E276" s="22" t="s">
        <v>865</v>
      </c>
      <c r="F276" s="22">
        <v>27940094078.889999</v>
      </c>
      <c r="G276" s="22">
        <v>48</v>
      </c>
      <c r="H276" s="22" t="s">
        <v>1477</v>
      </c>
    </row>
    <row r="277" spans="1:8" x14ac:dyDescent="0.35">
      <c r="A277" s="22" t="s">
        <v>851</v>
      </c>
      <c r="B277" s="22" t="str">
        <f>"03969"</f>
        <v>03969</v>
      </c>
      <c r="C277" s="22" t="str">
        <f t="shared" si="4"/>
        <v>'3969.HK'</v>
      </c>
      <c r="D277" s="22" t="s">
        <v>1478</v>
      </c>
      <c r="E277" s="22" t="s">
        <v>1202</v>
      </c>
      <c r="F277" s="22">
        <v>27109936640</v>
      </c>
      <c r="G277" s="22">
        <v>135</v>
      </c>
      <c r="H277" s="22" t="s">
        <v>1479</v>
      </c>
    </row>
    <row r="278" spans="1:8" x14ac:dyDescent="0.35">
      <c r="A278" s="22" t="s">
        <v>851</v>
      </c>
      <c r="B278" s="22" t="str">
        <f>"06049"</f>
        <v>06049</v>
      </c>
      <c r="C278" s="22" t="str">
        <f t="shared" si="4"/>
        <v>'6049.HK'</v>
      </c>
      <c r="D278" s="22" t="s">
        <v>1480</v>
      </c>
      <c r="E278" s="22" t="s">
        <v>1104</v>
      </c>
      <c r="F278" s="22">
        <v>27085669930</v>
      </c>
      <c r="G278" s="22">
        <v>198</v>
      </c>
      <c r="H278" s="22" t="s">
        <v>1481</v>
      </c>
    </row>
    <row r="279" spans="1:8" x14ac:dyDescent="0.35">
      <c r="A279" s="22" t="s">
        <v>851</v>
      </c>
      <c r="B279" s="22" t="str">
        <f>"01888"</f>
        <v>01888</v>
      </c>
      <c r="C279" s="22" t="str">
        <f t="shared" si="4"/>
        <v>'1888.HK'</v>
      </c>
      <c r="D279" s="22" t="s">
        <v>1482</v>
      </c>
      <c r="E279" s="22" t="s">
        <v>1224</v>
      </c>
      <c r="F279" s="22">
        <v>26956800000</v>
      </c>
      <c r="G279" s="22">
        <v>102</v>
      </c>
      <c r="H279" s="22" t="s">
        <v>1483</v>
      </c>
    </row>
    <row r="280" spans="1:8" x14ac:dyDescent="0.35">
      <c r="A280" s="22" t="s">
        <v>851</v>
      </c>
      <c r="B280" s="22" t="str">
        <f>"09896"</f>
        <v>09896</v>
      </c>
      <c r="C280" s="22" t="str">
        <f t="shared" si="4"/>
        <v>'9896.HK'</v>
      </c>
      <c r="D280" s="22" t="s">
        <v>1484</v>
      </c>
      <c r="E280" s="22" t="s">
        <v>1485</v>
      </c>
      <c r="F280" s="22">
        <v>26796765638.25</v>
      </c>
      <c r="G280" s="22">
        <v>4</v>
      </c>
      <c r="H280" s="22" t="s">
        <v>1486</v>
      </c>
    </row>
    <row r="281" spans="1:8" x14ac:dyDescent="0.35">
      <c r="A281" s="22" t="s">
        <v>851</v>
      </c>
      <c r="B281" s="22" t="str">
        <f>"00014"</f>
        <v>00014</v>
      </c>
      <c r="C281" s="22" t="str">
        <f t="shared" si="4"/>
        <v>'0014.HK'</v>
      </c>
      <c r="D281" s="22" t="s">
        <v>1487</v>
      </c>
      <c r="E281" s="22" t="s">
        <v>1028</v>
      </c>
      <c r="F281" s="22">
        <v>26702213798</v>
      </c>
      <c r="G281" s="22">
        <v>51</v>
      </c>
      <c r="H281" s="22" t="s">
        <v>1488</v>
      </c>
    </row>
    <row r="282" spans="1:8" x14ac:dyDescent="0.35">
      <c r="A282" s="22" t="s">
        <v>851</v>
      </c>
      <c r="B282" s="22" t="str">
        <f>"00576"</f>
        <v>00576</v>
      </c>
      <c r="C282" s="22" t="str">
        <f t="shared" si="4"/>
        <v>'0576.HK'</v>
      </c>
      <c r="D282" s="22" t="s">
        <v>1489</v>
      </c>
      <c r="E282" s="22" t="s">
        <v>1367</v>
      </c>
      <c r="F282" s="22">
        <v>26666723030</v>
      </c>
      <c r="G282" s="22">
        <v>124</v>
      </c>
      <c r="H282" s="22" t="s">
        <v>1490</v>
      </c>
    </row>
    <row r="283" spans="1:8" x14ac:dyDescent="0.35">
      <c r="A283" s="22" t="s">
        <v>851</v>
      </c>
      <c r="B283" s="22" t="str">
        <f>"00659"</f>
        <v>00659</v>
      </c>
      <c r="C283" s="22" t="str">
        <f t="shared" si="4"/>
        <v>'0659.HK'</v>
      </c>
      <c r="D283" s="22" t="s">
        <v>1491</v>
      </c>
      <c r="E283" s="22" t="s">
        <v>958</v>
      </c>
      <c r="F283" s="22">
        <v>26590909373.200001</v>
      </c>
      <c r="G283" s="22">
        <v>41</v>
      </c>
      <c r="H283" s="22" t="s">
        <v>1492</v>
      </c>
    </row>
    <row r="284" spans="1:8" x14ac:dyDescent="0.35">
      <c r="A284" s="22" t="s">
        <v>851</v>
      </c>
      <c r="B284" s="22" t="str">
        <f>"00694"</f>
        <v>00694</v>
      </c>
      <c r="C284" s="22" t="str">
        <f t="shared" si="4"/>
        <v>'0694.HK'</v>
      </c>
      <c r="D284" s="22" t="s">
        <v>1493</v>
      </c>
      <c r="E284" s="22" t="s">
        <v>1081</v>
      </c>
      <c r="F284" s="22">
        <v>26559238066.599998</v>
      </c>
      <c r="G284" s="22">
        <v>182</v>
      </c>
      <c r="H284" s="22" t="s">
        <v>1494</v>
      </c>
    </row>
    <row r="285" spans="1:8" x14ac:dyDescent="0.35">
      <c r="A285" s="22" t="s">
        <v>851</v>
      </c>
      <c r="B285" s="22" t="str">
        <f>"01385"</f>
        <v>01385</v>
      </c>
      <c r="C285" s="22" t="str">
        <f t="shared" si="4"/>
        <v>'1385.HK'</v>
      </c>
      <c r="D285" s="22" t="s">
        <v>1495</v>
      </c>
      <c r="E285" s="22" t="s">
        <v>1040</v>
      </c>
      <c r="F285" s="22">
        <v>26500503425</v>
      </c>
      <c r="G285" s="22">
        <v>24</v>
      </c>
      <c r="H285" s="22" t="s">
        <v>1496</v>
      </c>
    </row>
    <row r="286" spans="1:8" x14ac:dyDescent="0.35">
      <c r="A286" s="22" t="s">
        <v>851</v>
      </c>
      <c r="B286" s="22" t="str">
        <f>"03360"</f>
        <v>03360</v>
      </c>
      <c r="C286" s="22" t="str">
        <f t="shared" si="4"/>
        <v>'3360.HK'</v>
      </c>
      <c r="D286" s="22" t="s">
        <v>1497</v>
      </c>
      <c r="E286" s="22" t="s">
        <v>1498</v>
      </c>
      <c r="F286" s="22">
        <v>26453771117.950001</v>
      </c>
      <c r="G286" s="22">
        <v>80</v>
      </c>
      <c r="H286" s="22" t="s">
        <v>1499</v>
      </c>
    </row>
    <row r="287" spans="1:8" x14ac:dyDescent="0.35">
      <c r="A287" s="22" t="s">
        <v>851</v>
      </c>
      <c r="B287" s="22" t="str">
        <f>"03660"</f>
        <v>03660</v>
      </c>
      <c r="C287" s="22" t="str">
        <f t="shared" si="4"/>
        <v>'3660.HK'</v>
      </c>
      <c r="D287" s="22" t="s">
        <v>1500</v>
      </c>
      <c r="E287" s="22" t="s">
        <v>1498</v>
      </c>
      <c r="F287" s="22">
        <v>26146250000</v>
      </c>
      <c r="H287" s="22" t="s">
        <v>1501</v>
      </c>
    </row>
    <row r="288" spans="1:8" x14ac:dyDescent="0.35">
      <c r="A288" s="22" t="s">
        <v>851</v>
      </c>
      <c r="B288" s="22" t="str">
        <f>"06808"</f>
        <v>06808</v>
      </c>
      <c r="C288" s="22" t="str">
        <f t="shared" si="4"/>
        <v>'6808.HK'</v>
      </c>
      <c r="D288" s="22" t="s">
        <v>1502</v>
      </c>
      <c r="E288" s="22" t="s">
        <v>1503</v>
      </c>
      <c r="F288" s="22">
        <v>26138790878</v>
      </c>
      <c r="G288" s="22">
        <v>92</v>
      </c>
      <c r="H288" s="22" t="s">
        <v>1504</v>
      </c>
    </row>
    <row r="289" spans="1:8" x14ac:dyDescent="0.35">
      <c r="A289" s="22" t="s">
        <v>851</v>
      </c>
      <c r="B289" s="22" t="str">
        <f>"02128"</f>
        <v>02128</v>
      </c>
      <c r="C289" s="22" t="str">
        <f t="shared" si="4"/>
        <v>'2128.HK'</v>
      </c>
      <c r="D289" s="22" t="s">
        <v>1505</v>
      </c>
      <c r="E289" s="22" t="s">
        <v>1016</v>
      </c>
      <c r="F289" s="22">
        <v>25843145272</v>
      </c>
      <c r="G289" s="22">
        <v>180</v>
      </c>
      <c r="H289" s="22" t="s">
        <v>1506</v>
      </c>
    </row>
    <row r="290" spans="1:8" x14ac:dyDescent="0.35">
      <c r="A290" s="22" t="s">
        <v>851</v>
      </c>
      <c r="B290" s="22" t="str">
        <f>"00683"</f>
        <v>00683</v>
      </c>
      <c r="C290" s="22" t="str">
        <f t="shared" si="4"/>
        <v>'0683.HK'</v>
      </c>
      <c r="D290" s="22" t="s">
        <v>1507</v>
      </c>
      <c r="E290" s="22" t="s">
        <v>924</v>
      </c>
      <c r="F290" s="22">
        <v>25572006927.360001</v>
      </c>
      <c r="G290" s="22">
        <v>109</v>
      </c>
      <c r="H290" s="22" t="s">
        <v>1508</v>
      </c>
    </row>
    <row r="291" spans="1:8" x14ac:dyDescent="0.35">
      <c r="A291" s="22" t="s">
        <v>851</v>
      </c>
      <c r="B291" s="22" t="str">
        <f>"00023"</f>
        <v>00023</v>
      </c>
      <c r="C291" s="22" t="str">
        <f t="shared" si="4"/>
        <v>'0023.HK'</v>
      </c>
      <c r="D291" s="22" t="s">
        <v>1509</v>
      </c>
      <c r="E291" s="22" t="s">
        <v>858</v>
      </c>
      <c r="F291" s="22">
        <v>25563193332</v>
      </c>
      <c r="G291" s="22">
        <v>63</v>
      </c>
      <c r="H291" s="22" t="s">
        <v>1510</v>
      </c>
    </row>
    <row r="292" spans="1:8" x14ac:dyDescent="0.35">
      <c r="A292" s="22" t="s">
        <v>851</v>
      </c>
      <c r="B292" s="22" t="str">
        <f>"09969"</f>
        <v>09969</v>
      </c>
      <c r="C292" s="22" t="str">
        <f t="shared" si="4"/>
        <v>'9969.HK'</v>
      </c>
      <c r="D292" s="22" t="s">
        <v>1511</v>
      </c>
      <c r="E292" s="22" t="s">
        <v>941</v>
      </c>
      <c r="F292" s="22">
        <v>25370942479.759998</v>
      </c>
      <c r="G292" s="22">
        <v>39</v>
      </c>
      <c r="H292" s="22" t="s">
        <v>1512</v>
      </c>
    </row>
    <row r="293" spans="1:8" x14ac:dyDescent="0.35">
      <c r="A293" s="22" t="s">
        <v>851</v>
      </c>
      <c r="B293" s="22" t="str">
        <f>"00636"</f>
        <v>00636</v>
      </c>
      <c r="C293" s="22" t="str">
        <f t="shared" si="4"/>
        <v>'0636.HK'</v>
      </c>
      <c r="D293" s="22" t="s">
        <v>1513</v>
      </c>
      <c r="E293" s="22" t="s">
        <v>974</v>
      </c>
      <c r="F293" s="22">
        <v>25303947788</v>
      </c>
      <c r="G293" s="22">
        <v>57</v>
      </c>
      <c r="H293" s="22" t="s">
        <v>1514</v>
      </c>
    </row>
    <row r="294" spans="1:8" x14ac:dyDescent="0.35">
      <c r="A294" s="22" t="s">
        <v>851</v>
      </c>
      <c r="B294" s="22" t="str">
        <f>"00631"</f>
        <v>00631</v>
      </c>
      <c r="C294" s="22" t="str">
        <f t="shared" si="4"/>
        <v>'0631.HK'</v>
      </c>
      <c r="D294" s="22" t="s">
        <v>1515</v>
      </c>
      <c r="E294" s="22" t="s">
        <v>1395</v>
      </c>
      <c r="F294" s="22">
        <v>25303577072</v>
      </c>
      <c r="G294" s="22">
        <v>48</v>
      </c>
      <c r="H294" s="22" t="s">
        <v>1516</v>
      </c>
    </row>
    <row r="295" spans="1:8" x14ac:dyDescent="0.35">
      <c r="A295" s="22" t="s">
        <v>851</v>
      </c>
      <c r="B295" s="22" t="str">
        <f>"06198"</f>
        <v>06198</v>
      </c>
      <c r="C295" s="22" t="str">
        <f t="shared" si="4"/>
        <v>'6198.HK'</v>
      </c>
      <c r="D295" s="22" t="s">
        <v>1517</v>
      </c>
      <c r="E295" s="22" t="s">
        <v>1047</v>
      </c>
      <c r="F295" s="22">
        <v>24990735000</v>
      </c>
      <c r="G295" s="22">
        <v>116</v>
      </c>
      <c r="H295" s="22" t="s">
        <v>1518</v>
      </c>
    </row>
    <row r="296" spans="1:8" x14ac:dyDescent="0.35">
      <c r="A296" s="22" t="s">
        <v>851</v>
      </c>
      <c r="B296" s="22" t="str">
        <f>"09985"</f>
        <v>09985</v>
      </c>
      <c r="C296" s="22" t="str">
        <f t="shared" si="4"/>
        <v>'9985.HK'</v>
      </c>
      <c r="D296" s="22" t="s">
        <v>1519</v>
      </c>
      <c r="E296" s="22" t="s">
        <v>1205</v>
      </c>
      <c r="F296" s="22">
        <v>24828144000</v>
      </c>
      <c r="G296" s="22">
        <v>2</v>
      </c>
      <c r="H296" s="22" t="s">
        <v>1520</v>
      </c>
    </row>
    <row r="297" spans="1:8" x14ac:dyDescent="0.35">
      <c r="A297" s="22" t="s">
        <v>851</v>
      </c>
      <c r="B297" s="22" t="str">
        <f>"00425"</f>
        <v>00425</v>
      </c>
      <c r="C297" s="22" t="str">
        <f t="shared" si="4"/>
        <v>'0425.HK'</v>
      </c>
      <c r="D297" s="22" t="s">
        <v>1521</v>
      </c>
      <c r="E297" s="22" t="s">
        <v>1122</v>
      </c>
      <c r="F297" s="22">
        <v>24805194308.650002</v>
      </c>
      <c r="G297" s="22">
        <v>86</v>
      </c>
      <c r="H297" s="22" t="s">
        <v>1522</v>
      </c>
    </row>
    <row r="298" spans="1:8" x14ac:dyDescent="0.35">
      <c r="A298" s="22" t="s">
        <v>851</v>
      </c>
      <c r="B298" s="22" t="str">
        <f>"01114"</f>
        <v>01114</v>
      </c>
      <c r="C298" s="22" t="str">
        <f t="shared" si="4"/>
        <v>'1114.HK'</v>
      </c>
      <c r="D298" s="22" t="s">
        <v>1523</v>
      </c>
      <c r="E298" s="22" t="s">
        <v>886</v>
      </c>
      <c r="F298" s="22">
        <v>24721820001.200001</v>
      </c>
      <c r="G298" s="22">
        <v>85</v>
      </c>
      <c r="H298" s="22" t="s">
        <v>1524</v>
      </c>
    </row>
    <row r="299" spans="1:8" x14ac:dyDescent="0.35">
      <c r="A299" s="22" t="s">
        <v>851</v>
      </c>
      <c r="B299" s="22" t="str">
        <f>"02245"</f>
        <v>02245</v>
      </c>
      <c r="C299" s="22" t="str">
        <f t="shared" si="4"/>
        <v>'2245.HK'</v>
      </c>
      <c r="D299" s="22" t="s">
        <v>1525</v>
      </c>
      <c r="E299" s="22" t="s">
        <v>1060</v>
      </c>
      <c r="F299" s="22">
        <v>24619081600</v>
      </c>
      <c r="H299" s="22" t="s">
        <v>1526</v>
      </c>
    </row>
    <row r="300" spans="1:8" x14ac:dyDescent="0.35">
      <c r="A300" s="22" t="s">
        <v>851</v>
      </c>
      <c r="B300" s="22" t="str">
        <f>"00991"</f>
        <v>00991</v>
      </c>
      <c r="C300" s="22" t="str">
        <f t="shared" si="4"/>
        <v>'0991.HK'</v>
      </c>
      <c r="D300" s="22" t="s">
        <v>1527</v>
      </c>
      <c r="E300" s="22" t="s">
        <v>1022</v>
      </c>
      <c r="F300" s="22">
        <v>24613924970.32</v>
      </c>
      <c r="G300" s="22">
        <v>93</v>
      </c>
      <c r="H300" s="22" t="s">
        <v>1528</v>
      </c>
    </row>
    <row r="301" spans="1:8" x14ac:dyDescent="0.35">
      <c r="A301" s="22" t="s">
        <v>851</v>
      </c>
      <c r="B301" s="22" t="str">
        <f>"01833"</f>
        <v>01833</v>
      </c>
      <c r="C301" s="22" t="str">
        <f t="shared" si="4"/>
        <v>'1833.HK'</v>
      </c>
      <c r="D301" s="22" t="s">
        <v>1529</v>
      </c>
      <c r="E301" s="22" t="s">
        <v>1362</v>
      </c>
      <c r="F301" s="22">
        <v>24613883800</v>
      </c>
      <c r="G301" s="22">
        <v>246</v>
      </c>
      <c r="H301" s="22" t="s">
        <v>1530</v>
      </c>
    </row>
    <row r="302" spans="1:8" x14ac:dyDescent="0.35">
      <c r="A302" s="22" t="s">
        <v>851</v>
      </c>
      <c r="B302" s="22" t="str">
        <f>"09688"</f>
        <v>09688</v>
      </c>
      <c r="C302" s="22" t="str">
        <f t="shared" si="4"/>
        <v>'9688.HK'</v>
      </c>
      <c r="D302" s="22" t="s">
        <v>1531</v>
      </c>
      <c r="E302" s="22" t="s">
        <v>941</v>
      </c>
      <c r="F302" s="22">
        <v>24575094493</v>
      </c>
      <c r="G302" s="22">
        <v>32</v>
      </c>
      <c r="H302" s="22" t="s">
        <v>1532</v>
      </c>
    </row>
    <row r="303" spans="1:8" x14ac:dyDescent="0.35">
      <c r="A303" s="22" t="s">
        <v>851</v>
      </c>
      <c r="B303" s="22" t="str">
        <f>"01513"</f>
        <v>01513</v>
      </c>
      <c r="C303" s="22" t="str">
        <f t="shared" si="4"/>
        <v>'1513.HK'</v>
      </c>
      <c r="D303" s="22" t="s">
        <v>1533</v>
      </c>
      <c r="E303" s="22" t="s">
        <v>969</v>
      </c>
      <c r="F303" s="22">
        <v>24558258033.75</v>
      </c>
      <c r="G303" s="22">
        <v>155</v>
      </c>
      <c r="H303" s="22" t="s">
        <v>1534</v>
      </c>
    </row>
    <row r="304" spans="1:8" x14ac:dyDescent="0.35">
      <c r="A304" s="22" t="s">
        <v>851</v>
      </c>
      <c r="B304" s="22" t="str">
        <f>"06178"</f>
        <v>06178</v>
      </c>
      <c r="C304" s="22" t="str">
        <f t="shared" si="4"/>
        <v>'6178.HK'</v>
      </c>
      <c r="D304" s="22" t="s">
        <v>1535</v>
      </c>
      <c r="E304" s="22" t="s">
        <v>1130</v>
      </c>
      <c r="F304" s="22">
        <v>24298850857.529999</v>
      </c>
      <c r="G304" s="22">
        <v>99</v>
      </c>
      <c r="H304" s="22" t="s">
        <v>1536</v>
      </c>
    </row>
    <row r="305" spans="1:8" x14ac:dyDescent="0.35">
      <c r="A305" s="22" t="s">
        <v>851</v>
      </c>
      <c r="B305" s="22" t="str">
        <f>"00839"</f>
        <v>00839</v>
      </c>
      <c r="C305" s="22" t="str">
        <f t="shared" si="4"/>
        <v>'0839.HK'</v>
      </c>
      <c r="D305" s="22" t="s">
        <v>1537</v>
      </c>
      <c r="E305" s="22" t="s">
        <v>1270</v>
      </c>
      <c r="F305" s="22">
        <v>23807642396.130001</v>
      </c>
      <c r="G305" s="22">
        <v>100</v>
      </c>
      <c r="H305" s="22" t="s">
        <v>1538</v>
      </c>
    </row>
    <row r="306" spans="1:8" x14ac:dyDescent="0.35">
      <c r="A306" s="22" t="s">
        <v>851</v>
      </c>
      <c r="B306" s="22" t="str">
        <f>"09877"</f>
        <v>09877</v>
      </c>
      <c r="C306" s="22" t="str">
        <f t="shared" si="4"/>
        <v>'9877.HK'</v>
      </c>
      <c r="D306" s="22" t="s">
        <v>1539</v>
      </c>
      <c r="E306" s="22" t="s">
        <v>1232</v>
      </c>
      <c r="F306" s="22">
        <v>23736818801</v>
      </c>
      <c r="G306" s="22">
        <v>1</v>
      </c>
      <c r="H306" s="22" t="s">
        <v>1540</v>
      </c>
    </row>
    <row r="307" spans="1:8" x14ac:dyDescent="0.35">
      <c r="A307" s="22" t="s">
        <v>851</v>
      </c>
      <c r="B307" s="22" t="str">
        <f>"00069"</f>
        <v>00069</v>
      </c>
      <c r="C307" s="22" t="str">
        <f t="shared" si="4"/>
        <v>'0069.HK'</v>
      </c>
      <c r="D307" s="22" t="s">
        <v>1541</v>
      </c>
      <c r="E307" s="22" t="s">
        <v>1070</v>
      </c>
      <c r="F307" s="22">
        <v>23664465369.599998</v>
      </c>
      <c r="G307" s="22">
        <v>45</v>
      </c>
      <c r="H307" s="22" t="s">
        <v>1542</v>
      </c>
    </row>
    <row r="308" spans="1:8" x14ac:dyDescent="0.35">
      <c r="A308" s="22" t="s">
        <v>851</v>
      </c>
      <c r="B308" s="22" t="str">
        <f>"01216"</f>
        <v>01216</v>
      </c>
      <c r="C308" s="22" t="str">
        <f t="shared" si="4"/>
        <v>'1216.HK'</v>
      </c>
      <c r="D308" s="22" t="s">
        <v>1543</v>
      </c>
      <c r="E308" s="22" t="s">
        <v>858</v>
      </c>
      <c r="F308" s="22">
        <v>23391886926.080002</v>
      </c>
      <c r="G308" s="22">
        <v>22</v>
      </c>
      <c r="H308" s="22" t="s">
        <v>1544</v>
      </c>
    </row>
    <row r="309" spans="1:8" x14ac:dyDescent="0.35">
      <c r="A309" s="22" t="s">
        <v>851</v>
      </c>
      <c r="B309" s="22" t="str">
        <f>"06190"</f>
        <v>06190</v>
      </c>
      <c r="C309" s="22" t="str">
        <f t="shared" si="4"/>
        <v>'6190.HK'</v>
      </c>
      <c r="D309" s="22" t="s">
        <v>1545</v>
      </c>
      <c r="E309" s="22" t="s">
        <v>858</v>
      </c>
      <c r="F309" s="22">
        <v>23110725120</v>
      </c>
      <c r="G309" s="22">
        <v>7</v>
      </c>
      <c r="H309" s="22" t="s">
        <v>1546</v>
      </c>
    </row>
    <row r="310" spans="1:8" x14ac:dyDescent="0.35">
      <c r="A310" s="22" t="s">
        <v>851</v>
      </c>
      <c r="B310" s="22" t="str">
        <f>"00817"</f>
        <v>00817</v>
      </c>
      <c r="C310" s="22" t="str">
        <f t="shared" si="4"/>
        <v>'0817.HK'</v>
      </c>
      <c r="D310" s="22" t="s">
        <v>1547</v>
      </c>
      <c r="E310" s="22" t="s">
        <v>924</v>
      </c>
      <c r="F310" s="22">
        <v>23034937737.759998</v>
      </c>
      <c r="G310" s="22">
        <v>423</v>
      </c>
      <c r="H310" s="22" t="s">
        <v>1548</v>
      </c>
    </row>
    <row r="311" spans="1:8" x14ac:dyDescent="0.35">
      <c r="A311" s="22" t="s">
        <v>851</v>
      </c>
      <c r="B311" s="22" t="str">
        <f>"00522"</f>
        <v>00522</v>
      </c>
      <c r="C311" s="22" t="str">
        <f t="shared" si="4"/>
        <v>'0522.HK'</v>
      </c>
      <c r="D311" s="22" t="s">
        <v>1549</v>
      </c>
      <c r="E311" s="22" t="s">
        <v>1040</v>
      </c>
      <c r="F311" s="22">
        <v>23017593539.75</v>
      </c>
      <c r="G311" s="22">
        <v>92</v>
      </c>
      <c r="H311" s="22" t="s">
        <v>1550</v>
      </c>
    </row>
    <row r="312" spans="1:8" x14ac:dyDescent="0.35">
      <c r="A312" s="22" t="s">
        <v>851</v>
      </c>
      <c r="B312" s="22" t="str">
        <f>"01368"</f>
        <v>01368</v>
      </c>
      <c r="C312" s="22" t="str">
        <f t="shared" si="4"/>
        <v>'1368.HK'</v>
      </c>
      <c r="D312" s="22" t="s">
        <v>1551</v>
      </c>
      <c r="E312" s="22" t="s">
        <v>1552</v>
      </c>
      <c r="F312" s="22">
        <v>22939437230.099998</v>
      </c>
      <c r="G312" s="22">
        <v>82</v>
      </c>
      <c r="H312" s="22" t="s">
        <v>1553</v>
      </c>
    </row>
    <row r="313" spans="1:8" x14ac:dyDescent="0.35">
      <c r="A313" s="22" t="s">
        <v>851</v>
      </c>
      <c r="B313" s="22" t="str">
        <f>"00754"</f>
        <v>00754</v>
      </c>
      <c r="C313" s="22" t="str">
        <f t="shared" si="4"/>
        <v>'0754.HK'</v>
      </c>
      <c r="D313" s="22" t="s">
        <v>1554</v>
      </c>
      <c r="E313" s="22" t="s">
        <v>924</v>
      </c>
      <c r="F313" s="22">
        <v>22669049328.330002</v>
      </c>
      <c r="G313" s="22">
        <v>76</v>
      </c>
      <c r="H313" s="22" t="s">
        <v>1555</v>
      </c>
    </row>
    <row r="314" spans="1:8" x14ac:dyDescent="0.35">
      <c r="A314" s="22" t="s">
        <v>851</v>
      </c>
      <c r="B314" s="22" t="str">
        <f>"06127"</f>
        <v>06127</v>
      </c>
      <c r="C314" s="22" t="str">
        <f t="shared" si="4"/>
        <v>'6127.HK'</v>
      </c>
      <c r="D314" s="22" t="s">
        <v>1556</v>
      </c>
      <c r="E314" s="22" t="s">
        <v>941</v>
      </c>
      <c r="F314" s="22">
        <v>22096745385</v>
      </c>
      <c r="G314" s="22">
        <v>39</v>
      </c>
      <c r="H314" s="22" t="s">
        <v>1557</v>
      </c>
    </row>
    <row r="315" spans="1:8" x14ac:dyDescent="0.35">
      <c r="A315" s="22" t="s">
        <v>851</v>
      </c>
      <c r="B315" s="22" t="str">
        <f>"01268"</f>
        <v>01268</v>
      </c>
      <c r="C315" s="22" t="str">
        <f t="shared" si="4"/>
        <v>'1268.HK'</v>
      </c>
      <c r="D315" s="22" t="s">
        <v>1558</v>
      </c>
      <c r="E315" s="22" t="s">
        <v>1089</v>
      </c>
      <c r="F315" s="22">
        <v>21905981766.240002</v>
      </c>
      <c r="G315" s="22">
        <v>89</v>
      </c>
      <c r="H315" s="22" t="s">
        <v>1559</v>
      </c>
    </row>
    <row r="316" spans="1:8" x14ac:dyDescent="0.35">
      <c r="A316" s="22" t="s">
        <v>851</v>
      </c>
      <c r="B316" s="22" t="str">
        <f>"00053"</f>
        <v>00053</v>
      </c>
      <c r="C316" s="22" t="str">
        <f t="shared" si="4"/>
        <v>'0053.HK'</v>
      </c>
      <c r="D316" s="22" t="s">
        <v>1560</v>
      </c>
      <c r="E316" s="22" t="s">
        <v>924</v>
      </c>
      <c r="F316" s="22">
        <v>21881916304.5</v>
      </c>
      <c r="G316" s="22">
        <v>17</v>
      </c>
      <c r="H316" s="22" t="s">
        <v>1561</v>
      </c>
    </row>
    <row r="317" spans="1:8" x14ac:dyDescent="0.35">
      <c r="A317" s="22" t="s">
        <v>851</v>
      </c>
      <c r="B317" s="22" t="str">
        <f>"00354"</f>
        <v>00354</v>
      </c>
      <c r="C317" s="22" t="str">
        <f t="shared" si="4"/>
        <v>'0354.HK'</v>
      </c>
      <c r="D317" s="22" t="s">
        <v>1562</v>
      </c>
      <c r="E317" s="22" t="s">
        <v>1202</v>
      </c>
      <c r="F317" s="22">
        <v>21824577777.599998</v>
      </c>
      <c r="G317" s="22">
        <v>95</v>
      </c>
      <c r="H317" s="22" t="s">
        <v>1563</v>
      </c>
    </row>
    <row r="318" spans="1:8" x14ac:dyDescent="0.35">
      <c r="A318" s="22" t="s">
        <v>851</v>
      </c>
      <c r="B318" s="22" t="str">
        <f>"01508"</f>
        <v>01508</v>
      </c>
      <c r="C318" s="22" t="str">
        <f t="shared" si="4"/>
        <v>'1508.HK'</v>
      </c>
      <c r="D318" s="22" t="s">
        <v>1564</v>
      </c>
      <c r="E318" s="22" t="s">
        <v>870</v>
      </c>
      <c r="F318" s="22">
        <v>21664702123.349998</v>
      </c>
      <c r="G318" s="22">
        <v>161</v>
      </c>
      <c r="H318" s="22" t="s">
        <v>1565</v>
      </c>
    </row>
    <row r="319" spans="1:8" x14ac:dyDescent="0.35">
      <c r="A319" s="22" t="s">
        <v>851</v>
      </c>
      <c r="B319" s="22" t="str">
        <f>"00257"</f>
        <v>00257</v>
      </c>
      <c r="C319" s="22" t="str">
        <f t="shared" si="4"/>
        <v>'0257.HK'</v>
      </c>
      <c r="D319" s="22" t="s">
        <v>1566</v>
      </c>
      <c r="E319" s="22" t="s">
        <v>1127</v>
      </c>
      <c r="F319" s="22">
        <v>21623273027.84</v>
      </c>
      <c r="G319" s="22">
        <v>186</v>
      </c>
      <c r="H319" s="22" t="s">
        <v>1567</v>
      </c>
    </row>
    <row r="320" spans="1:8" x14ac:dyDescent="0.35">
      <c r="A320" s="22" t="s">
        <v>851</v>
      </c>
      <c r="B320" s="22" t="str">
        <f>"00013"</f>
        <v>00013</v>
      </c>
      <c r="C320" s="22" t="str">
        <f t="shared" si="4"/>
        <v>'0013.HK'</v>
      </c>
      <c r="D320" s="22" t="s">
        <v>1568</v>
      </c>
      <c r="E320" s="22" t="s">
        <v>969</v>
      </c>
      <c r="F320" s="22">
        <v>21532905966</v>
      </c>
      <c r="G320" s="22">
        <v>0</v>
      </c>
      <c r="H320" s="22" t="s">
        <v>1569</v>
      </c>
    </row>
    <row r="321" spans="1:8" x14ac:dyDescent="0.35">
      <c r="A321" s="22" t="s">
        <v>851</v>
      </c>
      <c r="B321" s="22" t="str">
        <f>"01199"</f>
        <v>01199</v>
      </c>
      <c r="C321" s="22" t="str">
        <f t="shared" si="4"/>
        <v>'1199.HK'</v>
      </c>
      <c r="D321" s="22" t="s">
        <v>1570</v>
      </c>
      <c r="E321" s="22" t="s">
        <v>1047</v>
      </c>
      <c r="F321" s="22">
        <v>21435297016.209999</v>
      </c>
      <c r="G321" s="22">
        <v>119</v>
      </c>
      <c r="H321" s="22" t="s">
        <v>1571</v>
      </c>
    </row>
    <row r="322" spans="1:8" x14ac:dyDescent="0.35">
      <c r="A322" s="22" t="s">
        <v>851</v>
      </c>
      <c r="B322" s="22" t="str">
        <f>"02018"</f>
        <v>02018</v>
      </c>
      <c r="C322" s="22" t="str">
        <f t="shared" si="4"/>
        <v>'2018.HK'</v>
      </c>
      <c r="D322" s="22" t="s">
        <v>1572</v>
      </c>
      <c r="E322" s="22" t="s">
        <v>1075</v>
      </c>
      <c r="F322" s="22">
        <v>21372265000</v>
      </c>
      <c r="G322" s="22">
        <v>239</v>
      </c>
      <c r="H322" s="22" t="s">
        <v>1573</v>
      </c>
    </row>
    <row r="323" spans="1:8" x14ac:dyDescent="0.35">
      <c r="A323" s="22" t="s">
        <v>851</v>
      </c>
      <c r="B323" s="22" t="str">
        <f>"00552"</f>
        <v>00552</v>
      </c>
      <c r="C323" s="22" t="str">
        <f t="shared" ref="C323:C386" si="5">CONCATENATE("'",RIGHT(B323,4),".HK'")</f>
        <v>'0552.HK'</v>
      </c>
      <c r="D323" s="22" t="s">
        <v>1574</v>
      </c>
      <c r="E323" s="22" t="s">
        <v>938</v>
      </c>
      <c r="F323" s="22">
        <v>20847315384</v>
      </c>
      <c r="G323" s="22">
        <v>101</v>
      </c>
      <c r="H323" s="22" t="s">
        <v>1575</v>
      </c>
    </row>
    <row r="324" spans="1:8" x14ac:dyDescent="0.35">
      <c r="A324" s="22" t="s">
        <v>851</v>
      </c>
      <c r="B324" s="22" t="str">
        <f>"09878"</f>
        <v>09878</v>
      </c>
      <c r="C324" s="22" t="str">
        <f t="shared" si="5"/>
        <v>'9878.HK'</v>
      </c>
      <c r="D324" s="22" t="s">
        <v>1576</v>
      </c>
      <c r="E324" s="22" t="s">
        <v>853</v>
      </c>
      <c r="F324" s="22">
        <v>20843212460.849998</v>
      </c>
      <c r="G324" s="22">
        <v>1</v>
      </c>
      <c r="H324" s="22" t="s">
        <v>1577</v>
      </c>
    </row>
    <row r="325" spans="1:8" x14ac:dyDescent="0.35">
      <c r="A325" s="22" t="s">
        <v>851</v>
      </c>
      <c r="B325" s="22" t="str">
        <f>"00347"</f>
        <v>00347</v>
      </c>
      <c r="C325" s="22" t="str">
        <f t="shared" si="5"/>
        <v>'0347.HK'</v>
      </c>
      <c r="D325" s="22" t="s">
        <v>1578</v>
      </c>
      <c r="E325" s="22" t="s">
        <v>1579</v>
      </c>
      <c r="F325" s="22">
        <v>20686644992.200001</v>
      </c>
      <c r="G325" s="22">
        <v>81</v>
      </c>
      <c r="H325" s="22" t="s">
        <v>1580</v>
      </c>
    </row>
    <row r="326" spans="1:8" x14ac:dyDescent="0.35">
      <c r="A326" s="22" t="s">
        <v>851</v>
      </c>
      <c r="B326" s="22" t="str">
        <f>"01030"</f>
        <v>01030</v>
      </c>
      <c r="C326" s="22" t="str">
        <f t="shared" si="5"/>
        <v>'1030.HK'</v>
      </c>
      <c r="D326" s="22" t="s">
        <v>1581</v>
      </c>
      <c r="E326" s="22" t="s">
        <v>924</v>
      </c>
      <c r="F326" s="22">
        <v>20631965241.32</v>
      </c>
      <c r="G326" s="22">
        <v>289</v>
      </c>
      <c r="H326" s="22" t="s">
        <v>1582</v>
      </c>
    </row>
    <row r="327" spans="1:8" x14ac:dyDescent="0.35">
      <c r="A327" s="22" t="s">
        <v>851</v>
      </c>
      <c r="B327" s="22" t="str">
        <f>"01799"</f>
        <v>01799</v>
      </c>
      <c r="C327" s="22" t="str">
        <f t="shared" si="5"/>
        <v>'1799.HK'</v>
      </c>
      <c r="D327" s="22" t="s">
        <v>1583</v>
      </c>
      <c r="E327" s="22" t="s">
        <v>1127</v>
      </c>
      <c r="F327" s="22">
        <v>20534800000</v>
      </c>
      <c r="G327" s="22">
        <v>34</v>
      </c>
      <c r="H327" s="22" t="s">
        <v>1584</v>
      </c>
    </row>
    <row r="328" spans="1:8" x14ac:dyDescent="0.35">
      <c r="A328" s="22" t="s">
        <v>851</v>
      </c>
      <c r="B328" s="22" t="str">
        <f>"09869"</f>
        <v>09869</v>
      </c>
      <c r="C328" s="22" t="str">
        <f t="shared" si="5"/>
        <v>'9869.HK'</v>
      </c>
      <c r="D328" s="22" t="s">
        <v>1585</v>
      </c>
      <c r="E328" s="22" t="s">
        <v>981</v>
      </c>
      <c r="F328" s="22">
        <v>20321100444.959999</v>
      </c>
      <c r="G328" s="22">
        <v>21</v>
      </c>
      <c r="H328" s="22" t="s">
        <v>1586</v>
      </c>
    </row>
    <row r="329" spans="1:8" x14ac:dyDescent="0.35">
      <c r="A329" s="22" t="s">
        <v>851</v>
      </c>
      <c r="B329" s="22" t="str">
        <f>"03396"</f>
        <v>03396</v>
      </c>
      <c r="C329" s="22" t="str">
        <f t="shared" si="5"/>
        <v>'3396.HK'</v>
      </c>
      <c r="D329" s="22" t="s">
        <v>1587</v>
      </c>
      <c r="E329" s="22" t="s">
        <v>1152</v>
      </c>
      <c r="F329" s="22">
        <v>20310710358</v>
      </c>
      <c r="G329" s="22">
        <v>118</v>
      </c>
      <c r="H329" s="22" t="s">
        <v>1588</v>
      </c>
    </row>
    <row r="330" spans="1:8" x14ac:dyDescent="0.35">
      <c r="A330" s="22" t="s">
        <v>851</v>
      </c>
      <c r="B330" s="22" t="str">
        <f>"00371"</f>
        <v>00371</v>
      </c>
      <c r="C330" s="22" t="str">
        <f t="shared" si="5"/>
        <v>'0371.HK'</v>
      </c>
      <c r="D330" s="22" t="s">
        <v>1589</v>
      </c>
      <c r="E330" s="22" t="s">
        <v>1255</v>
      </c>
      <c r="F330" s="22">
        <v>20296252739.419998</v>
      </c>
      <c r="G330" s="22">
        <v>190</v>
      </c>
      <c r="H330" s="22" t="s">
        <v>1590</v>
      </c>
    </row>
    <row r="331" spans="1:8" x14ac:dyDescent="0.35">
      <c r="A331" s="22" t="s">
        <v>851</v>
      </c>
      <c r="B331" s="22" t="str">
        <f>"00467"</f>
        <v>00467</v>
      </c>
      <c r="C331" s="22" t="str">
        <f t="shared" si="5"/>
        <v>'0467.HK'</v>
      </c>
      <c r="D331" s="22" t="s">
        <v>1591</v>
      </c>
      <c r="E331" s="22" t="s">
        <v>883</v>
      </c>
      <c r="F331" s="22">
        <v>20243245165.220001</v>
      </c>
      <c r="G331" s="22">
        <v>18</v>
      </c>
      <c r="H331" s="22" t="s">
        <v>1592</v>
      </c>
    </row>
    <row r="332" spans="1:8" x14ac:dyDescent="0.35">
      <c r="A332" s="22" t="s">
        <v>851</v>
      </c>
      <c r="B332" s="22" t="str">
        <f>"01530"</f>
        <v>01530</v>
      </c>
      <c r="C332" s="22" t="str">
        <f t="shared" si="5"/>
        <v>'1530.HK'</v>
      </c>
      <c r="D332" s="22" t="s">
        <v>1593</v>
      </c>
      <c r="E332" s="22" t="s">
        <v>969</v>
      </c>
      <c r="F332" s="22">
        <v>20242416919.599998</v>
      </c>
      <c r="G332" s="22">
        <v>165</v>
      </c>
      <c r="H332" s="22" t="s">
        <v>1594</v>
      </c>
    </row>
    <row r="333" spans="1:8" x14ac:dyDescent="0.35">
      <c r="A333" s="22" t="s">
        <v>851</v>
      </c>
      <c r="B333" s="22" t="str">
        <f>"06699"</f>
        <v>06699</v>
      </c>
      <c r="C333" s="22" t="str">
        <f t="shared" si="5"/>
        <v>'6699.HK'</v>
      </c>
      <c r="D333" s="22" t="s">
        <v>1595</v>
      </c>
      <c r="E333" s="22" t="s">
        <v>1362</v>
      </c>
      <c r="F333" s="22">
        <v>20082512471</v>
      </c>
      <c r="G333" s="22">
        <v>71</v>
      </c>
      <c r="H333" s="22" t="s">
        <v>1596</v>
      </c>
    </row>
    <row r="334" spans="1:8" x14ac:dyDescent="0.35">
      <c r="A334" s="22" t="s">
        <v>851</v>
      </c>
      <c r="B334" s="22" t="str">
        <f>"00136"</f>
        <v>00136</v>
      </c>
      <c r="C334" s="22" t="str">
        <f t="shared" si="5"/>
        <v>'0136.HK'</v>
      </c>
      <c r="D334" s="22" t="s">
        <v>1597</v>
      </c>
      <c r="E334" s="22" t="s">
        <v>1185</v>
      </c>
      <c r="F334" s="22">
        <v>20009295090</v>
      </c>
      <c r="G334" s="22">
        <v>27</v>
      </c>
      <c r="H334" s="22" t="s">
        <v>1598</v>
      </c>
    </row>
    <row r="335" spans="1:8" x14ac:dyDescent="0.35">
      <c r="A335" s="22" t="s">
        <v>851</v>
      </c>
      <c r="B335" s="22" t="str">
        <f>"00189"</f>
        <v>00189</v>
      </c>
      <c r="C335" s="22" t="str">
        <f t="shared" si="5"/>
        <v>'0189.HK'</v>
      </c>
      <c r="D335" s="22" t="s">
        <v>1599</v>
      </c>
      <c r="E335" s="22" t="s">
        <v>1600</v>
      </c>
      <c r="F335" s="22">
        <v>19900077887.650002</v>
      </c>
      <c r="G335" s="22">
        <v>100</v>
      </c>
      <c r="H335" s="22" t="s">
        <v>1601</v>
      </c>
    </row>
    <row r="336" spans="1:8" x14ac:dyDescent="0.35">
      <c r="A336" s="22" t="s">
        <v>851</v>
      </c>
      <c r="B336" s="22" t="str">
        <f>"02285"</f>
        <v>02285</v>
      </c>
      <c r="C336" s="22" t="str">
        <f t="shared" si="5"/>
        <v>'2285.HK'</v>
      </c>
      <c r="D336" s="22" t="s">
        <v>1602</v>
      </c>
      <c r="E336" s="22" t="s">
        <v>953</v>
      </c>
      <c r="F336" s="22">
        <v>19853861845.5</v>
      </c>
      <c r="G336" s="22">
        <v>4</v>
      </c>
      <c r="H336" s="22" t="s">
        <v>1603</v>
      </c>
    </row>
    <row r="337" spans="1:8" x14ac:dyDescent="0.35">
      <c r="A337" s="22" t="s">
        <v>851</v>
      </c>
      <c r="B337" s="22" t="str">
        <f>"03868"</f>
        <v>03868</v>
      </c>
      <c r="C337" s="22" t="str">
        <f t="shared" si="5"/>
        <v>'3868.HK'</v>
      </c>
      <c r="D337" s="22" t="s">
        <v>1604</v>
      </c>
      <c r="E337" s="22" t="s">
        <v>1127</v>
      </c>
      <c r="F337" s="22">
        <v>19791464678.299999</v>
      </c>
      <c r="G337" s="22">
        <v>30</v>
      </c>
      <c r="H337" s="22" t="s">
        <v>1605</v>
      </c>
    </row>
    <row r="338" spans="1:8" x14ac:dyDescent="0.35">
      <c r="A338" s="22" t="s">
        <v>851</v>
      </c>
      <c r="B338" s="22" t="str">
        <f>"00010"</f>
        <v>00010</v>
      </c>
      <c r="C338" s="22" t="str">
        <f t="shared" si="5"/>
        <v>'0010.HK'</v>
      </c>
      <c r="D338" s="22" t="s">
        <v>1606</v>
      </c>
      <c r="E338" s="22" t="s">
        <v>1028</v>
      </c>
      <c r="F338" s="22">
        <v>19770696873.84</v>
      </c>
      <c r="G338" s="22">
        <v>111</v>
      </c>
      <c r="H338" s="22" t="s">
        <v>1607</v>
      </c>
    </row>
    <row r="339" spans="1:8" x14ac:dyDescent="0.35">
      <c r="A339" s="22" t="s">
        <v>851</v>
      </c>
      <c r="B339" s="22" t="str">
        <f>"00416"</f>
        <v>00416</v>
      </c>
      <c r="C339" s="22" t="str">
        <f t="shared" si="5"/>
        <v>'0416.HK'</v>
      </c>
      <c r="D339" s="22" t="s">
        <v>1608</v>
      </c>
      <c r="E339" s="22" t="s">
        <v>858</v>
      </c>
      <c r="F339" s="22">
        <v>19574261957.599998</v>
      </c>
      <c r="G339" s="22">
        <v>27</v>
      </c>
      <c r="H339" s="22" t="s">
        <v>1609</v>
      </c>
    </row>
    <row r="340" spans="1:8" x14ac:dyDescent="0.35">
      <c r="A340" s="22" t="s">
        <v>851</v>
      </c>
      <c r="B340" s="22" t="str">
        <f>"06680"</f>
        <v>06680</v>
      </c>
      <c r="C340" s="22" t="str">
        <f t="shared" si="5"/>
        <v>'6680.HK'</v>
      </c>
      <c r="D340" s="22" t="s">
        <v>1610</v>
      </c>
      <c r="E340" s="22" t="s">
        <v>1060</v>
      </c>
      <c r="F340" s="22">
        <v>19482481603.5</v>
      </c>
      <c r="G340" s="22">
        <v>9</v>
      </c>
      <c r="H340" s="22" t="s">
        <v>1611</v>
      </c>
    </row>
    <row r="341" spans="1:8" x14ac:dyDescent="0.35">
      <c r="A341" s="22" t="s">
        <v>851</v>
      </c>
      <c r="B341" s="22" t="str">
        <f>"01951"</f>
        <v>01951</v>
      </c>
      <c r="C341" s="22" t="str">
        <f t="shared" si="5"/>
        <v>'1951.HK'</v>
      </c>
      <c r="D341" s="22" t="s">
        <v>1612</v>
      </c>
      <c r="E341" s="22" t="s">
        <v>941</v>
      </c>
      <c r="F341" s="22">
        <v>19128081295.200001</v>
      </c>
      <c r="G341" s="22">
        <v>240</v>
      </c>
      <c r="H341" s="22" t="s">
        <v>1613</v>
      </c>
    </row>
    <row r="342" spans="1:8" x14ac:dyDescent="0.35">
      <c r="A342" s="22" t="s">
        <v>851</v>
      </c>
      <c r="B342" s="22" t="str">
        <f>"06698"</f>
        <v>06698</v>
      </c>
      <c r="C342" s="22" t="str">
        <f t="shared" si="5"/>
        <v>'6698.HK'</v>
      </c>
      <c r="D342" s="22" t="s">
        <v>1614</v>
      </c>
      <c r="F342" s="22">
        <v>19110240000</v>
      </c>
      <c r="H342" s="22" t="s">
        <v>1615</v>
      </c>
    </row>
    <row r="343" spans="1:8" x14ac:dyDescent="0.35">
      <c r="A343" s="22" t="s">
        <v>851</v>
      </c>
      <c r="B343" s="22" t="str">
        <f>"00598"</f>
        <v>00598</v>
      </c>
      <c r="C343" s="22" t="str">
        <f t="shared" si="5"/>
        <v>'0598.HK'</v>
      </c>
      <c r="D343" s="22" t="s">
        <v>1616</v>
      </c>
      <c r="E343" s="22" t="s">
        <v>1047</v>
      </c>
      <c r="F343" s="22">
        <v>18829068480</v>
      </c>
      <c r="G343" s="22">
        <v>187</v>
      </c>
      <c r="H343" s="22" t="s">
        <v>1617</v>
      </c>
    </row>
    <row r="344" spans="1:8" x14ac:dyDescent="0.35">
      <c r="A344" s="22" t="s">
        <v>851</v>
      </c>
      <c r="B344" s="22" t="str">
        <f>"02778"</f>
        <v>02778</v>
      </c>
      <c r="C344" s="22" t="str">
        <f t="shared" si="5"/>
        <v>'2778.HK'</v>
      </c>
      <c r="D344" s="22" t="s">
        <v>1618</v>
      </c>
      <c r="F344" s="22">
        <v>18637867840.799999</v>
      </c>
      <c r="G344" s="22">
        <v>69</v>
      </c>
      <c r="H344" s="22" t="s">
        <v>1619</v>
      </c>
    </row>
    <row r="345" spans="1:8" x14ac:dyDescent="0.35">
      <c r="A345" s="22" t="s">
        <v>851</v>
      </c>
      <c r="B345" s="22" t="str">
        <f>"06655"</f>
        <v>06655</v>
      </c>
      <c r="C345" s="22" t="str">
        <f t="shared" si="5"/>
        <v>'6655.HK'</v>
      </c>
      <c r="D345" s="22" t="s">
        <v>1620</v>
      </c>
      <c r="E345" s="22" t="s">
        <v>1016</v>
      </c>
      <c r="F345" s="22">
        <v>18596840713.849998</v>
      </c>
      <c r="G345" s="22">
        <v>5</v>
      </c>
      <c r="H345" s="22" t="s">
        <v>1621</v>
      </c>
    </row>
    <row r="346" spans="1:8" x14ac:dyDescent="0.35">
      <c r="A346" s="22" t="s">
        <v>851</v>
      </c>
      <c r="B346" s="22" t="str">
        <f>"00570"</f>
        <v>00570</v>
      </c>
      <c r="C346" s="22" t="str">
        <f t="shared" si="5"/>
        <v>'0570.HK'</v>
      </c>
      <c r="D346" s="22" t="s">
        <v>1622</v>
      </c>
      <c r="E346" s="22" t="s">
        <v>1349</v>
      </c>
      <c r="F346" s="22">
        <v>18531750815.360001</v>
      </c>
      <c r="G346" s="22">
        <v>131</v>
      </c>
      <c r="H346" s="22" t="s">
        <v>1623</v>
      </c>
    </row>
    <row r="347" spans="1:8" x14ac:dyDescent="0.35">
      <c r="A347" s="22" t="s">
        <v>851</v>
      </c>
      <c r="B347" s="22" t="str">
        <f>"03866"</f>
        <v>03866</v>
      </c>
      <c r="C347" s="22" t="str">
        <f t="shared" si="5"/>
        <v>'3866.HK'</v>
      </c>
      <c r="D347" s="22" t="s">
        <v>1624</v>
      </c>
      <c r="E347" s="22" t="s">
        <v>858</v>
      </c>
      <c r="F347" s="22">
        <v>18450524475.080002</v>
      </c>
      <c r="G347" s="22">
        <v>38</v>
      </c>
      <c r="H347" s="22" t="s">
        <v>1625</v>
      </c>
    </row>
    <row r="348" spans="1:8" x14ac:dyDescent="0.35">
      <c r="A348" s="22" t="s">
        <v>851</v>
      </c>
      <c r="B348" s="22" t="str">
        <f>"02013"</f>
        <v>02013</v>
      </c>
      <c r="C348" s="22" t="str">
        <f t="shared" si="5"/>
        <v>'2013.HK'</v>
      </c>
      <c r="D348" s="22" t="s">
        <v>1626</v>
      </c>
      <c r="E348" s="22" t="s">
        <v>1627</v>
      </c>
      <c r="F348" s="22">
        <v>18355165128</v>
      </c>
      <c r="G348" s="22">
        <v>165</v>
      </c>
      <c r="H348" s="22" t="s">
        <v>1628</v>
      </c>
    </row>
    <row r="349" spans="1:8" x14ac:dyDescent="0.35">
      <c r="A349" s="22" t="s">
        <v>851</v>
      </c>
      <c r="B349" s="22" t="str">
        <f>"00152"</f>
        <v>00152</v>
      </c>
      <c r="C349" s="22" t="str">
        <f t="shared" si="5"/>
        <v>'0152.HK'</v>
      </c>
      <c r="D349" s="22" t="s">
        <v>1629</v>
      </c>
      <c r="E349" s="22" t="s">
        <v>1367</v>
      </c>
      <c r="F349" s="22">
        <v>18290618464.34</v>
      </c>
      <c r="G349" s="22">
        <v>124</v>
      </c>
      <c r="H349" s="22" t="s">
        <v>1630</v>
      </c>
    </row>
    <row r="350" spans="1:8" x14ac:dyDescent="0.35">
      <c r="A350" s="22" t="s">
        <v>851</v>
      </c>
      <c r="B350" s="22" t="str">
        <f>"01252"</f>
        <v>01252</v>
      </c>
      <c r="C350" s="22" t="str">
        <f t="shared" si="5"/>
        <v>'1252.HK'</v>
      </c>
      <c r="D350" s="22" t="s">
        <v>1631</v>
      </c>
      <c r="E350" s="22" t="s">
        <v>1016</v>
      </c>
      <c r="F350" s="22">
        <v>18099814945.52</v>
      </c>
      <c r="G350" s="22">
        <v>9</v>
      </c>
      <c r="H350" s="22" t="s">
        <v>1632</v>
      </c>
    </row>
    <row r="351" spans="1:8" x14ac:dyDescent="0.35">
      <c r="A351" s="22" t="s">
        <v>851</v>
      </c>
      <c r="B351" s="22" t="str">
        <f>"01735"</f>
        <v>01735</v>
      </c>
      <c r="C351" s="22" t="str">
        <f t="shared" si="5"/>
        <v>'1735.HK'</v>
      </c>
      <c r="D351" s="22" t="s">
        <v>1633</v>
      </c>
      <c r="E351" s="22" t="s">
        <v>1634</v>
      </c>
      <c r="F351" s="22">
        <v>18057600000</v>
      </c>
      <c r="G351" s="22">
        <v>3</v>
      </c>
      <c r="H351" s="22" t="s">
        <v>1635</v>
      </c>
    </row>
    <row r="352" spans="1:8" x14ac:dyDescent="0.35">
      <c r="A352" s="22" t="s">
        <v>851</v>
      </c>
      <c r="B352" s="22" t="str">
        <f>"01208"</f>
        <v>01208</v>
      </c>
      <c r="C352" s="22" t="str">
        <f t="shared" si="5"/>
        <v>'1208.HK'</v>
      </c>
      <c r="D352" s="22" t="s">
        <v>1636</v>
      </c>
      <c r="E352" s="22" t="s">
        <v>1316</v>
      </c>
      <c r="F352" s="22">
        <v>17970715844.639999</v>
      </c>
      <c r="G352" s="22">
        <v>37</v>
      </c>
      <c r="H352" s="22" t="s">
        <v>1637</v>
      </c>
    </row>
    <row r="353" spans="1:8" x14ac:dyDescent="0.35">
      <c r="A353" s="22" t="s">
        <v>851</v>
      </c>
      <c r="B353" s="22" t="str">
        <f>"00551"</f>
        <v>00551</v>
      </c>
      <c r="C353" s="22" t="str">
        <f t="shared" si="5"/>
        <v>'0551.HK'</v>
      </c>
      <c r="D353" s="22" t="s">
        <v>1638</v>
      </c>
      <c r="E353" s="22" t="s">
        <v>1552</v>
      </c>
      <c r="F353" s="22">
        <v>17895242244.599998</v>
      </c>
      <c r="G353" s="22">
        <v>51</v>
      </c>
      <c r="H353" s="22" t="s">
        <v>1639</v>
      </c>
    </row>
    <row r="354" spans="1:8" x14ac:dyDescent="0.35">
      <c r="A354" s="22" t="s">
        <v>851</v>
      </c>
      <c r="B354" s="22" t="str">
        <f>"00345"</f>
        <v>00345</v>
      </c>
      <c r="C354" s="22" t="str">
        <f t="shared" si="5"/>
        <v>'0345.HK'</v>
      </c>
      <c r="D354" s="22" t="s">
        <v>1640</v>
      </c>
      <c r="E354" s="22" t="s">
        <v>892</v>
      </c>
      <c r="F354" s="22">
        <v>17304144725.599998</v>
      </c>
      <c r="G354" s="22">
        <v>193</v>
      </c>
      <c r="H354" s="22" t="s">
        <v>1641</v>
      </c>
    </row>
    <row r="355" spans="1:8" x14ac:dyDescent="0.35">
      <c r="A355" s="22" t="s">
        <v>851</v>
      </c>
      <c r="B355" s="22" t="str">
        <f>"02869"</f>
        <v>02869</v>
      </c>
      <c r="C355" s="22" t="str">
        <f t="shared" si="5"/>
        <v>'2869.HK'</v>
      </c>
      <c r="D355" s="22" t="s">
        <v>1642</v>
      </c>
      <c r="E355" s="22" t="s">
        <v>1104</v>
      </c>
      <c r="F355" s="22">
        <v>17289891615.639999</v>
      </c>
      <c r="G355" s="22">
        <v>180</v>
      </c>
      <c r="H355" s="22" t="s">
        <v>1643</v>
      </c>
    </row>
    <row r="356" spans="1:8" x14ac:dyDescent="0.35">
      <c r="A356" s="22" t="s">
        <v>851</v>
      </c>
      <c r="B356" s="22" t="str">
        <f>"01798"</f>
        <v>01798</v>
      </c>
      <c r="C356" s="22" t="str">
        <f t="shared" si="5"/>
        <v>'1798.HK'</v>
      </c>
      <c r="D356" s="22" t="s">
        <v>1644</v>
      </c>
      <c r="E356" s="22" t="s">
        <v>1127</v>
      </c>
      <c r="F356" s="22">
        <v>17238671370</v>
      </c>
      <c r="G356" s="22">
        <v>65</v>
      </c>
      <c r="H356" s="22" t="s">
        <v>1645</v>
      </c>
    </row>
    <row r="357" spans="1:8" x14ac:dyDescent="0.35">
      <c r="A357" s="22" t="s">
        <v>851</v>
      </c>
      <c r="B357" s="22" t="str">
        <f>"01958"</f>
        <v>01958</v>
      </c>
      <c r="C357" s="22" t="str">
        <f t="shared" si="5"/>
        <v>'1958.HK'</v>
      </c>
      <c r="D357" s="22" t="s">
        <v>1646</v>
      </c>
      <c r="E357" s="22" t="s">
        <v>886</v>
      </c>
      <c r="F357" s="22">
        <v>17072670327.66</v>
      </c>
      <c r="G357" s="22">
        <v>152</v>
      </c>
      <c r="H357" s="22" t="s">
        <v>1647</v>
      </c>
    </row>
    <row r="358" spans="1:8" x14ac:dyDescent="0.35">
      <c r="A358" s="22" t="s">
        <v>851</v>
      </c>
      <c r="B358" s="22" t="str">
        <f>"09899"</f>
        <v>09899</v>
      </c>
      <c r="C358" s="22" t="str">
        <f t="shared" si="5"/>
        <v>'9899.HK'</v>
      </c>
      <c r="D358" s="22" t="s">
        <v>1648</v>
      </c>
      <c r="E358" s="22" t="s">
        <v>1185</v>
      </c>
      <c r="F358" s="22">
        <v>16901268980.700001</v>
      </c>
      <c r="G358" s="22">
        <v>9</v>
      </c>
      <c r="H358" s="22" t="s">
        <v>1649</v>
      </c>
    </row>
    <row r="359" spans="1:8" x14ac:dyDescent="0.35">
      <c r="A359" s="22" t="s">
        <v>851</v>
      </c>
      <c r="B359" s="22" t="str">
        <f>"03633"</f>
        <v>03633</v>
      </c>
      <c r="C359" s="22" t="str">
        <f t="shared" si="5"/>
        <v>'3633.HK'</v>
      </c>
      <c r="D359" s="22" t="s">
        <v>1650</v>
      </c>
      <c r="E359" s="22" t="s">
        <v>1031</v>
      </c>
      <c r="F359" s="22">
        <v>16662933083.16</v>
      </c>
      <c r="G359" s="22">
        <v>23</v>
      </c>
      <c r="H359" s="22" t="s">
        <v>1651</v>
      </c>
    </row>
    <row r="360" spans="1:8" x14ac:dyDescent="0.35">
      <c r="A360" s="22" t="s">
        <v>851</v>
      </c>
      <c r="B360" s="22" t="str">
        <f>"02880"</f>
        <v>02880</v>
      </c>
      <c r="C360" s="22" t="str">
        <f t="shared" si="5"/>
        <v>'2880.HK'</v>
      </c>
      <c r="D360" s="22" t="s">
        <v>1652</v>
      </c>
      <c r="E360" s="22" t="s">
        <v>1047</v>
      </c>
      <c r="F360" s="22">
        <v>16551075413.040001</v>
      </c>
      <c r="G360" s="22">
        <v>50</v>
      </c>
      <c r="H360" s="22" t="s">
        <v>1653</v>
      </c>
    </row>
    <row r="361" spans="1:8" x14ac:dyDescent="0.35">
      <c r="A361" s="22" t="s">
        <v>851</v>
      </c>
      <c r="B361" s="22" t="str">
        <f>"06185"</f>
        <v>06185</v>
      </c>
      <c r="C361" s="22" t="str">
        <f t="shared" si="5"/>
        <v>'6185.HK'</v>
      </c>
      <c r="D361" s="22" t="s">
        <v>1654</v>
      </c>
      <c r="E361" s="22" t="s">
        <v>941</v>
      </c>
      <c r="F361" s="22">
        <v>16443045788.549999</v>
      </c>
      <c r="G361" s="22">
        <v>94</v>
      </c>
      <c r="H361" s="22" t="s">
        <v>1655</v>
      </c>
    </row>
    <row r="362" spans="1:8" x14ac:dyDescent="0.35">
      <c r="A362" s="22" t="s">
        <v>851</v>
      </c>
      <c r="B362" s="22" t="str">
        <f>"03990"</f>
        <v>03990</v>
      </c>
      <c r="C362" s="22" t="str">
        <f t="shared" si="5"/>
        <v>'3990.HK'</v>
      </c>
      <c r="D362" s="22" t="s">
        <v>1656</v>
      </c>
      <c r="E362" s="22" t="s">
        <v>924</v>
      </c>
      <c r="F362" s="22">
        <v>16427593355.16</v>
      </c>
      <c r="G362" s="22">
        <v>114</v>
      </c>
      <c r="H362" s="22" t="s">
        <v>1657</v>
      </c>
    </row>
    <row r="363" spans="1:8" x14ac:dyDescent="0.35">
      <c r="A363" s="22" t="s">
        <v>851</v>
      </c>
      <c r="B363" s="22" t="str">
        <f>"01563"</f>
        <v>01563</v>
      </c>
      <c r="C363" s="22" t="str">
        <f t="shared" si="5"/>
        <v>'1563.HK'</v>
      </c>
      <c r="D363" s="22" t="s">
        <v>1658</v>
      </c>
      <c r="E363" s="22" t="s">
        <v>1498</v>
      </c>
      <c r="F363" s="22">
        <v>16384956660</v>
      </c>
      <c r="G363" s="22">
        <v>2</v>
      </c>
      <c r="H363" s="22" t="s">
        <v>1659</v>
      </c>
    </row>
    <row r="364" spans="1:8" x14ac:dyDescent="0.35">
      <c r="A364" s="22" t="s">
        <v>851</v>
      </c>
      <c r="B364" s="22" t="str">
        <f>"00512"</f>
        <v>00512</v>
      </c>
      <c r="C364" s="22" t="str">
        <f t="shared" si="5"/>
        <v>'0512.HK'</v>
      </c>
      <c r="D364" s="22" t="s">
        <v>1660</v>
      </c>
      <c r="E364" s="22" t="s">
        <v>969</v>
      </c>
      <c r="F364" s="22">
        <v>16257035857.84</v>
      </c>
      <c r="G364" s="22">
        <v>71</v>
      </c>
      <c r="H364" s="22" t="s">
        <v>1661</v>
      </c>
    </row>
    <row r="365" spans="1:8" x14ac:dyDescent="0.35">
      <c r="A365" s="22" t="s">
        <v>851</v>
      </c>
      <c r="B365" s="22" t="str">
        <f>"01060"</f>
        <v>01060</v>
      </c>
      <c r="C365" s="22" t="str">
        <f t="shared" si="5"/>
        <v>'1060.HK'</v>
      </c>
      <c r="D365" s="22" t="s">
        <v>1662</v>
      </c>
      <c r="E365" s="22" t="s">
        <v>1185</v>
      </c>
      <c r="F365" s="22">
        <v>16185444093.6</v>
      </c>
      <c r="G365" s="22">
        <v>92</v>
      </c>
      <c r="H365" s="22" t="s">
        <v>1663</v>
      </c>
    </row>
    <row r="366" spans="1:8" x14ac:dyDescent="0.35">
      <c r="A366" s="22" t="s">
        <v>851</v>
      </c>
      <c r="B366" s="22" t="str">
        <f>"00579"</f>
        <v>00579</v>
      </c>
      <c r="C366" s="22" t="str">
        <f t="shared" si="5"/>
        <v>'0579.HK'</v>
      </c>
      <c r="D366" s="22" t="s">
        <v>1664</v>
      </c>
      <c r="E366" s="22" t="s">
        <v>1022</v>
      </c>
      <c r="F366" s="22">
        <v>15911900717.92</v>
      </c>
      <c r="G366" s="22">
        <v>107</v>
      </c>
      <c r="H366" s="22" t="s">
        <v>1665</v>
      </c>
    </row>
    <row r="367" spans="1:8" x14ac:dyDescent="0.35">
      <c r="A367" s="22" t="s">
        <v>851</v>
      </c>
      <c r="B367" s="22" t="str">
        <f>"09993"</f>
        <v>09993</v>
      </c>
      <c r="C367" s="22" t="str">
        <f t="shared" si="5"/>
        <v>'9993.HK'</v>
      </c>
      <c r="D367" s="22" t="s">
        <v>1666</v>
      </c>
      <c r="E367" s="22" t="s">
        <v>924</v>
      </c>
      <c r="F367" s="22">
        <v>15816837570</v>
      </c>
      <c r="G367" s="22">
        <v>12</v>
      </c>
      <c r="H367" s="22" t="s">
        <v>1667</v>
      </c>
    </row>
    <row r="368" spans="1:8" x14ac:dyDescent="0.35">
      <c r="A368" s="22" t="s">
        <v>851</v>
      </c>
      <c r="B368" s="22" t="str">
        <f>"03899"</f>
        <v>03899</v>
      </c>
      <c r="C368" s="22" t="str">
        <f t="shared" si="5"/>
        <v>'3899.HK'</v>
      </c>
      <c r="D368" s="22" t="s">
        <v>1668</v>
      </c>
      <c r="E368" s="22" t="s">
        <v>1294</v>
      </c>
      <c r="F368" s="22">
        <v>15719151307</v>
      </c>
      <c r="G368" s="22">
        <v>123</v>
      </c>
      <c r="H368" s="22" t="s">
        <v>1669</v>
      </c>
    </row>
    <row r="369" spans="1:8" x14ac:dyDescent="0.35">
      <c r="A369" s="22" t="s">
        <v>851</v>
      </c>
      <c r="B369" s="22" t="str">
        <f>"01448"</f>
        <v>01448</v>
      </c>
      <c r="C369" s="22" t="str">
        <f t="shared" si="5"/>
        <v>'1448.HK'</v>
      </c>
      <c r="D369" s="22" t="s">
        <v>1670</v>
      </c>
      <c r="E369" s="22" t="s">
        <v>1671</v>
      </c>
      <c r="F369" s="22">
        <v>15589482195.84</v>
      </c>
      <c r="G369" s="22">
        <v>746</v>
      </c>
      <c r="H369" s="22" t="s">
        <v>1672</v>
      </c>
    </row>
    <row r="370" spans="1:8" x14ac:dyDescent="0.35">
      <c r="A370" s="22" t="s">
        <v>851</v>
      </c>
      <c r="B370" s="22" t="str">
        <f>"02386"</f>
        <v>02386</v>
      </c>
      <c r="C370" s="22" t="str">
        <f t="shared" si="5"/>
        <v>'2386.HK'</v>
      </c>
      <c r="D370" s="22" t="s">
        <v>1673</v>
      </c>
      <c r="E370" s="22" t="s">
        <v>1294</v>
      </c>
      <c r="F370" s="22">
        <v>15586560000</v>
      </c>
      <c r="G370" s="22">
        <v>69</v>
      </c>
      <c r="H370" s="22" t="s">
        <v>1674</v>
      </c>
    </row>
    <row r="371" spans="1:8" x14ac:dyDescent="0.35">
      <c r="A371" s="22" t="s">
        <v>851</v>
      </c>
      <c r="B371" s="22" t="str">
        <f>"09886"</f>
        <v>09886</v>
      </c>
      <c r="C371" s="22" t="str">
        <f t="shared" si="5"/>
        <v>'9886.HK'</v>
      </c>
      <c r="D371" s="22" t="s">
        <v>1675</v>
      </c>
      <c r="E371" s="22" t="s">
        <v>969</v>
      </c>
      <c r="F371" s="22">
        <v>15426938315.5</v>
      </c>
      <c r="G371" s="22">
        <v>2</v>
      </c>
      <c r="H371" s="22" t="s">
        <v>1676</v>
      </c>
    </row>
    <row r="372" spans="1:8" x14ac:dyDescent="0.35">
      <c r="A372" s="22" t="s">
        <v>851</v>
      </c>
      <c r="B372" s="22" t="str">
        <f>"02162"</f>
        <v>02162</v>
      </c>
      <c r="C372" s="22" t="str">
        <f t="shared" si="5"/>
        <v>'2162.HK'</v>
      </c>
      <c r="D372" s="22" t="s">
        <v>1677</v>
      </c>
      <c r="E372" s="22" t="s">
        <v>941</v>
      </c>
      <c r="F372" s="22">
        <v>15329509016.799999</v>
      </c>
      <c r="G372" s="22">
        <v>10</v>
      </c>
      <c r="H372" s="22" t="s">
        <v>1678</v>
      </c>
    </row>
    <row r="373" spans="1:8" x14ac:dyDescent="0.35">
      <c r="A373" s="22" t="s">
        <v>851</v>
      </c>
      <c r="B373" s="22" t="str">
        <f>"02139"</f>
        <v>02139</v>
      </c>
      <c r="C373" s="22" t="str">
        <f t="shared" si="5"/>
        <v>'2139.HK'</v>
      </c>
      <c r="D373" s="22" t="s">
        <v>1679</v>
      </c>
      <c r="E373" s="22" t="s">
        <v>858</v>
      </c>
      <c r="F373" s="22">
        <v>15220489243.299999</v>
      </c>
      <c r="G373" s="22">
        <v>14</v>
      </c>
      <c r="H373" s="22" t="s">
        <v>1680</v>
      </c>
    </row>
    <row r="374" spans="1:8" x14ac:dyDescent="0.35">
      <c r="A374" s="22" t="s">
        <v>851</v>
      </c>
      <c r="B374" s="22" t="str">
        <f>"06088"</f>
        <v>06088</v>
      </c>
      <c r="C374" s="22" t="str">
        <f t="shared" si="5"/>
        <v>'6088.HK'</v>
      </c>
      <c r="D374" s="22" t="s">
        <v>1681</v>
      </c>
      <c r="E374" s="22" t="s">
        <v>938</v>
      </c>
      <c r="F374" s="22">
        <v>15139470885.76</v>
      </c>
      <c r="G374" s="22">
        <v>51</v>
      </c>
      <c r="H374" s="22" t="s">
        <v>1682</v>
      </c>
    </row>
    <row r="375" spans="1:8" x14ac:dyDescent="0.35">
      <c r="A375" s="22" t="s">
        <v>851</v>
      </c>
      <c r="B375" s="22" t="str">
        <f>"02314"</f>
        <v>02314</v>
      </c>
      <c r="C375" s="22" t="str">
        <f t="shared" si="5"/>
        <v>'2314.HK'</v>
      </c>
      <c r="D375" s="22" t="s">
        <v>1683</v>
      </c>
      <c r="E375" s="22" t="s">
        <v>1378</v>
      </c>
      <c r="F375" s="22">
        <v>14997286200</v>
      </c>
      <c r="G375" s="22">
        <v>103</v>
      </c>
      <c r="H375" s="22" t="s">
        <v>1684</v>
      </c>
    </row>
    <row r="376" spans="1:8" x14ac:dyDescent="0.35">
      <c r="A376" s="22" t="s">
        <v>851</v>
      </c>
      <c r="B376" s="22" t="str">
        <f>"00548"</f>
        <v>00548</v>
      </c>
      <c r="C376" s="22" t="str">
        <f t="shared" si="5"/>
        <v>'0548.HK'</v>
      </c>
      <c r="D376" s="22" t="s">
        <v>1685</v>
      </c>
      <c r="E376" s="22" t="s">
        <v>1367</v>
      </c>
      <c r="F376" s="22">
        <v>14960084436.360001</v>
      </c>
      <c r="G376" s="22">
        <v>188</v>
      </c>
      <c r="H376" s="22" t="s">
        <v>1686</v>
      </c>
    </row>
    <row r="377" spans="1:8" x14ac:dyDescent="0.35">
      <c r="A377" s="22" t="s">
        <v>851</v>
      </c>
      <c r="B377" s="22" t="str">
        <f>"00338"</f>
        <v>00338</v>
      </c>
      <c r="C377" s="22" t="str">
        <f t="shared" si="5"/>
        <v>'0338.HK'</v>
      </c>
      <c r="D377" s="22" t="s">
        <v>1687</v>
      </c>
      <c r="E377" s="22" t="s">
        <v>1600</v>
      </c>
      <c r="F377" s="22">
        <v>14720386360</v>
      </c>
      <c r="G377" s="22">
        <v>164</v>
      </c>
      <c r="H377" s="22" t="s">
        <v>1688</v>
      </c>
    </row>
    <row r="378" spans="1:8" x14ac:dyDescent="0.35">
      <c r="A378" s="22" t="s">
        <v>851</v>
      </c>
      <c r="B378" s="22" t="str">
        <f>"01258"</f>
        <v>01258</v>
      </c>
      <c r="C378" s="22" t="str">
        <f t="shared" si="5"/>
        <v>'1258.HK'</v>
      </c>
      <c r="D378" s="22" t="s">
        <v>1689</v>
      </c>
      <c r="E378" s="22" t="s">
        <v>1316</v>
      </c>
      <c r="F378" s="22">
        <v>14657021120</v>
      </c>
      <c r="G378" s="22">
        <v>33</v>
      </c>
      <c r="H378" s="22" t="s">
        <v>1690</v>
      </c>
    </row>
    <row r="379" spans="1:8" x14ac:dyDescent="0.35">
      <c r="A379" s="22" t="s">
        <v>851</v>
      </c>
      <c r="B379" s="22" t="str">
        <f>"01121"</f>
        <v>01121</v>
      </c>
      <c r="C379" s="22" t="str">
        <f t="shared" si="5"/>
        <v>'1121.HK'</v>
      </c>
      <c r="D379" s="22" t="s">
        <v>1691</v>
      </c>
      <c r="E379" s="22" t="s">
        <v>1552</v>
      </c>
      <c r="F379" s="22">
        <v>14603015456.24</v>
      </c>
      <c r="G379" s="22">
        <v>5</v>
      </c>
      <c r="H379" s="22" t="s">
        <v>1692</v>
      </c>
    </row>
    <row r="380" spans="1:8" x14ac:dyDescent="0.35">
      <c r="A380" s="22" t="s">
        <v>851</v>
      </c>
      <c r="B380" s="22" t="str">
        <f>"02005"</f>
        <v>02005</v>
      </c>
      <c r="C380" s="22" t="str">
        <f t="shared" si="5"/>
        <v>'2005.HK'</v>
      </c>
      <c r="D380" s="22" t="s">
        <v>1693</v>
      </c>
      <c r="E380" s="22" t="s">
        <v>969</v>
      </c>
      <c r="F380" s="22">
        <v>14572028586.5</v>
      </c>
      <c r="G380" s="22">
        <v>67</v>
      </c>
      <c r="H380" s="22" t="s">
        <v>1694</v>
      </c>
    </row>
    <row r="381" spans="1:8" x14ac:dyDescent="0.35">
      <c r="A381" s="22" t="s">
        <v>851</v>
      </c>
      <c r="B381" s="22" t="str">
        <f>"00323"</f>
        <v>00323</v>
      </c>
      <c r="C381" s="22" t="str">
        <f t="shared" si="5"/>
        <v>'0323.HK'</v>
      </c>
      <c r="D381" s="22" t="s">
        <v>1695</v>
      </c>
      <c r="E381" s="22" t="s">
        <v>1579</v>
      </c>
      <c r="F381" s="22">
        <v>14462860005.959999</v>
      </c>
      <c r="G381" s="22">
        <v>87</v>
      </c>
      <c r="H381" s="22" t="s">
        <v>1696</v>
      </c>
    </row>
    <row r="382" spans="1:8" x14ac:dyDescent="0.35">
      <c r="A382" s="22" t="s">
        <v>851</v>
      </c>
      <c r="B382" s="22" t="str">
        <f>"00909"</f>
        <v>00909</v>
      </c>
      <c r="C382" s="22" t="str">
        <f t="shared" si="5"/>
        <v>'0909.HK'</v>
      </c>
      <c r="D382" s="22" t="s">
        <v>1697</v>
      </c>
      <c r="E382" s="22" t="s">
        <v>1202</v>
      </c>
      <c r="F382" s="22">
        <v>14402523295.65</v>
      </c>
      <c r="G382" s="22">
        <v>81</v>
      </c>
      <c r="H382" s="22" t="s">
        <v>1698</v>
      </c>
    </row>
    <row r="383" spans="1:8" x14ac:dyDescent="0.35">
      <c r="A383" s="22" t="s">
        <v>851</v>
      </c>
      <c r="B383" s="22" t="str">
        <f>"01992"</f>
        <v>01992</v>
      </c>
      <c r="C383" s="22" t="str">
        <f t="shared" si="5"/>
        <v>'1992.HK'</v>
      </c>
      <c r="D383" s="22" t="s">
        <v>1699</v>
      </c>
      <c r="E383" s="22" t="s">
        <v>1070</v>
      </c>
      <c r="F383" s="22">
        <v>14344157137.08</v>
      </c>
      <c r="G383" s="22">
        <v>21</v>
      </c>
      <c r="H383" s="22" t="s">
        <v>1700</v>
      </c>
    </row>
    <row r="384" spans="1:8" x14ac:dyDescent="0.35">
      <c r="A384" s="22" t="s">
        <v>851</v>
      </c>
      <c r="B384" s="22" t="str">
        <f>"01963"</f>
        <v>01963</v>
      </c>
      <c r="C384" s="22" t="str">
        <f t="shared" si="5"/>
        <v>'1963.HK'</v>
      </c>
      <c r="D384" s="22" t="s">
        <v>1701</v>
      </c>
      <c r="E384" s="22" t="s">
        <v>858</v>
      </c>
      <c r="F384" s="22">
        <v>14280345273.93</v>
      </c>
      <c r="G384" s="22">
        <v>261</v>
      </c>
      <c r="H384" s="22" t="s">
        <v>1702</v>
      </c>
    </row>
    <row r="385" spans="1:8" x14ac:dyDescent="0.35">
      <c r="A385" s="22" t="s">
        <v>851</v>
      </c>
      <c r="B385" s="22" t="str">
        <f>"00314"</f>
        <v>00314</v>
      </c>
      <c r="C385" s="22" t="str">
        <f t="shared" si="5"/>
        <v>'0314.HK'</v>
      </c>
      <c r="D385" s="22" t="s">
        <v>1703</v>
      </c>
      <c r="F385" s="22">
        <v>14192358000</v>
      </c>
      <c r="H385" s="22" t="s">
        <v>1704</v>
      </c>
    </row>
    <row r="386" spans="1:8" x14ac:dyDescent="0.35">
      <c r="A386" s="22" t="s">
        <v>851</v>
      </c>
      <c r="B386" s="22" t="str">
        <f>"02866"</f>
        <v>02866</v>
      </c>
      <c r="C386" s="22" t="str">
        <f t="shared" si="5"/>
        <v>'2866.HK'</v>
      </c>
      <c r="D386" s="22" t="s">
        <v>1705</v>
      </c>
      <c r="E386" s="22" t="s">
        <v>1047</v>
      </c>
      <c r="F386" s="22">
        <v>14129936393.040001</v>
      </c>
      <c r="G386" s="22">
        <v>101</v>
      </c>
      <c r="H386" s="22" t="s">
        <v>1706</v>
      </c>
    </row>
    <row r="387" spans="1:8" x14ac:dyDescent="0.35">
      <c r="A387" s="22" t="s">
        <v>851</v>
      </c>
      <c r="B387" s="22" t="str">
        <f>"00590"</f>
        <v>00590</v>
      </c>
      <c r="C387" s="22" t="str">
        <f t="shared" ref="C387:C450" si="6">CONCATENATE("'",RIGHT(B387,4),".HK'")</f>
        <v>'0590.HK'</v>
      </c>
      <c r="D387" s="22" t="s">
        <v>1707</v>
      </c>
      <c r="E387" s="22" t="s">
        <v>1002</v>
      </c>
      <c r="F387" s="22">
        <v>14119943792.5</v>
      </c>
      <c r="G387" s="22">
        <v>49</v>
      </c>
      <c r="H387" s="22" t="s">
        <v>1708</v>
      </c>
    </row>
    <row r="388" spans="1:8" x14ac:dyDescent="0.35">
      <c r="A388" s="22" t="s">
        <v>851</v>
      </c>
      <c r="B388" s="22" t="str">
        <f>"03319"</f>
        <v>03319</v>
      </c>
      <c r="C388" s="22" t="str">
        <f t="shared" si="6"/>
        <v>'3319.HK'</v>
      </c>
      <c r="D388" s="22" t="s">
        <v>1709</v>
      </c>
      <c r="E388" s="22" t="s">
        <v>1104</v>
      </c>
      <c r="F388" s="22">
        <v>14001207888</v>
      </c>
      <c r="G388" s="22">
        <v>159</v>
      </c>
      <c r="H388" s="22" t="s">
        <v>1710</v>
      </c>
    </row>
    <row r="389" spans="1:8" x14ac:dyDescent="0.35">
      <c r="A389" s="22" t="s">
        <v>851</v>
      </c>
      <c r="B389" s="22" t="str">
        <f>"00697"</f>
        <v>00697</v>
      </c>
      <c r="C389" s="22" t="str">
        <f t="shared" si="6"/>
        <v>'0697.HK'</v>
      </c>
      <c r="D389" s="22" t="s">
        <v>1711</v>
      </c>
      <c r="E389" s="22" t="s">
        <v>964</v>
      </c>
      <c r="F389" s="22">
        <v>13897036220.540001</v>
      </c>
      <c r="G389" s="22">
        <v>19</v>
      </c>
      <c r="H389" s="22" t="s">
        <v>1712</v>
      </c>
    </row>
    <row r="390" spans="1:8" x14ac:dyDescent="0.35">
      <c r="A390" s="22" t="s">
        <v>851</v>
      </c>
      <c r="B390" s="22" t="str">
        <f>"00045"</f>
        <v>00045</v>
      </c>
      <c r="C390" s="22" t="str">
        <f t="shared" si="6"/>
        <v>'0045.HK'</v>
      </c>
      <c r="D390" s="22" t="s">
        <v>1713</v>
      </c>
      <c r="E390" s="22" t="s">
        <v>1070</v>
      </c>
      <c r="F390" s="22">
        <v>13855247330.4</v>
      </c>
      <c r="G390" s="22">
        <v>23</v>
      </c>
      <c r="H390" s="22" t="s">
        <v>1714</v>
      </c>
    </row>
    <row r="391" spans="1:8" x14ac:dyDescent="0.35">
      <c r="A391" s="22" t="s">
        <v>851</v>
      </c>
      <c r="B391" s="22" t="str">
        <f>"02343"</f>
        <v>02343</v>
      </c>
      <c r="C391" s="22" t="str">
        <f t="shared" si="6"/>
        <v>'2343.HK'</v>
      </c>
      <c r="D391" s="22" t="s">
        <v>1715</v>
      </c>
      <c r="E391" s="22" t="s">
        <v>1047</v>
      </c>
      <c r="F391" s="22">
        <v>13784372880.26</v>
      </c>
      <c r="G391" s="22">
        <v>32</v>
      </c>
      <c r="H391" s="22" t="s">
        <v>1716</v>
      </c>
    </row>
    <row r="392" spans="1:8" x14ac:dyDescent="0.35">
      <c r="A392" s="22" t="s">
        <v>851</v>
      </c>
      <c r="B392" s="22" t="str">
        <f>"00956"</f>
        <v>00956</v>
      </c>
      <c r="C392" s="22" t="str">
        <f t="shared" si="6"/>
        <v>'0956.HK'</v>
      </c>
      <c r="D392" s="22" t="s">
        <v>1717</v>
      </c>
      <c r="E392" s="22" t="s">
        <v>1031</v>
      </c>
      <c r="F392" s="22">
        <v>13775536210.17</v>
      </c>
      <c r="G392" s="22">
        <v>112</v>
      </c>
      <c r="H392" s="22" t="s">
        <v>1718</v>
      </c>
    </row>
    <row r="393" spans="1:8" x14ac:dyDescent="0.35">
      <c r="A393" s="22" t="s">
        <v>851</v>
      </c>
      <c r="B393" s="22" t="str">
        <f>"00921"</f>
        <v>00921</v>
      </c>
      <c r="C393" s="22" t="str">
        <f t="shared" si="6"/>
        <v>'0921.HK'</v>
      </c>
      <c r="D393" s="22" t="s">
        <v>1719</v>
      </c>
      <c r="E393" s="22" t="s">
        <v>953</v>
      </c>
      <c r="F393" s="22">
        <v>13736271729.6</v>
      </c>
      <c r="G393" s="22">
        <v>119</v>
      </c>
      <c r="H393" s="22" t="s">
        <v>1720</v>
      </c>
    </row>
    <row r="394" spans="1:8" x14ac:dyDescent="0.35">
      <c r="A394" s="22" t="s">
        <v>851</v>
      </c>
      <c r="B394" s="22" t="str">
        <f>"01907"</f>
        <v>01907</v>
      </c>
      <c r="C394" s="22" t="str">
        <f t="shared" si="6"/>
        <v>'1907.HK'</v>
      </c>
      <c r="D394" s="22" t="s">
        <v>1721</v>
      </c>
      <c r="E394" s="22" t="s">
        <v>1600</v>
      </c>
      <c r="F394" s="22">
        <v>13719837400</v>
      </c>
      <c r="G394" s="22">
        <v>33</v>
      </c>
      <c r="H394" s="22" t="s">
        <v>1722</v>
      </c>
    </row>
    <row r="395" spans="1:8" x14ac:dyDescent="0.35">
      <c r="A395" s="22" t="s">
        <v>851</v>
      </c>
      <c r="B395" s="22" t="str">
        <f>"00200"</f>
        <v>00200</v>
      </c>
      <c r="C395" s="22" t="str">
        <f t="shared" si="6"/>
        <v>'0200.HK'</v>
      </c>
      <c r="D395" s="22" t="s">
        <v>1723</v>
      </c>
      <c r="E395" s="22" t="s">
        <v>961</v>
      </c>
      <c r="F395" s="22">
        <v>13452984906.85</v>
      </c>
      <c r="G395" s="22">
        <v>66</v>
      </c>
      <c r="H395" s="22" t="s">
        <v>1724</v>
      </c>
    </row>
    <row r="396" spans="1:8" x14ac:dyDescent="0.35">
      <c r="A396" s="22" t="s">
        <v>851</v>
      </c>
      <c r="B396" s="22" t="str">
        <f>"02150"</f>
        <v>02150</v>
      </c>
      <c r="C396" s="22" t="str">
        <f t="shared" si="6"/>
        <v>'2150.HK'</v>
      </c>
      <c r="D396" s="22" t="s">
        <v>1725</v>
      </c>
      <c r="E396" s="22" t="s">
        <v>981</v>
      </c>
      <c r="F396" s="22">
        <v>13412286469.540001</v>
      </c>
      <c r="G396" s="22">
        <v>37</v>
      </c>
      <c r="H396" s="22" t="s">
        <v>1726</v>
      </c>
    </row>
    <row r="397" spans="1:8" x14ac:dyDescent="0.35">
      <c r="A397" s="22" t="s">
        <v>851</v>
      </c>
      <c r="B397" s="22" t="str">
        <f>"01458"</f>
        <v>01458</v>
      </c>
      <c r="C397" s="22" t="str">
        <f t="shared" si="6"/>
        <v>'1458.HK'</v>
      </c>
      <c r="D397" s="22" t="s">
        <v>1727</v>
      </c>
      <c r="E397" s="22" t="s">
        <v>1205</v>
      </c>
      <c r="F397" s="22">
        <v>13393249610</v>
      </c>
      <c r="G397" s="22">
        <v>420</v>
      </c>
      <c r="H397" s="22" t="s">
        <v>1728</v>
      </c>
    </row>
    <row r="398" spans="1:8" x14ac:dyDescent="0.35">
      <c r="A398" s="22" t="s">
        <v>851</v>
      </c>
      <c r="B398" s="22" t="str">
        <f>"02172"</f>
        <v>02172</v>
      </c>
      <c r="C398" s="22" t="str">
        <f t="shared" si="6"/>
        <v>'2172.HK'</v>
      </c>
      <c r="D398" s="22" t="s">
        <v>1729</v>
      </c>
      <c r="E398" s="22" t="s">
        <v>1232</v>
      </c>
      <c r="F398" s="22">
        <v>13342870490</v>
      </c>
      <c r="G398" s="22">
        <v>3</v>
      </c>
      <c r="H398" s="22" t="s">
        <v>1730</v>
      </c>
    </row>
    <row r="399" spans="1:8" x14ac:dyDescent="0.35">
      <c r="A399" s="22" t="s">
        <v>851</v>
      </c>
      <c r="B399" s="22" t="str">
        <f>"01516"</f>
        <v>01516</v>
      </c>
      <c r="C399" s="22" t="str">
        <f t="shared" si="6"/>
        <v>'1516.HK'</v>
      </c>
      <c r="D399" s="22" t="s">
        <v>1731</v>
      </c>
      <c r="E399" s="22" t="s">
        <v>1104</v>
      </c>
      <c r="F399" s="22">
        <v>13327839840</v>
      </c>
      <c r="G399" s="22">
        <v>96</v>
      </c>
      <c r="H399" s="22" t="s">
        <v>1732</v>
      </c>
    </row>
    <row r="400" spans="1:8" x14ac:dyDescent="0.35">
      <c r="A400" s="22" t="s">
        <v>851</v>
      </c>
      <c r="B400" s="22" t="str">
        <f>"01316"</f>
        <v>01316</v>
      </c>
      <c r="C400" s="22" t="str">
        <f t="shared" si="6"/>
        <v>'1316.HK'</v>
      </c>
      <c r="D400" s="22" t="s">
        <v>1733</v>
      </c>
      <c r="E400" s="22" t="s">
        <v>1122</v>
      </c>
      <c r="F400" s="22">
        <v>13176577538.25</v>
      </c>
      <c r="G400" s="22">
        <v>105</v>
      </c>
      <c r="H400" s="22" t="s">
        <v>1734</v>
      </c>
    </row>
    <row r="401" spans="1:8" x14ac:dyDescent="0.35">
      <c r="A401" s="22" t="s">
        <v>851</v>
      </c>
      <c r="B401" s="22" t="str">
        <f>"02186"</f>
        <v>02186</v>
      </c>
      <c r="C401" s="22" t="str">
        <f t="shared" si="6"/>
        <v>'2186.HK'</v>
      </c>
      <c r="D401" s="22" t="s">
        <v>1735</v>
      </c>
      <c r="E401" s="22" t="s">
        <v>969</v>
      </c>
      <c r="F401" s="22">
        <v>13169278085.530001</v>
      </c>
      <c r="G401" s="22">
        <v>306</v>
      </c>
      <c r="H401" s="22" t="s">
        <v>1736</v>
      </c>
    </row>
    <row r="402" spans="1:8" x14ac:dyDescent="0.35">
      <c r="A402" s="22" t="s">
        <v>851</v>
      </c>
      <c r="B402" s="22" t="str">
        <f>"00667"</f>
        <v>00667</v>
      </c>
      <c r="C402" s="22" t="str">
        <f t="shared" si="6"/>
        <v>'0667.HK'</v>
      </c>
      <c r="D402" s="22" t="s">
        <v>1737</v>
      </c>
      <c r="E402" s="22" t="s">
        <v>1270</v>
      </c>
      <c r="F402" s="22">
        <v>13162164027.1</v>
      </c>
      <c r="G402" s="22">
        <v>62</v>
      </c>
      <c r="H402" s="22" t="s">
        <v>1738</v>
      </c>
    </row>
    <row r="403" spans="1:8" x14ac:dyDescent="0.35">
      <c r="A403" s="22" t="s">
        <v>851</v>
      </c>
      <c r="B403" s="22" t="str">
        <f>"01606"</f>
        <v>01606</v>
      </c>
      <c r="C403" s="22" t="str">
        <f t="shared" si="6"/>
        <v>'1606.HK'</v>
      </c>
      <c r="D403" s="22" t="s">
        <v>1739</v>
      </c>
      <c r="E403" s="22" t="s">
        <v>1498</v>
      </c>
      <c r="F403" s="22">
        <v>13148075200</v>
      </c>
      <c r="G403" s="22">
        <v>53</v>
      </c>
      <c r="H403" s="22" t="s">
        <v>1740</v>
      </c>
    </row>
    <row r="404" spans="1:8" x14ac:dyDescent="0.35">
      <c r="A404" s="22" t="s">
        <v>851</v>
      </c>
      <c r="B404" s="22" t="str">
        <f>"00336"</f>
        <v>00336</v>
      </c>
      <c r="C404" s="22" t="str">
        <f t="shared" si="6"/>
        <v>'0336.HK'</v>
      </c>
      <c r="D404" s="22" t="s">
        <v>1741</v>
      </c>
      <c r="E404" s="22" t="s">
        <v>1451</v>
      </c>
      <c r="F404" s="22">
        <v>13145802385.32</v>
      </c>
      <c r="G404" s="22">
        <v>98</v>
      </c>
      <c r="H404" s="22" t="s">
        <v>1742</v>
      </c>
    </row>
    <row r="405" spans="1:8" x14ac:dyDescent="0.35">
      <c r="A405" s="22" t="s">
        <v>851</v>
      </c>
      <c r="B405" s="22" t="str">
        <f>"02255"</f>
        <v>02255</v>
      </c>
      <c r="C405" s="22" t="str">
        <f t="shared" si="6"/>
        <v>'2255.HK'</v>
      </c>
      <c r="D405" s="22" t="s">
        <v>1743</v>
      </c>
      <c r="E405" s="22" t="s">
        <v>1744</v>
      </c>
      <c r="F405" s="22">
        <v>13063543220</v>
      </c>
      <c r="G405" s="22">
        <v>26</v>
      </c>
      <c r="H405" s="22" t="s">
        <v>1745</v>
      </c>
    </row>
    <row r="406" spans="1:8" x14ac:dyDescent="0.35">
      <c r="A406" s="22" t="s">
        <v>851</v>
      </c>
      <c r="B406" s="22" t="str">
        <f>"00041"</f>
        <v>00041</v>
      </c>
      <c r="C406" s="22" t="str">
        <f t="shared" si="6"/>
        <v>'0041.HK'</v>
      </c>
      <c r="D406" s="22" t="s">
        <v>1746</v>
      </c>
      <c r="E406" s="22" t="s">
        <v>1028</v>
      </c>
      <c r="F406" s="22">
        <v>12995431736.1</v>
      </c>
      <c r="G406" s="22">
        <v>31</v>
      </c>
      <c r="H406" s="22" t="s">
        <v>1747</v>
      </c>
    </row>
    <row r="407" spans="1:8" x14ac:dyDescent="0.35">
      <c r="A407" s="22" t="s">
        <v>851</v>
      </c>
      <c r="B407" s="22" t="str">
        <f>"01196"</f>
        <v>01196</v>
      </c>
      <c r="C407" s="22" t="str">
        <f t="shared" si="6"/>
        <v>'1196.HK'</v>
      </c>
      <c r="D407" s="22" t="s">
        <v>1748</v>
      </c>
      <c r="E407" s="22" t="s">
        <v>1301</v>
      </c>
      <c r="F407" s="22">
        <v>12894353426</v>
      </c>
      <c r="G407" s="22">
        <v>14</v>
      </c>
      <c r="H407" s="22" t="s">
        <v>1749</v>
      </c>
    </row>
    <row r="408" spans="1:8" x14ac:dyDescent="0.35">
      <c r="A408" s="22" t="s">
        <v>851</v>
      </c>
      <c r="B408" s="22" t="str">
        <f>"00303"</f>
        <v>00303</v>
      </c>
      <c r="C408" s="22" t="str">
        <f t="shared" si="6"/>
        <v>'0303.HK'</v>
      </c>
      <c r="D408" s="22" t="s">
        <v>1750</v>
      </c>
      <c r="E408" s="22" t="s">
        <v>938</v>
      </c>
      <c r="F408" s="22">
        <v>12887825766</v>
      </c>
      <c r="G408" s="22">
        <v>97</v>
      </c>
      <c r="H408" s="22" t="s">
        <v>1751</v>
      </c>
    </row>
    <row r="409" spans="1:8" x14ac:dyDescent="0.35">
      <c r="A409" s="22" t="s">
        <v>851</v>
      </c>
      <c r="B409" s="22" t="str">
        <f>"02121"</f>
        <v>02121</v>
      </c>
      <c r="C409" s="22" t="str">
        <f t="shared" si="6"/>
        <v>'2121.HK'</v>
      </c>
      <c r="D409" s="22" t="s">
        <v>1752</v>
      </c>
      <c r="E409" s="22" t="s">
        <v>910</v>
      </c>
      <c r="F409" s="22">
        <v>12836046032.1</v>
      </c>
      <c r="G409" s="22">
        <v>11</v>
      </c>
      <c r="H409" s="22" t="s">
        <v>1753</v>
      </c>
    </row>
    <row r="410" spans="1:8" x14ac:dyDescent="0.35">
      <c r="A410" s="22" t="s">
        <v>851</v>
      </c>
      <c r="B410" s="22" t="str">
        <f>"00639"</f>
        <v>00639</v>
      </c>
      <c r="C410" s="22" t="str">
        <f t="shared" si="6"/>
        <v>'0639.HK'</v>
      </c>
      <c r="D410" s="22" t="s">
        <v>1754</v>
      </c>
      <c r="E410" s="22" t="s">
        <v>904</v>
      </c>
      <c r="F410" s="22">
        <v>12730631361.84</v>
      </c>
      <c r="G410" s="22">
        <v>93</v>
      </c>
      <c r="H410" s="22" t="s">
        <v>1755</v>
      </c>
    </row>
    <row r="411" spans="1:8" x14ac:dyDescent="0.35">
      <c r="A411" s="22" t="s">
        <v>851</v>
      </c>
      <c r="B411" s="22" t="str">
        <f>"01083"</f>
        <v>01083</v>
      </c>
      <c r="C411" s="22" t="str">
        <f t="shared" si="6"/>
        <v>'1083.HK'</v>
      </c>
      <c r="D411" s="22" t="s">
        <v>1756</v>
      </c>
      <c r="E411" s="22" t="s">
        <v>1031</v>
      </c>
      <c r="F411" s="22">
        <v>12676014396.139999</v>
      </c>
      <c r="G411" s="22">
        <v>77</v>
      </c>
      <c r="H411" s="22" t="s">
        <v>1757</v>
      </c>
    </row>
    <row r="412" spans="1:8" x14ac:dyDescent="0.35">
      <c r="A412" s="22" t="s">
        <v>851</v>
      </c>
      <c r="B412" s="22" t="str">
        <f>"01675"</f>
        <v>01675</v>
      </c>
      <c r="C412" s="22" t="str">
        <f t="shared" si="6"/>
        <v>'1675.HK'</v>
      </c>
      <c r="D412" s="22" t="s">
        <v>1758</v>
      </c>
      <c r="E412" s="22" t="s">
        <v>910</v>
      </c>
      <c r="F412" s="22">
        <v>12631345453.6</v>
      </c>
      <c r="G412" s="22">
        <v>18</v>
      </c>
      <c r="H412" s="22" t="s">
        <v>1759</v>
      </c>
    </row>
    <row r="413" spans="1:8" x14ac:dyDescent="0.35">
      <c r="A413" s="22" t="s">
        <v>851</v>
      </c>
      <c r="B413" s="22" t="str">
        <f>"00564"</f>
        <v>00564</v>
      </c>
      <c r="C413" s="22" t="str">
        <f t="shared" si="6"/>
        <v>'0564.HK'</v>
      </c>
      <c r="D413" s="22" t="s">
        <v>1760</v>
      </c>
      <c r="E413" s="22" t="s">
        <v>1122</v>
      </c>
      <c r="F413" s="22">
        <v>12575024886.9</v>
      </c>
      <c r="G413" s="22">
        <v>57</v>
      </c>
      <c r="H413" s="22" t="s">
        <v>1761</v>
      </c>
    </row>
    <row r="414" spans="1:8" x14ac:dyDescent="0.35">
      <c r="A414" s="22" t="s">
        <v>851</v>
      </c>
      <c r="B414" s="22" t="str">
        <f>"00778"</f>
        <v>00778</v>
      </c>
      <c r="C414" s="22" t="str">
        <f t="shared" si="6"/>
        <v>'0778.HK'</v>
      </c>
      <c r="D414" s="22" t="s">
        <v>1762</v>
      </c>
      <c r="F414" s="22">
        <v>12502162583.48</v>
      </c>
      <c r="G414" s="22">
        <v>109</v>
      </c>
      <c r="H414" s="22" t="s">
        <v>1763</v>
      </c>
    </row>
    <row r="415" spans="1:8" x14ac:dyDescent="0.35">
      <c r="A415" s="22" t="s">
        <v>851</v>
      </c>
      <c r="B415" s="22" t="str">
        <f>"02157"</f>
        <v>02157</v>
      </c>
      <c r="C415" s="22" t="str">
        <f t="shared" si="6"/>
        <v>'2157.HK'</v>
      </c>
      <c r="D415" s="22" t="s">
        <v>1764</v>
      </c>
      <c r="E415" s="22" t="s">
        <v>941</v>
      </c>
      <c r="F415" s="22">
        <v>12429241836.620001</v>
      </c>
      <c r="G415" s="22">
        <v>4</v>
      </c>
      <c r="H415" s="22" t="s">
        <v>1765</v>
      </c>
    </row>
    <row r="416" spans="1:8" x14ac:dyDescent="0.35">
      <c r="A416" s="22" t="s">
        <v>851</v>
      </c>
      <c r="B416" s="22" t="str">
        <f>"00081"</f>
        <v>00081</v>
      </c>
      <c r="C416" s="22" t="str">
        <f t="shared" si="6"/>
        <v>'0081.HK'</v>
      </c>
      <c r="D416" s="22" t="s">
        <v>1766</v>
      </c>
      <c r="E416" s="22" t="s">
        <v>924</v>
      </c>
      <c r="F416" s="22">
        <v>12386624067.360001</v>
      </c>
      <c r="G416" s="22">
        <v>133</v>
      </c>
      <c r="H416" s="22" t="s">
        <v>1767</v>
      </c>
    </row>
    <row r="417" spans="1:8" x14ac:dyDescent="0.35">
      <c r="A417" s="22" t="s">
        <v>851</v>
      </c>
      <c r="B417" s="22" t="str">
        <f>"02179"</f>
        <v>02179</v>
      </c>
      <c r="C417" s="22" t="str">
        <f t="shared" si="6"/>
        <v>'2179.HK'</v>
      </c>
      <c r="D417" s="22" t="s">
        <v>1768</v>
      </c>
      <c r="E417" s="22" t="s">
        <v>941</v>
      </c>
      <c r="F417" s="22">
        <v>12315556500</v>
      </c>
      <c r="G417" s="22">
        <v>2</v>
      </c>
      <c r="H417" s="22" t="s">
        <v>1769</v>
      </c>
    </row>
    <row r="418" spans="1:8" x14ac:dyDescent="0.35">
      <c r="A418" s="22" t="s">
        <v>851</v>
      </c>
      <c r="B418" s="22" t="str">
        <f>"09979"</f>
        <v>09979</v>
      </c>
      <c r="C418" s="22" t="str">
        <f t="shared" si="6"/>
        <v>'9979.HK'</v>
      </c>
      <c r="D418" s="22" t="s">
        <v>1770</v>
      </c>
      <c r="E418" s="22" t="s">
        <v>1104</v>
      </c>
      <c r="F418" s="22">
        <v>12301200000</v>
      </c>
      <c r="G418" s="22">
        <v>28</v>
      </c>
      <c r="H418" s="22" t="s">
        <v>1771</v>
      </c>
    </row>
    <row r="419" spans="1:8" x14ac:dyDescent="0.35">
      <c r="A419" s="22" t="s">
        <v>851</v>
      </c>
      <c r="B419" s="22" t="str">
        <f>"00546"</f>
        <v>00546</v>
      </c>
      <c r="C419" s="22" t="str">
        <f t="shared" si="6"/>
        <v>'0546.HK'</v>
      </c>
      <c r="D419" s="22" t="s">
        <v>1772</v>
      </c>
      <c r="E419" s="22" t="s">
        <v>1451</v>
      </c>
      <c r="F419" s="22">
        <v>12223226158.34</v>
      </c>
      <c r="G419" s="22">
        <v>131</v>
      </c>
      <c r="H419" s="22" t="s">
        <v>1773</v>
      </c>
    </row>
    <row r="420" spans="1:8" x14ac:dyDescent="0.35">
      <c r="A420" s="22" t="s">
        <v>851</v>
      </c>
      <c r="B420" s="22" t="str">
        <f>"00604"</f>
        <v>00604</v>
      </c>
      <c r="C420" s="22" t="str">
        <f t="shared" si="6"/>
        <v>'0604.HK'</v>
      </c>
      <c r="D420" s="22" t="s">
        <v>1774</v>
      </c>
      <c r="E420" s="22" t="s">
        <v>924</v>
      </c>
      <c r="F420" s="22">
        <v>12191346567.549999</v>
      </c>
      <c r="G420" s="22">
        <v>122</v>
      </c>
      <c r="H420" s="22" t="s">
        <v>1775</v>
      </c>
    </row>
    <row r="421" spans="1:8" x14ac:dyDescent="0.35">
      <c r="A421" s="22" t="s">
        <v>851</v>
      </c>
      <c r="B421" s="22" t="str">
        <f>"01302"</f>
        <v>01302</v>
      </c>
      <c r="C421" s="22" t="str">
        <f t="shared" si="6"/>
        <v>'1302.HK'</v>
      </c>
      <c r="D421" s="22" t="s">
        <v>1776</v>
      </c>
      <c r="E421" s="22" t="s">
        <v>1232</v>
      </c>
      <c r="F421" s="22">
        <v>11991778736</v>
      </c>
      <c r="G421" s="22">
        <v>129</v>
      </c>
      <c r="H421" s="22" t="s">
        <v>1777</v>
      </c>
    </row>
    <row r="422" spans="1:8" x14ac:dyDescent="0.35">
      <c r="A422" s="22" t="s">
        <v>851</v>
      </c>
      <c r="B422" s="22" t="str">
        <f>"02145"</f>
        <v>02145</v>
      </c>
      <c r="C422" s="22" t="str">
        <f t="shared" si="6"/>
        <v>'2145.HK'</v>
      </c>
      <c r="D422" s="22" t="s">
        <v>1778</v>
      </c>
      <c r="F422" s="22">
        <v>11908800000</v>
      </c>
      <c r="H422" s="22" t="s">
        <v>1779</v>
      </c>
    </row>
    <row r="423" spans="1:8" x14ac:dyDescent="0.35">
      <c r="A423" s="22" t="s">
        <v>851</v>
      </c>
      <c r="B423" s="22" t="str">
        <f>"01811"</f>
        <v>01811</v>
      </c>
      <c r="C423" s="22" t="str">
        <f t="shared" si="6"/>
        <v>'1811.HK'</v>
      </c>
      <c r="D423" s="22" t="s">
        <v>1780</v>
      </c>
      <c r="E423" s="22" t="s">
        <v>1127</v>
      </c>
      <c r="F423" s="22">
        <v>11885582480</v>
      </c>
      <c r="G423" s="22">
        <v>99</v>
      </c>
      <c r="H423" s="22" t="s">
        <v>1781</v>
      </c>
    </row>
    <row r="424" spans="1:8" x14ac:dyDescent="0.35">
      <c r="A424" s="22" t="s">
        <v>851</v>
      </c>
      <c r="B424" s="22" t="str">
        <f>"01578"</f>
        <v>01578</v>
      </c>
      <c r="C424" s="22" t="str">
        <f t="shared" si="6"/>
        <v>'1578.HK'</v>
      </c>
      <c r="D424" s="22" t="s">
        <v>1782</v>
      </c>
      <c r="E424" s="22" t="s">
        <v>858</v>
      </c>
      <c r="F424" s="22">
        <v>11837576052.9</v>
      </c>
      <c r="G424" s="22">
        <v>52</v>
      </c>
      <c r="H424" s="22" t="s">
        <v>1783</v>
      </c>
    </row>
    <row r="425" spans="1:8" x14ac:dyDescent="0.35">
      <c r="A425" s="22" t="s">
        <v>851</v>
      </c>
      <c r="B425" s="22" t="str">
        <f>"02273"</f>
        <v>02273</v>
      </c>
      <c r="C425" s="22" t="str">
        <f t="shared" si="6"/>
        <v>'2273.HK'</v>
      </c>
      <c r="D425" s="22" t="s">
        <v>1784</v>
      </c>
      <c r="E425" s="22" t="s">
        <v>1362</v>
      </c>
      <c r="F425" s="22">
        <v>11819338295.4</v>
      </c>
      <c r="G425" s="22">
        <v>4</v>
      </c>
      <c r="H425" s="22" t="s">
        <v>1785</v>
      </c>
    </row>
    <row r="426" spans="1:8" x14ac:dyDescent="0.35">
      <c r="A426" s="22" t="s">
        <v>851</v>
      </c>
      <c r="B426" s="22" t="str">
        <f>"00710"</f>
        <v>00710</v>
      </c>
      <c r="C426" s="22" t="str">
        <f t="shared" si="6"/>
        <v>'0710.HK'</v>
      </c>
      <c r="D426" s="22" t="s">
        <v>1786</v>
      </c>
      <c r="E426" s="22" t="s">
        <v>1122</v>
      </c>
      <c r="F426" s="22">
        <v>11649558202.879999</v>
      </c>
      <c r="G426" s="22">
        <v>21</v>
      </c>
      <c r="H426" s="22" t="s">
        <v>1787</v>
      </c>
    </row>
    <row r="427" spans="1:8" x14ac:dyDescent="0.35">
      <c r="A427" s="22" t="s">
        <v>851</v>
      </c>
      <c r="B427" s="22" t="str">
        <f>"01456"</f>
        <v>01456</v>
      </c>
      <c r="C427" s="22" t="str">
        <f t="shared" si="6"/>
        <v>'1456.HK'</v>
      </c>
      <c r="D427" s="22" t="s">
        <v>1788</v>
      </c>
      <c r="E427" s="22" t="s">
        <v>1130</v>
      </c>
      <c r="F427" s="22">
        <v>11610269988.799999</v>
      </c>
      <c r="G427" s="22">
        <v>40</v>
      </c>
      <c r="H427" s="22" t="s">
        <v>1789</v>
      </c>
    </row>
    <row r="428" spans="1:8" x14ac:dyDescent="0.35">
      <c r="A428" s="22" t="s">
        <v>851</v>
      </c>
      <c r="B428" s="22" t="str">
        <f>"00357"</f>
        <v>00357</v>
      </c>
      <c r="C428" s="22" t="str">
        <f t="shared" si="6"/>
        <v>'0357.HK'</v>
      </c>
      <c r="D428" s="22" t="s">
        <v>1790</v>
      </c>
      <c r="E428" s="22" t="s">
        <v>1081</v>
      </c>
      <c r="F428" s="22">
        <v>11570057850</v>
      </c>
      <c r="G428" s="22">
        <v>50</v>
      </c>
      <c r="H428" s="22" t="s">
        <v>1791</v>
      </c>
    </row>
    <row r="429" spans="1:8" x14ac:dyDescent="0.35">
      <c r="A429" s="22" t="s">
        <v>851</v>
      </c>
      <c r="B429" s="22" t="str">
        <f>"03669"</f>
        <v>03669</v>
      </c>
      <c r="C429" s="22" t="str">
        <f t="shared" si="6"/>
        <v>'3669.HK'</v>
      </c>
      <c r="D429" s="22" t="s">
        <v>1792</v>
      </c>
      <c r="E429" s="22" t="s">
        <v>1089</v>
      </c>
      <c r="F429" s="22">
        <v>11286880644.620001</v>
      </c>
      <c r="G429" s="22">
        <v>80</v>
      </c>
      <c r="H429" s="22" t="s">
        <v>1793</v>
      </c>
    </row>
    <row r="430" spans="1:8" x14ac:dyDescent="0.35">
      <c r="A430" s="22" t="s">
        <v>851</v>
      </c>
      <c r="B430" s="22" t="str">
        <f>"06122"</f>
        <v>06122</v>
      </c>
      <c r="C430" s="22" t="str">
        <f t="shared" si="6"/>
        <v>'6122.HK'</v>
      </c>
      <c r="D430" s="22" t="s">
        <v>1794</v>
      </c>
      <c r="E430" s="22" t="s">
        <v>858</v>
      </c>
      <c r="F430" s="22">
        <v>11112479536.110001</v>
      </c>
      <c r="G430" s="22">
        <v>13</v>
      </c>
      <c r="H430" s="22" t="s">
        <v>1795</v>
      </c>
    </row>
    <row r="431" spans="1:8" x14ac:dyDescent="0.35">
      <c r="A431" s="22" t="s">
        <v>851</v>
      </c>
      <c r="B431" s="22" t="str">
        <f>"02009"</f>
        <v>02009</v>
      </c>
      <c r="C431" s="22" t="str">
        <f t="shared" si="6"/>
        <v>'2009.HK'</v>
      </c>
      <c r="D431" s="22" t="s">
        <v>1796</v>
      </c>
      <c r="E431" s="22" t="s">
        <v>1016</v>
      </c>
      <c r="F431" s="22">
        <v>11104881979.360001</v>
      </c>
      <c r="G431" s="22">
        <v>141</v>
      </c>
      <c r="H431" s="22" t="s">
        <v>1797</v>
      </c>
    </row>
    <row r="432" spans="1:8" x14ac:dyDescent="0.35">
      <c r="A432" s="22" t="s">
        <v>851</v>
      </c>
      <c r="B432" s="22" t="str">
        <f>"01528"</f>
        <v>01528</v>
      </c>
      <c r="C432" s="22" t="str">
        <f t="shared" si="6"/>
        <v>'1528.HK'</v>
      </c>
      <c r="D432" s="22" t="s">
        <v>1798</v>
      </c>
      <c r="E432" s="22" t="s">
        <v>1028</v>
      </c>
      <c r="F432" s="22">
        <v>11104568316.15</v>
      </c>
      <c r="G432" s="22">
        <v>170</v>
      </c>
      <c r="H432" s="22" t="s">
        <v>1799</v>
      </c>
    </row>
    <row r="433" spans="1:8" x14ac:dyDescent="0.35">
      <c r="A433" s="22" t="s">
        <v>851</v>
      </c>
      <c r="B433" s="22" t="str">
        <f>"08032"</f>
        <v>08032</v>
      </c>
      <c r="C433" s="22" t="str">
        <f t="shared" si="6"/>
        <v>'8032.HK'</v>
      </c>
      <c r="D433" s="22" t="s">
        <v>1800</v>
      </c>
      <c r="E433" s="22" t="s">
        <v>1744</v>
      </c>
      <c r="F433" s="22">
        <v>11035388928.780001</v>
      </c>
      <c r="G433" s="22">
        <v>3</v>
      </c>
      <c r="H433" s="22" t="s">
        <v>1801</v>
      </c>
    </row>
    <row r="434" spans="1:8" x14ac:dyDescent="0.35">
      <c r="A434" s="22" t="s">
        <v>851</v>
      </c>
      <c r="B434" s="22" t="str">
        <f>"00855"</f>
        <v>00855</v>
      </c>
      <c r="C434" s="22" t="str">
        <f t="shared" si="6"/>
        <v>'0855.HK'</v>
      </c>
      <c r="D434" s="22" t="s">
        <v>1802</v>
      </c>
      <c r="E434" s="22" t="s">
        <v>1255</v>
      </c>
      <c r="F434" s="22">
        <v>10969206165.120001</v>
      </c>
      <c r="G434" s="22">
        <v>74</v>
      </c>
      <c r="H434" s="22" t="s">
        <v>1803</v>
      </c>
    </row>
    <row r="435" spans="1:8" x14ac:dyDescent="0.35">
      <c r="A435" s="22" t="s">
        <v>851</v>
      </c>
      <c r="B435" s="22" t="str">
        <f>"00884"</f>
        <v>00884</v>
      </c>
      <c r="C435" s="22" t="str">
        <f t="shared" si="6"/>
        <v>'0884.HK'</v>
      </c>
      <c r="D435" s="22" t="s">
        <v>1804</v>
      </c>
      <c r="E435" s="22" t="s">
        <v>924</v>
      </c>
      <c r="F435" s="22">
        <v>10907642040.42</v>
      </c>
      <c r="G435" s="22">
        <v>222</v>
      </c>
      <c r="H435" s="22" t="s">
        <v>1805</v>
      </c>
    </row>
    <row r="436" spans="1:8" x14ac:dyDescent="0.35">
      <c r="A436" s="22" t="s">
        <v>851</v>
      </c>
      <c r="B436" s="22" t="str">
        <f>"01789"</f>
        <v>01789</v>
      </c>
      <c r="C436" s="22" t="str">
        <f t="shared" si="6"/>
        <v>'1789.HK'</v>
      </c>
      <c r="D436" s="22" t="s">
        <v>1806</v>
      </c>
      <c r="E436" s="22" t="s">
        <v>1232</v>
      </c>
      <c r="F436" s="22">
        <v>10867405000</v>
      </c>
      <c r="G436" s="22">
        <v>195</v>
      </c>
      <c r="H436" s="22" t="s">
        <v>1807</v>
      </c>
    </row>
    <row r="437" spans="1:8" x14ac:dyDescent="0.35">
      <c r="A437" s="22" t="s">
        <v>851</v>
      </c>
      <c r="B437" s="22" t="str">
        <f>"09997"</f>
        <v>09997</v>
      </c>
      <c r="C437" s="22" t="str">
        <f t="shared" si="6"/>
        <v>'9997.HK'</v>
      </c>
      <c r="D437" s="22" t="s">
        <v>1808</v>
      </c>
      <c r="E437" s="22" t="s">
        <v>1232</v>
      </c>
      <c r="F437" s="22">
        <v>10854734240</v>
      </c>
      <c r="G437" s="22">
        <v>57</v>
      </c>
      <c r="H437" s="22" t="s">
        <v>1809</v>
      </c>
    </row>
    <row r="438" spans="1:8" x14ac:dyDescent="0.35">
      <c r="A438" s="22" t="s">
        <v>851</v>
      </c>
      <c r="B438" s="22" t="str">
        <f>"02400"</f>
        <v>02400</v>
      </c>
      <c r="C438" s="22" t="str">
        <f t="shared" si="6"/>
        <v>'2400.HK'</v>
      </c>
      <c r="D438" s="22" t="s">
        <v>1810</v>
      </c>
      <c r="E438" s="22" t="s">
        <v>910</v>
      </c>
      <c r="F438" s="22">
        <v>10833712285</v>
      </c>
      <c r="G438" s="22">
        <v>163</v>
      </c>
      <c r="H438" s="22" t="s">
        <v>1811</v>
      </c>
    </row>
    <row r="439" spans="1:8" x14ac:dyDescent="0.35">
      <c r="A439" s="22" t="s">
        <v>851</v>
      </c>
      <c r="B439" s="22" t="str">
        <f>"00363"</f>
        <v>00363</v>
      </c>
      <c r="C439" s="22" t="str">
        <f t="shared" si="6"/>
        <v>'0363.HK'</v>
      </c>
      <c r="D439" s="22" t="s">
        <v>1812</v>
      </c>
      <c r="E439" s="22" t="s">
        <v>958</v>
      </c>
      <c r="F439" s="22">
        <v>10806883304</v>
      </c>
      <c r="G439" s="22">
        <v>210</v>
      </c>
      <c r="H439" s="22" t="s">
        <v>1813</v>
      </c>
    </row>
    <row r="440" spans="1:8" x14ac:dyDescent="0.35">
      <c r="A440" s="22" t="s">
        <v>851</v>
      </c>
      <c r="B440" s="22" t="str">
        <f>"00317"</f>
        <v>00317</v>
      </c>
      <c r="C440" s="22" t="str">
        <f t="shared" si="6"/>
        <v>'0317.HK'</v>
      </c>
      <c r="D440" s="22" t="s">
        <v>1814</v>
      </c>
      <c r="E440" s="22" t="s">
        <v>1109</v>
      </c>
      <c r="F440" s="22">
        <v>10714378345.24</v>
      </c>
      <c r="G440" s="22">
        <v>54</v>
      </c>
      <c r="H440" s="22" t="s">
        <v>1815</v>
      </c>
    </row>
    <row r="441" spans="1:8" x14ac:dyDescent="0.35">
      <c r="A441" s="22" t="s">
        <v>851</v>
      </c>
      <c r="B441" s="22" t="str">
        <f>"00995"</f>
        <v>00995</v>
      </c>
      <c r="C441" s="22" t="str">
        <f t="shared" si="6"/>
        <v>'0995.HK'</v>
      </c>
      <c r="D441" s="22" t="s">
        <v>1816</v>
      </c>
      <c r="E441" s="22" t="s">
        <v>1367</v>
      </c>
      <c r="F441" s="22">
        <v>10681448400</v>
      </c>
      <c r="G441" s="22">
        <v>232</v>
      </c>
      <c r="H441" s="22" t="s">
        <v>1817</v>
      </c>
    </row>
    <row r="442" spans="1:8" x14ac:dyDescent="0.35">
      <c r="A442" s="22" t="s">
        <v>851</v>
      </c>
      <c r="B442" s="22" t="str">
        <f>"00990"</f>
        <v>00990</v>
      </c>
      <c r="C442" s="22" t="str">
        <f t="shared" si="6"/>
        <v>'0990.HK'</v>
      </c>
      <c r="D442" s="22" t="s">
        <v>1818</v>
      </c>
      <c r="E442" s="22" t="s">
        <v>1600</v>
      </c>
      <c r="F442" s="22">
        <v>10642362258.49</v>
      </c>
      <c r="G442" s="22">
        <v>8</v>
      </c>
      <c r="H442" s="22" t="s">
        <v>1819</v>
      </c>
    </row>
    <row r="443" spans="1:8" x14ac:dyDescent="0.35">
      <c r="A443" s="22" t="s">
        <v>851</v>
      </c>
      <c r="B443" s="22" t="str">
        <f>"00535"</f>
        <v>00535</v>
      </c>
      <c r="C443" s="22" t="str">
        <f t="shared" si="6"/>
        <v>'0535.HK'</v>
      </c>
      <c r="D443" s="22" t="s">
        <v>1820</v>
      </c>
      <c r="E443" s="22" t="s">
        <v>924</v>
      </c>
      <c r="F443" s="22">
        <v>10630199569.280001</v>
      </c>
      <c r="G443" s="22">
        <v>94</v>
      </c>
      <c r="H443" s="22" t="s">
        <v>1821</v>
      </c>
    </row>
    <row r="444" spans="1:8" x14ac:dyDescent="0.35">
      <c r="A444" s="22" t="s">
        <v>851</v>
      </c>
      <c r="B444" s="22" t="str">
        <f>"01112"</f>
        <v>01112</v>
      </c>
      <c r="C444" s="22" t="str">
        <f t="shared" si="6"/>
        <v>'1112.HK'</v>
      </c>
      <c r="D444" s="22" t="s">
        <v>1822</v>
      </c>
      <c r="E444" s="22" t="s">
        <v>1283</v>
      </c>
      <c r="F444" s="22">
        <v>10594365358.9</v>
      </c>
      <c r="G444" s="22">
        <v>118</v>
      </c>
      <c r="H444" s="22" t="s">
        <v>1823</v>
      </c>
    </row>
    <row r="445" spans="1:8" x14ac:dyDescent="0.35">
      <c r="A445" s="22" t="s">
        <v>851</v>
      </c>
      <c r="B445" s="22" t="str">
        <f>"01896"</f>
        <v>01896</v>
      </c>
      <c r="C445" s="22" t="str">
        <f t="shared" si="6"/>
        <v>'1896.HK'</v>
      </c>
      <c r="D445" s="22" t="s">
        <v>1824</v>
      </c>
      <c r="E445" s="22" t="s">
        <v>1185</v>
      </c>
      <c r="F445" s="22">
        <v>10581669035</v>
      </c>
      <c r="G445" s="22">
        <v>70</v>
      </c>
      <c r="H445" s="22" t="s">
        <v>1825</v>
      </c>
    </row>
    <row r="446" spans="1:8" x14ac:dyDescent="0.35">
      <c r="A446" s="22" t="s">
        <v>851</v>
      </c>
      <c r="B446" s="22" t="str">
        <f>"06869"</f>
        <v>06869</v>
      </c>
      <c r="C446" s="22" t="str">
        <f t="shared" si="6"/>
        <v>'6869.HK'</v>
      </c>
      <c r="D446" s="22" t="s">
        <v>1826</v>
      </c>
      <c r="E446" s="22" t="s">
        <v>938</v>
      </c>
      <c r="F446" s="22">
        <v>10565197205.52</v>
      </c>
      <c r="G446" s="22">
        <v>102</v>
      </c>
      <c r="H446" s="22" t="s">
        <v>1827</v>
      </c>
    </row>
    <row r="447" spans="1:8" x14ac:dyDescent="0.35">
      <c r="A447" s="22" t="s">
        <v>851</v>
      </c>
      <c r="B447" s="22" t="str">
        <f>"09966"</f>
        <v>09966</v>
      </c>
      <c r="C447" s="22" t="str">
        <f t="shared" si="6"/>
        <v>'9966.HK'</v>
      </c>
      <c r="D447" s="22" t="s">
        <v>1828</v>
      </c>
      <c r="E447" s="22" t="s">
        <v>941</v>
      </c>
      <c r="F447" s="22">
        <v>10506029206.66</v>
      </c>
      <c r="G447" s="22">
        <v>33</v>
      </c>
      <c r="H447" s="22" t="s">
        <v>1829</v>
      </c>
    </row>
    <row r="448" spans="1:8" x14ac:dyDescent="0.35">
      <c r="A448" s="22" t="s">
        <v>851</v>
      </c>
      <c r="B448" s="22" t="str">
        <f>"01244"</f>
        <v>01244</v>
      </c>
      <c r="C448" s="22" t="str">
        <f t="shared" si="6"/>
        <v>'1244.HK'</v>
      </c>
      <c r="D448" s="22" t="s">
        <v>1830</v>
      </c>
      <c r="E448" s="22" t="s">
        <v>941</v>
      </c>
      <c r="F448" s="22">
        <v>10263946000</v>
      </c>
      <c r="H448" s="22" t="s">
        <v>1831</v>
      </c>
    </row>
    <row r="449" spans="1:8" x14ac:dyDescent="0.35">
      <c r="A449" s="22" t="s">
        <v>851</v>
      </c>
      <c r="B449" s="22" t="str">
        <f>"01381"</f>
        <v>01381</v>
      </c>
      <c r="C449" s="22" t="str">
        <f t="shared" si="6"/>
        <v>'1381.HK'</v>
      </c>
      <c r="D449" s="22" t="s">
        <v>1832</v>
      </c>
      <c r="E449" s="22" t="s">
        <v>1127</v>
      </c>
      <c r="F449" s="22">
        <v>10197282086.42</v>
      </c>
      <c r="G449" s="22">
        <v>48</v>
      </c>
      <c r="H449" s="22" t="s">
        <v>1833</v>
      </c>
    </row>
    <row r="450" spans="1:8" x14ac:dyDescent="0.35">
      <c r="A450" s="22" t="s">
        <v>851</v>
      </c>
      <c r="B450" s="22" t="str">
        <f>"02315"</f>
        <v>02315</v>
      </c>
      <c r="C450" s="22" t="str">
        <f t="shared" si="6"/>
        <v>'2315.HK'</v>
      </c>
      <c r="D450" s="22" t="s">
        <v>1834</v>
      </c>
      <c r="E450" s="22" t="s">
        <v>941</v>
      </c>
      <c r="F450" s="22">
        <v>10164689789</v>
      </c>
      <c r="G450" s="22">
        <v>1</v>
      </c>
      <c r="H450" s="22" t="s">
        <v>1835</v>
      </c>
    </row>
    <row r="451" spans="1:8" x14ac:dyDescent="0.35">
      <c r="A451" s="22" t="s">
        <v>851</v>
      </c>
      <c r="B451" s="22" t="str">
        <f>"00525"</f>
        <v>00525</v>
      </c>
      <c r="C451" s="22" t="str">
        <f t="shared" ref="C451:C514" si="7">CONCATENATE("'",RIGHT(B451,4),".HK'")</f>
        <v>'0525.HK'</v>
      </c>
      <c r="D451" s="22" t="s">
        <v>1836</v>
      </c>
      <c r="E451" s="22" t="s">
        <v>948</v>
      </c>
      <c r="F451" s="22">
        <v>10129457910</v>
      </c>
      <c r="G451" s="22">
        <v>62</v>
      </c>
      <c r="H451" s="22" t="s">
        <v>1837</v>
      </c>
    </row>
    <row r="452" spans="1:8" x14ac:dyDescent="0.35">
      <c r="A452" s="22" t="s">
        <v>851</v>
      </c>
      <c r="B452" s="22" t="str">
        <f>"06955"</f>
        <v>06955</v>
      </c>
      <c r="C452" s="22" t="str">
        <f t="shared" si="7"/>
        <v>'6955.HK'</v>
      </c>
      <c r="D452" s="22" t="s">
        <v>1838</v>
      </c>
      <c r="F452" s="22">
        <v>10083744000</v>
      </c>
      <c r="H452" s="22" t="s">
        <v>1839</v>
      </c>
    </row>
    <row r="453" spans="1:8" x14ac:dyDescent="0.35">
      <c r="A453" s="22" t="s">
        <v>851</v>
      </c>
      <c r="B453" s="22" t="str">
        <f>"01033"</f>
        <v>01033</v>
      </c>
      <c r="C453" s="22" t="str">
        <f t="shared" si="7"/>
        <v>'1033.HK'</v>
      </c>
      <c r="D453" s="22" t="s">
        <v>1840</v>
      </c>
      <c r="E453" s="22" t="s">
        <v>1294</v>
      </c>
      <c r="F453" s="22">
        <v>10061700217.49</v>
      </c>
      <c r="G453" s="22">
        <v>50</v>
      </c>
      <c r="H453" s="22" t="s">
        <v>1841</v>
      </c>
    </row>
    <row r="454" spans="1:8" x14ac:dyDescent="0.35">
      <c r="A454" s="22" t="s">
        <v>851</v>
      </c>
      <c r="B454" s="22" t="str">
        <f>"01883"</f>
        <v>01883</v>
      </c>
      <c r="C454" s="22" t="str">
        <f t="shared" si="7"/>
        <v>'1883.HK'</v>
      </c>
      <c r="D454" s="22" t="s">
        <v>1842</v>
      </c>
      <c r="E454" s="22" t="s">
        <v>865</v>
      </c>
      <c r="F454" s="22">
        <v>10032047839.040001</v>
      </c>
      <c r="G454" s="22">
        <v>62</v>
      </c>
      <c r="H454" s="22" t="s">
        <v>1843</v>
      </c>
    </row>
    <row r="455" spans="1:8" x14ac:dyDescent="0.35">
      <c r="A455" s="22" t="s">
        <v>851</v>
      </c>
      <c r="B455" s="22" t="str">
        <f>"01686"</f>
        <v>01686</v>
      </c>
      <c r="C455" s="22" t="str">
        <f t="shared" si="7"/>
        <v>'1686.HK'</v>
      </c>
      <c r="D455" s="22" t="s">
        <v>1844</v>
      </c>
      <c r="E455" s="22" t="s">
        <v>1202</v>
      </c>
      <c r="F455" s="22">
        <v>9964384238.5799999</v>
      </c>
      <c r="G455" s="22">
        <v>33</v>
      </c>
      <c r="H455" s="22" t="s">
        <v>1845</v>
      </c>
    </row>
    <row r="456" spans="1:8" x14ac:dyDescent="0.35">
      <c r="A456" s="22" t="s">
        <v>851</v>
      </c>
      <c r="B456" s="22" t="str">
        <f>"02325"</f>
        <v>02325</v>
      </c>
      <c r="C456" s="22" t="str">
        <f t="shared" si="7"/>
        <v>'2325.HK'</v>
      </c>
      <c r="D456" s="22" t="s">
        <v>1846</v>
      </c>
      <c r="E456" s="22" t="s">
        <v>941</v>
      </c>
      <c r="F456" s="22">
        <v>9952433010</v>
      </c>
      <c r="G456" s="22">
        <v>1</v>
      </c>
      <c r="H456" s="22" t="s">
        <v>1847</v>
      </c>
    </row>
    <row r="457" spans="1:8" x14ac:dyDescent="0.35">
      <c r="A457" s="22" t="s">
        <v>851</v>
      </c>
      <c r="B457" s="22" t="str">
        <f>"00165"</f>
        <v>00165</v>
      </c>
      <c r="C457" s="22" t="str">
        <f t="shared" si="7"/>
        <v>'0165.HK'</v>
      </c>
      <c r="D457" s="22" t="s">
        <v>1848</v>
      </c>
      <c r="E457" s="22" t="s">
        <v>964</v>
      </c>
      <c r="F457" s="22">
        <v>9858734215.2000008</v>
      </c>
      <c r="G457" s="22">
        <v>183</v>
      </c>
      <c r="H457" s="22" t="s">
        <v>1849</v>
      </c>
    </row>
    <row r="458" spans="1:8" x14ac:dyDescent="0.35">
      <c r="A458" s="22" t="s">
        <v>851</v>
      </c>
      <c r="B458" s="22" t="str">
        <f>"02291"</f>
        <v>02291</v>
      </c>
      <c r="C458" s="22" t="str">
        <f t="shared" si="7"/>
        <v>'2291.HK'</v>
      </c>
      <c r="D458" s="22" t="s">
        <v>1850</v>
      </c>
      <c r="E458" s="22" t="s">
        <v>1232</v>
      </c>
      <c r="F458" s="22">
        <v>9847699914.7999992</v>
      </c>
      <c r="G458" s="22">
        <v>1</v>
      </c>
      <c r="H458" s="22" t="s">
        <v>1851</v>
      </c>
    </row>
    <row r="459" spans="1:8" x14ac:dyDescent="0.35">
      <c r="A459" s="22" t="s">
        <v>851</v>
      </c>
      <c r="B459" s="22" t="str">
        <f>"03383"</f>
        <v>03383</v>
      </c>
      <c r="C459" s="22" t="str">
        <f t="shared" si="7"/>
        <v>'3383.HK'</v>
      </c>
      <c r="D459" s="22" t="s">
        <v>1852</v>
      </c>
      <c r="E459" s="22" t="s">
        <v>924</v>
      </c>
      <c r="F459" s="22">
        <v>9814070675</v>
      </c>
      <c r="G459" s="22">
        <v>225</v>
      </c>
      <c r="H459" s="22" t="s">
        <v>1853</v>
      </c>
    </row>
    <row r="460" spans="1:8" x14ac:dyDescent="0.35">
      <c r="A460" s="22" t="s">
        <v>851</v>
      </c>
      <c r="B460" s="22" t="str">
        <f>"00142"</f>
        <v>00142</v>
      </c>
      <c r="C460" s="22" t="str">
        <f t="shared" si="7"/>
        <v>'0142.HK'</v>
      </c>
      <c r="D460" s="22" t="s">
        <v>1854</v>
      </c>
      <c r="E460" s="22" t="s">
        <v>1205</v>
      </c>
      <c r="F460" s="22">
        <v>9798235916.7000008</v>
      </c>
      <c r="G460" s="22">
        <v>48</v>
      </c>
      <c r="H460" s="22" t="s">
        <v>1855</v>
      </c>
    </row>
    <row r="461" spans="1:8" x14ac:dyDescent="0.35">
      <c r="A461" s="22" t="s">
        <v>851</v>
      </c>
      <c r="B461" s="22" t="str">
        <f>"00308"</f>
        <v>00308</v>
      </c>
      <c r="C461" s="22" t="str">
        <f t="shared" si="7"/>
        <v>'0308.HK'</v>
      </c>
      <c r="D461" s="22" t="s">
        <v>1856</v>
      </c>
      <c r="E461" s="22" t="s">
        <v>897</v>
      </c>
      <c r="F461" s="22">
        <v>9744475327.8400002</v>
      </c>
      <c r="G461" s="22">
        <v>51</v>
      </c>
      <c r="H461" s="22" t="s">
        <v>1857</v>
      </c>
    </row>
    <row r="462" spans="1:8" x14ac:dyDescent="0.35">
      <c r="A462" s="22" t="s">
        <v>851</v>
      </c>
      <c r="B462" s="22" t="str">
        <f>"00520"</f>
        <v>00520</v>
      </c>
      <c r="C462" s="22" t="str">
        <f t="shared" si="7"/>
        <v>'0520.HK'</v>
      </c>
      <c r="D462" s="22" t="s">
        <v>1858</v>
      </c>
      <c r="E462" s="22" t="s">
        <v>981</v>
      </c>
      <c r="F462" s="22">
        <v>9699452387.3299999</v>
      </c>
      <c r="G462" s="22">
        <v>235</v>
      </c>
      <c r="H462" s="22" t="s">
        <v>1859</v>
      </c>
    </row>
    <row r="463" spans="1:8" x14ac:dyDescent="0.35">
      <c r="A463" s="22" t="s">
        <v>851</v>
      </c>
      <c r="B463" s="22" t="str">
        <f>"02138"</f>
        <v>02138</v>
      </c>
      <c r="C463" s="22" t="str">
        <f t="shared" si="7"/>
        <v>'2138.HK'</v>
      </c>
      <c r="D463" s="22" t="s">
        <v>1860</v>
      </c>
      <c r="E463" s="22" t="s">
        <v>1362</v>
      </c>
      <c r="F463" s="22">
        <v>9698002476.6900005</v>
      </c>
      <c r="G463" s="22">
        <v>42</v>
      </c>
      <c r="H463" s="22" t="s">
        <v>1861</v>
      </c>
    </row>
    <row r="464" spans="1:8" x14ac:dyDescent="0.35">
      <c r="A464" s="22" t="s">
        <v>851</v>
      </c>
      <c r="B464" s="22" t="str">
        <f>"03613"</f>
        <v>03613</v>
      </c>
      <c r="C464" s="22" t="str">
        <f t="shared" si="7"/>
        <v>'3613.HK'</v>
      </c>
      <c r="D464" s="22" t="s">
        <v>1862</v>
      </c>
      <c r="E464" s="22" t="s">
        <v>1349</v>
      </c>
      <c r="F464" s="22">
        <v>9693618000</v>
      </c>
      <c r="G464" s="22">
        <v>139</v>
      </c>
      <c r="H464" s="22" t="s">
        <v>1863</v>
      </c>
    </row>
    <row r="465" spans="1:8" x14ac:dyDescent="0.35">
      <c r="A465" s="22" t="s">
        <v>851</v>
      </c>
      <c r="B465" s="22" t="str">
        <f>"01839"</f>
        <v>01839</v>
      </c>
      <c r="C465" s="22" t="str">
        <f t="shared" si="7"/>
        <v>'1839.HK'</v>
      </c>
      <c r="D465" s="22" t="s">
        <v>1864</v>
      </c>
      <c r="E465" s="22" t="s">
        <v>1109</v>
      </c>
      <c r="F465" s="22">
        <v>9664304000</v>
      </c>
      <c r="G465" s="22">
        <v>16</v>
      </c>
      <c r="H465" s="22" t="s">
        <v>1865</v>
      </c>
    </row>
    <row r="466" spans="1:8" x14ac:dyDescent="0.35">
      <c r="A466" s="22" t="s">
        <v>851</v>
      </c>
      <c r="B466" s="22" t="str">
        <f>"00819"</f>
        <v>00819</v>
      </c>
      <c r="C466" s="22" t="str">
        <f t="shared" si="7"/>
        <v>'0819.HK'</v>
      </c>
      <c r="D466" s="22" t="s">
        <v>1866</v>
      </c>
      <c r="E466" s="22" t="s">
        <v>1145</v>
      </c>
      <c r="F466" s="22">
        <v>9650886965</v>
      </c>
      <c r="G466" s="22">
        <v>246</v>
      </c>
      <c r="H466" s="22" t="s">
        <v>1867</v>
      </c>
    </row>
    <row r="467" spans="1:8" x14ac:dyDescent="0.35">
      <c r="A467" s="22" t="s">
        <v>851</v>
      </c>
      <c r="B467" s="22" t="str">
        <f>"02155"</f>
        <v>02155</v>
      </c>
      <c r="C467" s="22" t="str">
        <f t="shared" si="7"/>
        <v>'2155.HK'</v>
      </c>
      <c r="D467" s="22" t="s">
        <v>1868</v>
      </c>
      <c r="E467" s="22" t="s">
        <v>1395</v>
      </c>
      <c r="F467" s="22">
        <v>9621211264</v>
      </c>
      <c r="G467" s="22">
        <v>7</v>
      </c>
      <c r="H467" s="22" t="s">
        <v>1869</v>
      </c>
    </row>
    <row r="468" spans="1:8" x14ac:dyDescent="0.35">
      <c r="A468" s="22" t="s">
        <v>851</v>
      </c>
      <c r="B468" s="22" t="str">
        <f>"09923"</f>
        <v>09923</v>
      </c>
      <c r="C468" s="22" t="str">
        <f t="shared" si="7"/>
        <v>'9923.HK'</v>
      </c>
      <c r="D468" s="22" t="s">
        <v>1870</v>
      </c>
      <c r="E468" s="22" t="s">
        <v>853</v>
      </c>
      <c r="F468" s="22">
        <v>9600688303</v>
      </c>
      <c r="G468" s="22">
        <v>31</v>
      </c>
      <c r="H468" s="22" t="s">
        <v>1871</v>
      </c>
    </row>
    <row r="469" spans="1:8" x14ac:dyDescent="0.35">
      <c r="A469" s="22" t="s">
        <v>851</v>
      </c>
      <c r="B469" s="22" t="str">
        <f>"06196"</f>
        <v>06196</v>
      </c>
      <c r="C469" s="22" t="str">
        <f t="shared" si="7"/>
        <v>'6196.HK'</v>
      </c>
      <c r="D469" s="22" t="s">
        <v>1872</v>
      </c>
      <c r="E469" s="22" t="s">
        <v>858</v>
      </c>
      <c r="F469" s="22">
        <v>9422712862.8600006</v>
      </c>
      <c r="G469" s="22">
        <v>55</v>
      </c>
      <c r="H469" s="22" t="s">
        <v>1873</v>
      </c>
    </row>
    <row r="470" spans="1:8" x14ac:dyDescent="0.35">
      <c r="A470" s="22" t="s">
        <v>851</v>
      </c>
      <c r="B470" s="22" t="str">
        <f>"02099"</f>
        <v>02099</v>
      </c>
      <c r="C470" s="22" t="str">
        <f t="shared" si="7"/>
        <v>'2099.HK'</v>
      </c>
      <c r="D470" s="22" t="s">
        <v>1874</v>
      </c>
      <c r="E470" s="22" t="s">
        <v>929</v>
      </c>
      <c r="F470" s="22">
        <v>9375185258.4500008</v>
      </c>
      <c r="G470" s="22">
        <v>94</v>
      </c>
      <c r="H470" s="22" t="s">
        <v>1875</v>
      </c>
    </row>
    <row r="471" spans="1:8" x14ac:dyDescent="0.35">
      <c r="A471" s="22" t="s">
        <v>851</v>
      </c>
      <c r="B471" s="22" t="str">
        <f>"03933"</f>
        <v>03933</v>
      </c>
      <c r="C471" s="22" t="str">
        <f t="shared" si="7"/>
        <v>'3933.HK'</v>
      </c>
      <c r="D471" s="22" t="s">
        <v>1876</v>
      </c>
      <c r="E471" s="22" t="s">
        <v>969</v>
      </c>
      <c r="F471" s="22">
        <v>9342332971.1200008</v>
      </c>
      <c r="G471" s="22">
        <v>126</v>
      </c>
      <c r="H471" s="22" t="s">
        <v>1877</v>
      </c>
    </row>
    <row r="472" spans="1:8" x14ac:dyDescent="0.35">
      <c r="A472" s="22" t="s">
        <v>851</v>
      </c>
      <c r="B472" s="22" t="str">
        <f>"09666"</f>
        <v>09666</v>
      </c>
      <c r="C472" s="22" t="str">
        <f t="shared" si="7"/>
        <v>'9666.HK'</v>
      </c>
      <c r="D472" s="22" t="s">
        <v>1878</v>
      </c>
      <c r="E472" s="22" t="s">
        <v>1104</v>
      </c>
      <c r="F472" s="22">
        <v>9335727830</v>
      </c>
      <c r="G472" s="22">
        <v>43</v>
      </c>
      <c r="H472" s="22" t="s">
        <v>1879</v>
      </c>
    </row>
    <row r="473" spans="1:8" x14ac:dyDescent="0.35">
      <c r="A473" s="22" t="s">
        <v>851</v>
      </c>
      <c r="B473" s="22" t="str">
        <f>"09959"</f>
        <v>09959</v>
      </c>
      <c r="C473" s="22" t="str">
        <f t="shared" si="7"/>
        <v>'9959.HK'</v>
      </c>
      <c r="D473" s="22" t="s">
        <v>1880</v>
      </c>
      <c r="E473" s="22" t="s">
        <v>1202</v>
      </c>
      <c r="F473" s="22">
        <v>9332943058.8799992</v>
      </c>
      <c r="G473" s="22">
        <v>15</v>
      </c>
      <c r="H473" s="22" t="s">
        <v>1881</v>
      </c>
    </row>
    <row r="474" spans="1:8" x14ac:dyDescent="0.35">
      <c r="A474" s="22" t="s">
        <v>851</v>
      </c>
      <c r="B474" s="22" t="str">
        <f>"00405"</f>
        <v>00405</v>
      </c>
      <c r="C474" s="22" t="str">
        <f t="shared" si="7"/>
        <v>'0405.HK'</v>
      </c>
      <c r="D474" s="22" t="s">
        <v>1882</v>
      </c>
      <c r="F474" s="22">
        <v>9323385043.5</v>
      </c>
      <c r="G474" s="22">
        <v>115</v>
      </c>
      <c r="H474" s="22" t="s">
        <v>1883</v>
      </c>
    </row>
    <row r="475" spans="1:8" x14ac:dyDescent="0.35">
      <c r="A475" s="22" t="s">
        <v>851</v>
      </c>
      <c r="B475" s="22" t="str">
        <f>"02171"</f>
        <v>02171</v>
      </c>
      <c r="C475" s="22" t="str">
        <f t="shared" si="7"/>
        <v>'2171.HK'</v>
      </c>
      <c r="D475" s="22" t="s">
        <v>1884</v>
      </c>
      <c r="E475" s="22" t="s">
        <v>941</v>
      </c>
      <c r="F475" s="22">
        <v>9272772513</v>
      </c>
      <c r="G475" s="22">
        <v>14</v>
      </c>
      <c r="H475" s="22" t="s">
        <v>1885</v>
      </c>
    </row>
    <row r="476" spans="1:8" x14ac:dyDescent="0.35">
      <c r="A476" s="22" t="s">
        <v>851</v>
      </c>
      <c r="B476" s="22" t="str">
        <f>"00179"</f>
        <v>00179</v>
      </c>
      <c r="C476" s="22" t="str">
        <f t="shared" si="7"/>
        <v>'0179.HK'</v>
      </c>
      <c r="D476" s="22" t="s">
        <v>1886</v>
      </c>
      <c r="E476" s="22" t="s">
        <v>1122</v>
      </c>
      <c r="F476" s="22">
        <v>9217124771.1599998</v>
      </c>
      <c r="G476" s="22">
        <v>39</v>
      </c>
      <c r="H476" s="22" t="s">
        <v>1887</v>
      </c>
    </row>
    <row r="477" spans="1:8" x14ac:dyDescent="0.35">
      <c r="A477" s="22" t="s">
        <v>851</v>
      </c>
      <c r="B477" s="22" t="str">
        <f>"01415"</f>
        <v>01415</v>
      </c>
      <c r="C477" s="22" t="str">
        <f t="shared" si="7"/>
        <v>'1415.HK'</v>
      </c>
      <c r="D477" s="22" t="s">
        <v>1888</v>
      </c>
      <c r="E477" s="22" t="s">
        <v>1075</v>
      </c>
      <c r="F477" s="22">
        <v>9215280800</v>
      </c>
      <c r="G477" s="22">
        <v>23</v>
      </c>
      <c r="H477" s="22" t="s">
        <v>1889</v>
      </c>
    </row>
    <row r="478" spans="1:8" x14ac:dyDescent="0.35">
      <c r="A478" s="22" t="s">
        <v>851</v>
      </c>
      <c r="B478" s="22" t="str">
        <f>"00777"</f>
        <v>00777</v>
      </c>
      <c r="C478" s="22" t="str">
        <f t="shared" si="7"/>
        <v>'0777.HK'</v>
      </c>
      <c r="D478" s="22" t="s">
        <v>1890</v>
      </c>
      <c r="E478" s="22" t="s">
        <v>910</v>
      </c>
      <c r="F478" s="22">
        <v>9073678161.7399998</v>
      </c>
      <c r="G478" s="22">
        <v>65</v>
      </c>
      <c r="H478" s="22" t="s">
        <v>1891</v>
      </c>
    </row>
    <row r="479" spans="1:8" x14ac:dyDescent="0.35">
      <c r="A479" s="22" t="s">
        <v>851</v>
      </c>
      <c r="B479" s="22" t="str">
        <f>"00460"</f>
        <v>00460</v>
      </c>
      <c r="C479" s="22" t="str">
        <f t="shared" si="7"/>
        <v>'0460.HK'</v>
      </c>
      <c r="D479" s="22" t="s">
        <v>1892</v>
      </c>
      <c r="E479" s="22" t="s">
        <v>969</v>
      </c>
      <c r="F479" s="22">
        <v>8956799237.7600002</v>
      </c>
      <c r="G479" s="22">
        <v>94</v>
      </c>
      <c r="H479" s="22" t="s">
        <v>1893</v>
      </c>
    </row>
    <row r="480" spans="1:8" x14ac:dyDescent="0.35">
      <c r="A480" s="22" t="s">
        <v>851</v>
      </c>
      <c r="B480" s="22" t="str">
        <f>"02666"</f>
        <v>02666</v>
      </c>
      <c r="C480" s="22" t="str">
        <f t="shared" si="7"/>
        <v>'2666.HK'</v>
      </c>
      <c r="D480" s="22" t="s">
        <v>1894</v>
      </c>
      <c r="E480" s="22" t="s">
        <v>1498</v>
      </c>
      <c r="F480" s="22">
        <v>8909151803.3099995</v>
      </c>
      <c r="G480" s="22">
        <v>177</v>
      </c>
      <c r="H480" s="22" t="s">
        <v>1895</v>
      </c>
    </row>
    <row r="481" spans="1:8" x14ac:dyDescent="0.35">
      <c r="A481" s="22" t="s">
        <v>851</v>
      </c>
      <c r="B481" s="22" t="str">
        <f>"00034"</f>
        <v>00034</v>
      </c>
      <c r="C481" s="22" t="str">
        <f t="shared" si="7"/>
        <v>'0034.HK'</v>
      </c>
      <c r="D481" s="22" t="s">
        <v>1896</v>
      </c>
      <c r="E481" s="22" t="s">
        <v>924</v>
      </c>
      <c r="F481" s="22">
        <v>8789435781.1200008</v>
      </c>
      <c r="G481" s="22">
        <v>31</v>
      </c>
      <c r="H481" s="22" t="s">
        <v>1897</v>
      </c>
    </row>
    <row r="482" spans="1:8" x14ac:dyDescent="0.35">
      <c r="A482" s="22" t="s">
        <v>851</v>
      </c>
      <c r="B482" s="22" t="str">
        <f>"01610"</f>
        <v>01610</v>
      </c>
      <c r="C482" s="22" t="str">
        <f t="shared" si="7"/>
        <v>'1610.HK'</v>
      </c>
      <c r="D482" s="22" t="s">
        <v>1898</v>
      </c>
      <c r="E482" s="22" t="s">
        <v>1229</v>
      </c>
      <c r="F482" s="22">
        <v>8779496226.75</v>
      </c>
      <c r="G482" s="22">
        <v>235</v>
      </c>
      <c r="H482" s="22" t="s">
        <v>1899</v>
      </c>
    </row>
    <row r="483" spans="1:8" x14ac:dyDescent="0.35">
      <c r="A483" s="22" t="s">
        <v>851</v>
      </c>
      <c r="B483" s="22" t="str">
        <f>"00751"</f>
        <v>00751</v>
      </c>
      <c r="C483" s="22" t="str">
        <f t="shared" si="7"/>
        <v>'0751.HK'</v>
      </c>
      <c r="D483" s="22" t="s">
        <v>1900</v>
      </c>
      <c r="E483" s="22" t="s">
        <v>1167</v>
      </c>
      <c r="F483" s="22">
        <v>8763832813.7999992</v>
      </c>
      <c r="G483" s="22">
        <v>95</v>
      </c>
      <c r="H483" s="22" t="s">
        <v>1901</v>
      </c>
    </row>
    <row r="484" spans="1:8" x14ac:dyDescent="0.35">
      <c r="A484" s="22" t="s">
        <v>851</v>
      </c>
      <c r="B484" s="22" t="str">
        <f>"03983"</f>
        <v>03983</v>
      </c>
      <c r="C484" s="22" t="str">
        <f t="shared" si="7"/>
        <v>'3983.HK'</v>
      </c>
      <c r="D484" s="22" t="s">
        <v>1902</v>
      </c>
      <c r="E484" s="22" t="s">
        <v>1903</v>
      </c>
      <c r="F484" s="22">
        <v>8759000000</v>
      </c>
      <c r="G484" s="22">
        <v>41</v>
      </c>
      <c r="H484" s="22" t="s">
        <v>1904</v>
      </c>
    </row>
    <row r="485" spans="1:8" x14ac:dyDescent="0.35">
      <c r="A485" s="22" t="s">
        <v>851</v>
      </c>
      <c r="B485" s="22" t="str">
        <f>"01967"</f>
        <v>01967</v>
      </c>
      <c r="C485" s="22" t="str">
        <f t="shared" si="7"/>
        <v>'1967.HK'</v>
      </c>
      <c r="D485" s="22" t="s">
        <v>1905</v>
      </c>
      <c r="E485" s="22" t="s">
        <v>1224</v>
      </c>
      <c r="F485" s="22">
        <v>8725000000</v>
      </c>
      <c r="G485" s="22">
        <v>2</v>
      </c>
      <c r="H485" s="22" t="s">
        <v>1906</v>
      </c>
    </row>
    <row r="486" spans="1:8" x14ac:dyDescent="0.35">
      <c r="A486" s="22" t="s">
        <v>851</v>
      </c>
      <c r="B486" s="22" t="str">
        <f>"00173"</f>
        <v>00173</v>
      </c>
      <c r="C486" s="22" t="str">
        <f t="shared" si="7"/>
        <v>'0173.HK'</v>
      </c>
      <c r="D486" s="22" t="s">
        <v>1907</v>
      </c>
      <c r="E486" s="22" t="s">
        <v>924</v>
      </c>
      <c r="F486" s="22">
        <v>8709447029.7000008</v>
      </c>
      <c r="G486" s="22">
        <v>107</v>
      </c>
      <c r="H486" s="22" t="s">
        <v>1908</v>
      </c>
    </row>
    <row r="487" spans="1:8" x14ac:dyDescent="0.35">
      <c r="A487" s="22" t="s">
        <v>851</v>
      </c>
      <c r="B487" s="22" t="str">
        <f>"00341"</f>
        <v>00341</v>
      </c>
      <c r="C487" s="22" t="str">
        <f t="shared" si="7"/>
        <v>'0341.HK'</v>
      </c>
      <c r="D487" s="22" t="s">
        <v>1909</v>
      </c>
      <c r="E487" s="22" t="s">
        <v>981</v>
      </c>
      <c r="F487" s="22">
        <v>8703561930.3799992</v>
      </c>
      <c r="G487" s="22">
        <v>40</v>
      </c>
      <c r="H487" s="22" t="s">
        <v>1910</v>
      </c>
    </row>
    <row r="488" spans="1:8" x14ac:dyDescent="0.35">
      <c r="A488" s="22" t="s">
        <v>851</v>
      </c>
      <c r="B488" s="22" t="str">
        <f>"00558"</f>
        <v>00558</v>
      </c>
      <c r="C488" s="22" t="str">
        <f t="shared" si="7"/>
        <v>'0558.HK'</v>
      </c>
      <c r="D488" s="22" t="s">
        <v>1911</v>
      </c>
      <c r="E488" s="22" t="s">
        <v>1224</v>
      </c>
      <c r="F488" s="22">
        <v>8588682960</v>
      </c>
      <c r="G488" s="22">
        <v>47</v>
      </c>
      <c r="H488" s="22" t="s">
        <v>1912</v>
      </c>
    </row>
    <row r="489" spans="1:8" x14ac:dyDescent="0.35">
      <c r="A489" s="22" t="s">
        <v>851</v>
      </c>
      <c r="B489" s="22" t="str">
        <f>"02299"</f>
        <v>02299</v>
      </c>
      <c r="C489" s="22" t="str">
        <f t="shared" si="7"/>
        <v>'2299.HK'</v>
      </c>
      <c r="D489" s="22" t="s">
        <v>1913</v>
      </c>
      <c r="E489" s="22" t="s">
        <v>1914</v>
      </c>
      <c r="F489" s="22">
        <v>8581893300</v>
      </c>
      <c r="G489" s="22">
        <v>15</v>
      </c>
      <c r="H489" s="22" t="s">
        <v>1915</v>
      </c>
    </row>
    <row r="490" spans="1:8" x14ac:dyDescent="0.35">
      <c r="A490" s="22" t="s">
        <v>851</v>
      </c>
      <c r="B490" s="22" t="str">
        <f>"00071"</f>
        <v>00071</v>
      </c>
      <c r="C490" s="22" t="str">
        <f t="shared" si="7"/>
        <v>'0071.HK'</v>
      </c>
      <c r="D490" s="22" t="s">
        <v>1916</v>
      </c>
      <c r="E490" s="22" t="s">
        <v>1028</v>
      </c>
      <c r="F490" s="22">
        <v>8498804248.5</v>
      </c>
      <c r="G490" s="22">
        <v>18</v>
      </c>
      <c r="H490" s="22" t="s">
        <v>1917</v>
      </c>
    </row>
    <row r="491" spans="1:8" x14ac:dyDescent="0.35">
      <c r="A491" s="22" t="s">
        <v>851</v>
      </c>
      <c r="B491" s="22" t="str">
        <f>"03377"</f>
        <v>03377</v>
      </c>
      <c r="C491" s="22" t="str">
        <f t="shared" si="7"/>
        <v>'3377.HK'</v>
      </c>
      <c r="D491" s="22" t="s">
        <v>1918</v>
      </c>
      <c r="E491" s="22" t="s">
        <v>924</v>
      </c>
      <c r="F491" s="22">
        <v>8453866179.2700005</v>
      </c>
      <c r="G491" s="22">
        <v>156</v>
      </c>
      <c r="H491" s="22" t="s">
        <v>1919</v>
      </c>
    </row>
    <row r="492" spans="1:8" x14ac:dyDescent="0.35">
      <c r="A492" s="22" t="s">
        <v>851</v>
      </c>
      <c r="B492" s="22" t="str">
        <f>"01983"</f>
        <v>01983</v>
      </c>
      <c r="C492" s="22" t="str">
        <f t="shared" si="7"/>
        <v>'1983.HK'</v>
      </c>
      <c r="D492" s="22" t="s">
        <v>1920</v>
      </c>
      <c r="E492" s="22" t="s">
        <v>858</v>
      </c>
      <c r="F492" s="22">
        <v>8425031392.1999998</v>
      </c>
      <c r="G492" s="22">
        <v>11</v>
      </c>
      <c r="H492" s="22" t="s">
        <v>1921</v>
      </c>
    </row>
    <row r="493" spans="1:8" x14ac:dyDescent="0.35">
      <c r="A493" s="22" t="s">
        <v>851</v>
      </c>
      <c r="B493" s="22" t="str">
        <f>"00826"</f>
        <v>00826</v>
      </c>
      <c r="C493" s="22" t="str">
        <f t="shared" si="7"/>
        <v>'0826.HK'</v>
      </c>
      <c r="D493" s="22" t="s">
        <v>1922</v>
      </c>
      <c r="E493" s="22" t="s">
        <v>1579</v>
      </c>
      <c r="F493" s="22">
        <v>8382850000</v>
      </c>
      <c r="G493" s="22">
        <v>34</v>
      </c>
      <c r="H493" s="22" t="s">
        <v>1923</v>
      </c>
    </row>
    <row r="494" spans="1:8" x14ac:dyDescent="0.35">
      <c r="A494" s="22" t="s">
        <v>851</v>
      </c>
      <c r="B494" s="22" t="str">
        <f>"09858"</f>
        <v>09858</v>
      </c>
      <c r="C494" s="22" t="str">
        <f t="shared" si="7"/>
        <v>'9858.HK'</v>
      </c>
      <c r="D494" s="22" t="s">
        <v>1924</v>
      </c>
      <c r="E494" s="22" t="s">
        <v>1019</v>
      </c>
      <c r="F494" s="22">
        <v>8349888800</v>
      </c>
      <c r="G494" s="22">
        <v>13</v>
      </c>
      <c r="H494" s="22" t="s">
        <v>1925</v>
      </c>
    </row>
    <row r="495" spans="1:8" x14ac:dyDescent="0.35">
      <c r="A495" s="22" t="s">
        <v>851</v>
      </c>
      <c r="B495" s="22" t="str">
        <f>"06606"</f>
        <v>06606</v>
      </c>
      <c r="C495" s="22" t="str">
        <f t="shared" si="7"/>
        <v>'6606.HK'</v>
      </c>
      <c r="D495" s="22" t="s">
        <v>1926</v>
      </c>
      <c r="E495" s="22" t="s">
        <v>1232</v>
      </c>
      <c r="F495" s="22">
        <v>8324643880.96</v>
      </c>
      <c r="G495" s="22">
        <v>20</v>
      </c>
      <c r="H495" s="22" t="s">
        <v>1927</v>
      </c>
    </row>
    <row r="496" spans="1:8" x14ac:dyDescent="0.35">
      <c r="A496" s="22" t="s">
        <v>851</v>
      </c>
      <c r="B496" s="22" t="str">
        <f>"03738"</f>
        <v>03738</v>
      </c>
      <c r="C496" s="22" t="str">
        <f t="shared" si="7"/>
        <v>'3738.HK'</v>
      </c>
      <c r="D496" s="22" t="s">
        <v>1928</v>
      </c>
      <c r="E496" s="22" t="s">
        <v>910</v>
      </c>
      <c r="F496" s="22">
        <v>8216275025.2799997</v>
      </c>
      <c r="G496" s="22">
        <v>23</v>
      </c>
      <c r="H496" s="22" t="s">
        <v>1929</v>
      </c>
    </row>
    <row r="497" spans="1:8" x14ac:dyDescent="0.35">
      <c r="A497" s="22" t="s">
        <v>851</v>
      </c>
      <c r="B497" s="22" t="str">
        <f>"01476"</f>
        <v>01476</v>
      </c>
      <c r="C497" s="22" t="str">
        <f t="shared" si="7"/>
        <v>'1476.HK'</v>
      </c>
      <c r="D497" s="22" t="s">
        <v>1930</v>
      </c>
      <c r="E497" s="22" t="s">
        <v>1130</v>
      </c>
      <c r="F497" s="22">
        <v>8204387347.8000002</v>
      </c>
      <c r="G497" s="22">
        <v>11</v>
      </c>
      <c r="H497" s="22" t="s">
        <v>1931</v>
      </c>
    </row>
    <row r="498" spans="1:8" x14ac:dyDescent="0.35">
      <c r="A498" s="22" t="s">
        <v>851</v>
      </c>
      <c r="B498" s="22" t="str">
        <f>"00272"</f>
        <v>00272</v>
      </c>
      <c r="C498" s="22" t="str">
        <f t="shared" si="7"/>
        <v>'0272.HK'</v>
      </c>
      <c r="D498" s="22" t="s">
        <v>1932</v>
      </c>
      <c r="E498" s="22" t="s">
        <v>924</v>
      </c>
      <c r="F498" s="22">
        <v>8187810630.4799995</v>
      </c>
      <c r="G498" s="22">
        <v>65</v>
      </c>
      <c r="H498" s="22" t="s">
        <v>1933</v>
      </c>
    </row>
    <row r="499" spans="1:8" x14ac:dyDescent="0.35">
      <c r="A499" s="22" t="s">
        <v>851</v>
      </c>
      <c r="B499" s="22" t="str">
        <f>"00120"</f>
        <v>00120</v>
      </c>
      <c r="C499" s="22" t="str">
        <f t="shared" si="7"/>
        <v>'0120.HK'</v>
      </c>
      <c r="D499" s="22" t="s">
        <v>1934</v>
      </c>
      <c r="E499" s="22" t="s">
        <v>924</v>
      </c>
      <c r="F499" s="22">
        <v>8182397184</v>
      </c>
      <c r="G499" s="22">
        <v>13</v>
      </c>
      <c r="H499" s="22" t="s">
        <v>1935</v>
      </c>
    </row>
    <row r="500" spans="1:8" x14ac:dyDescent="0.35">
      <c r="A500" s="22" t="s">
        <v>851</v>
      </c>
      <c r="B500" s="22" t="str">
        <f>"02356"</f>
        <v>02356</v>
      </c>
      <c r="C500" s="22" t="str">
        <f t="shared" si="7"/>
        <v>'2356.HK'</v>
      </c>
      <c r="D500" s="22" t="s">
        <v>1936</v>
      </c>
      <c r="E500" s="22" t="s">
        <v>858</v>
      </c>
      <c r="F500" s="22">
        <v>8167419886.9200001</v>
      </c>
      <c r="G500" s="22">
        <v>47</v>
      </c>
      <c r="H500" s="22" t="s">
        <v>1937</v>
      </c>
    </row>
    <row r="501" spans="1:8" x14ac:dyDescent="0.35">
      <c r="A501" s="22" t="s">
        <v>851</v>
      </c>
      <c r="B501" s="22" t="str">
        <f>"01271"</f>
        <v>01271</v>
      </c>
      <c r="C501" s="22" t="str">
        <f t="shared" si="7"/>
        <v>'1271.HK'</v>
      </c>
      <c r="D501" s="22" t="s">
        <v>1938</v>
      </c>
      <c r="E501" s="22" t="s">
        <v>1634</v>
      </c>
      <c r="F501" s="22">
        <v>8162368489.5</v>
      </c>
      <c r="G501" s="22">
        <v>3</v>
      </c>
      <c r="H501" s="22" t="s">
        <v>1939</v>
      </c>
    </row>
    <row r="502" spans="1:8" x14ac:dyDescent="0.35">
      <c r="A502" s="22" t="s">
        <v>851</v>
      </c>
      <c r="B502" s="22" t="str">
        <f>"09989"</f>
        <v>09989</v>
      </c>
      <c r="C502" s="22" t="str">
        <f t="shared" si="7"/>
        <v>'9989.HK'</v>
      </c>
      <c r="D502" s="22" t="s">
        <v>1940</v>
      </c>
      <c r="E502" s="22" t="s">
        <v>969</v>
      </c>
      <c r="F502" s="22">
        <v>8114148008.1199999</v>
      </c>
      <c r="G502" s="22">
        <v>22</v>
      </c>
      <c r="H502" s="22" t="s">
        <v>1941</v>
      </c>
    </row>
    <row r="503" spans="1:8" x14ac:dyDescent="0.35">
      <c r="A503" s="22" t="s">
        <v>851</v>
      </c>
      <c r="B503" s="22" t="str">
        <f>"02391"</f>
        <v>02391</v>
      </c>
      <c r="C503" s="22" t="str">
        <f t="shared" si="7"/>
        <v>'2391.HK'</v>
      </c>
      <c r="D503" s="22" t="s">
        <v>1942</v>
      </c>
      <c r="E503" s="22" t="s">
        <v>910</v>
      </c>
      <c r="F503" s="22">
        <v>8099651840</v>
      </c>
      <c r="G503" s="22">
        <v>1</v>
      </c>
      <c r="H503" s="22" t="s">
        <v>1943</v>
      </c>
    </row>
    <row r="504" spans="1:8" x14ac:dyDescent="0.35">
      <c r="A504" s="22" t="s">
        <v>851</v>
      </c>
      <c r="B504" s="22" t="str">
        <f>"01995"</f>
        <v>01995</v>
      </c>
      <c r="C504" s="22" t="str">
        <f t="shared" si="7"/>
        <v>'1995.HK'</v>
      </c>
      <c r="D504" s="22" t="s">
        <v>1944</v>
      </c>
      <c r="E504" s="22" t="s">
        <v>1104</v>
      </c>
      <c r="F504" s="22">
        <v>8079190960</v>
      </c>
      <c r="G504" s="22">
        <v>131</v>
      </c>
      <c r="H504" s="22" t="s">
        <v>1945</v>
      </c>
    </row>
    <row r="505" spans="1:8" x14ac:dyDescent="0.35">
      <c r="A505" s="22" t="s">
        <v>851</v>
      </c>
      <c r="B505" s="22" t="str">
        <f>"06055"</f>
        <v>06055</v>
      </c>
      <c r="C505" s="22" t="str">
        <f t="shared" si="7"/>
        <v>'6055.HK'</v>
      </c>
      <c r="D505" s="22" t="s">
        <v>1946</v>
      </c>
      <c r="E505" s="22" t="s">
        <v>1947</v>
      </c>
      <c r="F505" s="22">
        <v>8037321600</v>
      </c>
      <c r="G505" s="22">
        <v>86</v>
      </c>
      <c r="H505" s="22" t="s">
        <v>1948</v>
      </c>
    </row>
    <row r="506" spans="1:8" x14ac:dyDescent="0.35">
      <c r="A506" s="22" t="s">
        <v>851</v>
      </c>
      <c r="B506" s="22" t="str">
        <f>"01070"</f>
        <v>01070</v>
      </c>
      <c r="C506" s="22" t="str">
        <f t="shared" si="7"/>
        <v>'1070.HK'</v>
      </c>
      <c r="D506" s="22" t="s">
        <v>1949</v>
      </c>
      <c r="E506" s="22" t="s">
        <v>1167</v>
      </c>
      <c r="F506" s="22">
        <v>8024294451.6300001</v>
      </c>
      <c r="G506" s="22">
        <v>92</v>
      </c>
      <c r="H506" s="22" t="s">
        <v>1950</v>
      </c>
    </row>
    <row r="507" spans="1:8" x14ac:dyDescent="0.35">
      <c r="A507" s="22" t="s">
        <v>851</v>
      </c>
      <c r="B507" s="22" t="str">
        <f>"01117"</f>
        <v>01117</v>
      </c>
      <c r="C507" s="22" t="str">
        <f t="shared" si="7"/>
        <v>'1117.HK'</v>
      </c>
      <c r="D507" s="22" t="s">
        <v>1951</v>
      </c>
      <c r="E507" s="22" t="s">
        <v>1019</v>
      </c>
      <c r="F507" s="22">
        <v>7915662048</v>
      </c>
      <c r="G507" s="22">
        <v>51</v>
      </c>
      <c r="H507" s="22" t="s">
        <v>1952</v>
      </c>
    </row>
    <row r="508" spans="1:8" x14ac:dyDescent="0.35">
      <c r="A508" s="22" t="s">
        <v>851</v>
      </c>
      <c r="B508" s="22" t="str">
        <f>"00506"</f>
        <v>00506</v>
      </c>
      <c r="C508" s="22" t="str">
        <f t="shared" si="7"/>
        <v>'0506.HK'</v>
      </c>
      <c r="D508" s="22" t="s">
        <v>1953</v>
      </c>
      <c r="E508" s="22" t="s">
        <v>892</v>
      </c>
      <c r="F508" s="22">
        <v>7804253274.8400002</v>
      </c>
      <c r="G508" s="22">
        <v>71</v>
      </c>
      <c r="H508" s="22" t="s">
        <v>1954</v>
      </c>
    </row>
    <row r="509" spans="1:8" x14ac:dyDescent="0.35">
      <c r="A509" s="22" t="s">
        <v>851</v>
      </c>
      <c r="B509" s="22" t="str">
        <f>"01755"</f>
        <v>01755</v>
      </c>
      <c r="C509" s="22" t="str">
        <f t="shared" si="7"/>
        <v>'1755.HK'</v>
      </c>
      <c r="D509" s="22" t="s">
        <v>1955</v>
      </c>
      <c r="E509" s="22" t="s">
        <v>1104</v>
      </c>
      <c r="F509" s="22">
        <v>7792577050</v>
      </c>
      <c r="G509" s="22">
        <v>140</v>
      </c>
      <c r="H509" s="22" t="s">
        <v>1956</v>
      </c>
    </row>
    <row r="510" spans="1:8" x14ac:dyDescent="0.35">
      <c r="A510" s="22" t="s">
        <v>851</v>
      </c>
      <c r="B510" s="22" t="str">
        <f>"00650"</f>
        <v>00650</v>
      </c>
      <c r="C510" s="22" t="str">
        <f t="shared" si="7"/>
        <v>'0650.HK'</v>
      </c>
      <c r="D510" s="22" t="s">
        <v>1957</v>
      </c>
      <c r="E510" s="22" t="s">
        <v>883</v>
      </c>
      <c r="F510" s="22">
        <v>7730914861.5</v>
      </c>
      <c r="G510" s="22">
        <v>5</v>
      </c>
      <c r="H510" s="22" t="s">
        <v>1958</v>
      </c>
    </row>
    <row r="511" spans="1:8" x14ac:dyDescent="0.35">
      <c r="A511" s="22" t="s">
        <v>851</v>
      </c>
      <c r="B511" s="22" t="str">
        <f>"06686"</f>
        <v>06686</v>
      </c>
      <c r="C511" s="22" t="str">
        <f t="shared" si="7"/>
        <v>'6686.HK'</v>
      </c>
      <c r="D511" s="22" t="s">
        <v>1959</v>
      </c>
      <c r="E511" s="22" t="s">
        <v>964</v>
      </c>
      <c r="F511" s="22">
        <v>7704000000</v>
      </c>
      <c r="G511" s="22">
        <v>1</v>
      </c>
      <c r="H511" s="22" t="s">
        <v>1960</v>
      </c>
    </row>
    <row r="512" spans="1:8" x14ac:dyDescent="0.35">
      <c r="A512" s="22" t="s">
        <v>851</v>
      </c>
      <c r="B512" s="22" t="str">
        <f>"02407"</f>
        <v>02407</v>
      </c>
      <c r="C512" s="22" t="str">
        <f t="shared" si="7"/>
        <v>'2407.HK'</v>
      </c>
      <c r="D512" s="22" t="s">
        <v>1961</v>
      </c>
      <c r="E512" s="22" t="s">
        <v>1232</v>
      </c>
      <c r="F512" s="22">
        <v>7603602000</v>
      </c>
      <c r="H512" s="22" t="s">
        <v>1962</v>
      </c>
    </row>
    <row r="513" spans="1:8" x14ac:dyDescent="0.35">
      <c r="A513" s="22" t="s">
        <v>851</v>
      </c>
      <c r="B513" s="22" t="str">
        <f>"00775"</f>
        <v>00775</v>
      </c>
      <c r="C513" s="22" t="str">
        <f t="shared" si="7"/>
        <v>'0775.HK'</v>
      </c>
      <c r="D513" s="22" t="s">
        <v>1963</v>
      </c>
      <c r="E513" s="22" t="s">
        <v>969</v>
      </c>
      <c r="F513" s="22">
        <v>7592747196</v>
      </c>
      <c r="G513" s="22">
        <v>16</v>
      </c>
      <c r="H513" s="22" t="s">
        <v>1964</v>
      </c>
    </row>
    <row r="514" spans="1:8" x14ac:dyDescent="0.35">
      <c r="A514" s="22" t="s">
        <v>851</v>
      </c>
      <c r="B514" s="22" t="str">
        <f>"01053"</f>
        <v>01053</v>
      </c>
      <c r="C514" s="22" t="str">
        <f t="shared" si="7"/>
        <v>'1053.HK'</v>
      </c>
      <c r="D514" s="22" t="s">
        <v>1965</v>
      </c>
      <c r="E514" s="22" t="s">
        <v>1579</v>
      </c>
      <c r="F514" s="22">
        <v>7580811926.9499998</v>
      </c>
      <c r="G514" s="22">
        <v>25</v>
      </c>
      <c r="H514" s="22" t="s">
        <v>1966</v>
      </c>
    </row>
    <row r="515" spans="1:8" x14ac:dyDescent="0.35">
      <c r="A515" s="22" t="s">
        <v>851</v>
      </c>
      <c r="B515" s="22" t="str">
        <f>"01224"</f>
        <v>01224</v>
      </c>
      <c r="C515" s="22" t="str">
        <f t="shared" ref="C515:C578" si="8">CONCATENATE("'",RIGHT(B515,4),".HK'")</f>
        <v>'1224.HK'</v>
      </c>
      <c r="D515" s="22" t="s">
        <v>1967</v>
      </c>
      <c r="E515" s="22" t="s">
        <v>924</v>
      </c>
      <c r="F515" s="22">
        <v>7570552602.6000004</v>
      </c>
      <c r="G515" s="22">
        <v>13</v>
      </c>
      <c r="H515" s="22" t="s">
        <v>1968</v>
      </c>
    </row>
    <row r="516" spans="1:8" x14ac:dyDescent="0.35">
      <c r="A516" s="22" t="s">
        <v>851</v>
      </c>
      <c r="B516" s="22" t="str">
        <f>"01812"</f>
        <v>01812</v>
      </c>
      <c r="C516" s="22" t="str">
        <f t="shared" si="8"/>
        <v>'1812.HK'</v>
      </c>
      <c r="D516" s="22" t="s">
        <v>1969</v>
      </c>
      <c r="E516" s="22" t="s">
        <v>1378</v>
      </c>
      <c r="F516" s="22">
        <v>7508950344</v>
      </c>
      <c r="G516" s="22">
        <v>197</v>
      </c>
      <c r="H516" s="22" t="s">
        <v>1970</v>
      </c>
    </row>
    <row r="517" spans="1:8" x14ac:dyDescent="0.35">
      <c r="A517" s="22" t="s">
        <v>851</v>
      </c>
      <c r="B517" s="22" t="str">
        <f>"01717"</f>
        <v>01717</v>
      </c>
      <c r="C517" s="22" t="str">
        <f t="shared" si="8"/>
        <v>'1717.HK'</v>
      </c>
      <c r="D517" s="22" t="s">
        <v>1971</v>
      </c>
      <c r="E517" s="22" t="s">
        <v>1019</v>
      </c>
      <c r="F517" s="22">
        <v>7506466376.9700003</v>
      </c>
      <c r="G517" s="22">
        <v>103</v>
      </c>
      <c r="H517" s="22" t="s">
        <v>1972</v>
      </c>
    </row>
    <row r="518" spans="1:8" x14ac:dyDescent="0.35">
      <c r="A518" s="22" t="s">
        <v>851</v>
      </c>
      <c r="B518" s="22" t="str">
        <f>"01212"</f>
        <v>01212</v>
      </c>
      <c r="C518" s="22" t="str">
        <f t="shared" si="8"/>
        <v>'1212.HK'</v>
      </c>
      <c r="D518" s="22" t="s">
        <v>1973</v>
      </c>
      <c r="E518" s="22" t="s">
        <v>1485</v>
      </c>
      <c r="F518" s="22">
        <v>7479541680</v>
      </c>
      <c r="G518" s="22">
        <v>46</v>
      </c>
      <c r="H518" s="22" t="s">
        <v>1974</v>
      </c>
    </row>
    <row r="519" spans="1:8" x14ac:dyDescent="0.35">
      <c r="A519" s="22" t="s">
        <v>851</v>
      </c>
      <c r="B519" s="22" t="str">
        <f>"03308"</f>
        <v>03308</v>
      </c>
      <c r="C519" s="22" t="str">
        <f t="shared" si="8"/>
        <v>'3308.HK'</v>
      </c>
      <c r="D519" s="22" t="s">
        <v>1975</v>
      </c>
      <c r="E519" s="22" t="s">
        <v>1485</v>
      </c>
      <c r="F519" s="22">
        <v>7470922500</v>
      </c>
      <c r="G519" s="22">
        <v>23</v>
      </c>
      <c r="H519" s="22" t="s">
        <v>1976</v>
      </c>
    </row>
    <row r="520" spans="1:8" x14ac:dyDescent="0.35">
      <c r="A520" s="22" t="s">
        <v>851</v>
      </c>
      <c r="B520" s="22" t="str">
        <f>"01515"</f>
        <v>01515</v>
      </c>
      <c r="C520" s="22" t="str">
        <f t="shared" si="8"/>
        <v>'1515.HK'</v>
      </c>
      <c r="D520" s="22" t="s">
        <v>1977</v>
      </c>
      <c r="E520" s="22" t="s">
        <v>1362</v>
      </c>
      <c r="F520" s="22">
        <v>7455889967</v>
      </c>
      <c r="G520" s="22">
        <v>88</v>
      </c>
      <c r="H520" s="22" t="s">
        <v>1978</v>
      </c>
    </row>
    <row r="521" spans="1:8" x14ac:dyDescent="0.35">
      <c r="A521" s="22" t="s">
        <v>851</v>
      </c>
      <c r="B521" s="22" t="str">
        <f>"01666"</f>
        <v>01666</v>
      </c>
      <c r="C521" s="22" t="str">
        <f t="shared" si="8"/>
        <v>'1666.HK'</v>
      </c>
      <c r="D521" s="22" t="s">
        <v>1979</v>
      </c>
      <c r="E521" s="22" t="s">
        <v>1349</v>
      </c>
      <c r="F521" s="22">
        <v>7441355040</v>
      </c>
      <c r="G521" s="22">
        <v>176</v>
      </c>
      <c r="H521" s="22" t="s">
        <v>1980</v>
      </c>
    </row>
    <row r="522" spans="1:8" x14ac:dyDescent="0.35">
      <c r="A522" s="22" t="s">
        <v>851</v>
      </c>
      <c r="B522" s="22" t="str">
        <f>"09955"</f>
        <v>09955</v>
      </c>
      <c r="C522" s="22" t="str">
        <f t="shared" si="8"/>
        <v>'9955.HK'</v>
      </c>
      <c r="D522" s="22" t="s">
        <v>1981</v>
      </c>
      <c r="E522" s="22" t="s">
        <v>1232</v>
      </c>
      <c r="F522" s="22">
        <v>7396681559.3999996</v>
      </c>
      <c r="G522" s="22">
        <v>2</v>
      </c>
      <c r="H522" s="22" t="s">
        <v>1982</v>
      </c>
    </row>
    <row r="523" spans="1:8" x14ac:dyDescent="0.35">
      <c r="A523" s="22" t="s">
        <v>851</v>
      </c>
      <c r="B523" s="22" t="str">
        <f>"00327"</f>
        <v>00327</v>
      </c>
      <c r="C523" s="22" t="str">
        <f t="shared" si="8"/>
        <v>'0327.HK'</v>
      </c>
      <c r="D523" s="22" t="s">
        <v>1983</v>
      </c>
      <c r="E523" s="22" t="s">
        <v>853</v>
      </c>
      <c r="F523" s="22">
        <v>7341926000</v>
      </c>
      <c r="G523" s="22">
        <v>36</v>
      </c>
      <c r="H523" s="22" t="s">
        <v>1984</v>
      </c>
    </row>
    <row r="524" spans="1:8" x14ac:dyDescent="0.35">
      <c r="A524" s="22" t="s">
        <v>851</v>
      </c>
      <c r="B524" s="22" t="str">
        <f>"01052"</f>
        <v>01052</v>
      </c>
      <c r="C524" s="22" t="str">
        <f t="shared" si="8"/>
        <v>'1052.HK'</v>
      </c>
      <c r="D524" s="22" t="s">
        <v>1985</v>
      </c>
      <c r="E524" s="22" t="s">
        <v>1367</v>
      </c>
      <c r="F524" s="22">
        <v>7244792737.3500004</v>
      </c>
      <c r="G524" s="22">
        <v>149</v>
      </c>
      <c r="H524" s="22" t="s">
        <v>1986</v>
      </c>
    </row>
    <row r="525" spans="1:8" x14ac:dyDescent="0.35">
      <c r="A525" s="22" t="s">
        <v>851</v>
      </c>
      <c r="B525" s="22" t="str">
        <f>"06610"</f>
        <v>06610</v>
      </c>
      <c r="C525" s="22" t="str">
        <f t="shared" si="8"/>
        <v>'6610.HK'</v>
      </c>
      <c r="D525" s="22" t="s">
        <v>1987</v>
      </c>
      <c r="E525" s="22" t="s">
        <v>910</v>
      </c>
      <c r="F525" s="22">
        <v>7240000000</v>
      </c>
      <c r="G525" s="22">
        <v>1</v>
      </c>
      <c r="H525" s="22" t="s">
        <v>1988</v>
      </c>
    </row>
    <row r="526" spans="1:8" x14ac:dyDescent="0.35">
      <c r="A526" s="22" t="s">
        <v>851</v>
      </c>
      <c r="B526" s="22" t="str">
        <f>"00410"</f>
        <v>00410</v>
      </c>
      <c r="C526" s="22" t="str">
        <f t="shared" si="8"/>
        <v>'0410.HK'</v>
      </c>
      <c r="D526" s="22" t="s">
        <v>1989</v>
      </c>
      <c r="E526" s="22" t="s">
        <v>1028</v>
      </c>
      <c r="F526" s="22">
        <v>7227338403.0900002</v>
      </c>
      <c r="G526" s="22">
        <v>133</v>
      </c>
      <c r="H526" s="22" t="s">
        <v>1990</v>
      </c>
    </row>
    <row r="527" spans="1:8" x14ac:dyDescent="0.35">
      <c r="A527" s="22" t="s">
        <v>851</v>
      </c>
      <c r="B527" s="22" t="str">
        <f>"03877"</f>
        <v>03877</v>
      </c>
      <c r="C527" s="22" t="str">
        <f t="shared" si="8"/>
        <v>'3877.HK'</v>
      </c>
      <c r="D527" s="22" t="s">
        <v>1991</v>
      </c>
      <c r="E527" s="22" t="s">
        <v>1498</v>
      </c>
      <c r="F527" s="22">
        <v>7179197493.7799997</v>
      </c>
      <c r="G527" s="22">
        <v>28</v>
      </c>
      <c r="H527" s="22" t="s">
        <v>1992</v>
      </c>
    </row>
    <row r="528" spans="1:8" x14ac:dyDescent="0.35">
      <c r="A528" s="22" t="s">
        <v>851</v>
      </c>
      <c r="B528" s="22" t="str">
        <f>"02362"</f>
        <v>02362</v>
      </c>
      <c r="C528" s="22" t="str">
        <f t="shared" si="8"/>
        <v>'2362.HK'</v>
      </c>
      <c r="D528" s="22" t="s">
        <v>1993</v>
      </c>
      <c r="E528" s="22" t="s">
        <v>1060</v>
      </c>
      <c r="F528" s="22">
        <v>7169050769.0699997</v>
      </c>
      <c r="G528" s="22">
        <v>15</v>
      </c>
      <c r="H528" s="22" t="s">
        <v>1994</v>
      </c>
    </row>
    <row r="529" spans="1:8" x14ac:dyDescent="0.35">
      <c r="A529" s="22" t="s">
        <v>851</v>
      </c>
      <c r="B529" s="22" t="str">
        <f>"02777"</f>
        <v>02777</v>
      </c>
      <c r="C529" s="22" t="str">
        <f t="shared" si="8"/>
        <v>'2777.HK'</v>
      </c>
      <c r="D529" s="22" t="s">
        <v>1995</v>
      </c>
      <c r="E529" s="22" t="s">
        <v>924</v>
      </c>
      <c r="F529" s="22">
        <v>7167021627.04</v>
      </c>
      <c r="G529" s="22">
        <v>226</v>
      </c>
      <c r="H529" s="22" t="s">
        <v>1996</v>
      </c>
    </row>
    <row r="530" spans="1:8" x14ac:dyDescent="0.35">
      <c r="A530" s="22" t="s">
        <v>851</v>
      </c>
      <c r="B530" s="22" t="str">
        <f>"00934"</f>
        <v>00934</v>
      </c>
      <c r="C530" s="22" t="str">
        <f t="shared" si="8"/>
        <v>'0934.HK'</v>
      </c>
      <c r="D530" s="22" t="s">
        <v>1997</v>
      </c>
      <c r="E530" s="22" t="s">
        <v>1294</v>
      </c>
      <c r="F530" s="22">
        <v>7160140800</v>
      </c>
      <c r="G530" s="22">
        <v>201</v>
      </c>
      <c r="H530" s="22" t="s">
        <v>1998</v>
      </c>
    </row>
    <row r="531" spans="1:8" x14ac:dyDescent="0.35">
      <c r="A531" s="22" t="s">
        <v>851</v>
      </c>
      <c r="B531" s="22" t="str">
        <f>"00116"</f>
        <v>00116</v>
      </c>
      <c r="C531" s="22" t="str">
        <f t="shared" si="8"/>
        <v>'0116.HK'</v>
      </c>
      <c r="D531" s="22" t="s">
        <v>1999</v>
      </c>
      <c r="E531" s="22" t="s">
        <v>1002</v>
      </c>
      <c r="F531" s="22">
        <v>7153703040</v>
      </c>
      <c r="G531" s="22">
        <v>161</v>
      </c>
      <c r="H531" s="22" t="s">
        <v>2000</v>
      </c>
    </row>
    <row r="532" spans="1:8" x14ac:dyDescent="0.35">
      <c r="A532" s="22" t="s">
        <v>851</v>
      </c>
      <c r="B532" s="22" t="str">
        <f>"06929"</f>
        <v>06929</v>
      </c>
      <c r="C532" s="22" t="str">
        <f t="shared" si="8"/>
        <v>'6929.HK'</v>
      </c>
      <c r="D532" s="22" t="s">
        <v>2001</v>
      </c>
      <c r="F532" s="22">
        <v>7135377400</v>
      </c>
      <c r="H532" s="22" t="s">
        <v>2002</v>
      </c>
    </row>
    <row r="533" spans="1:8" x14ac:dyDescent="0.35">
      <c r="A533" s="22" t="s">
        <v>851</v>
      </c>
      <c r="B533" s="22" t="str">
        <f>"02232"</f>
        <v>02232</v>
      </c>
      <c r="C533" s="22" t="str">
        <f t="shared" si="8"/>
        <v>'2232.HK'</v>
      </c>
      <c r="D533" s="22" t="s">
        <v>2003</v>
      </c>
      <c r="E533" s="22" t="s">
        <v>889</v>
      </c>
      <c r="F533" s="22">
        <v>7132055000</v>
      </c>
      <c r="G533" s="22">
        <v>19</v>
      </c>
      <c r="H533" s="22" t="s">
        <v>2004</v>
      </c>
    </row>
    <row r="534" spans="1:8" x14ac:dyDescent="0.35">
      <c r="A534" s="22" t="s">
        <v>851</v>
      </c>
      <c r="B534" s="22" t="str">
        <f>"00873"</f>
        <v>00873</v>
      </c>
      <c r="C534" s="22" t="str">
        <f t="shared" si="8"/>
        <v>'0873.HK'</v>
      </c>
      <c r="D534" s="22" t="s">
        <v>2005</v>
      </c>
      <c r="E534" s="22" t="s">
        <v>1104</v>
      </c>
      <c r="F534" s="22">
        <v>7108338240</v>
      </c>
      <c r="G534" s="22">
        <v>48</v>
      </c>
      <c r="H534" s="22" t="s">
        <v>2006</v>
      </c>
    </row>
    <row r="535" spans="1:8" x14ac:dyDescent="0.35">
      <c r="A535" s="22" t="s">
        <v>851</v>
      </c>
      <c r="B535" s="22" t="str">
        <f>"09857"</f>
        <v>09857</v>
      </c>
      <c r="C535" s="22" t="str">
        <f t="shared" si="8"/>
        <v>'9857.HK'</v>
      </c>
      <c r="D535" s="22" t="s">
        <v>2007</v>
      </c>
      <c r="E535" s="22" t="s">
        <v>1185</v>
      </c>
      <c r="F535" s="22">
        <v>7101038931.3000002</v>
      </c>
      <c r="G535" s="22">
        <v>1</v>
      </c>
      <c r="H535" s="22" t="s">
        <v>2008</v>
      </c>
    </row>
    <row r="536" spans="1:8" x14ac:dyDescent="0.35">
      <c r="A536" s="22" t="s">
        <v>851</v>
      </c>
      <c r="B536" s="22" t="str">
        <f>"02696"</f>
        <v>02696</v>
      </c>
      <c r="C536" s="22" t="str">
        <f t="shared" si="8"/>
        <v>'2696.HK'</v>
      </c>
      <c r="D536" s="22" t="s">
        <v>2009</v>
      </c>
      <c r="E536" s="22" t="s">
        <v>941</v>
      </c>
      <c r="F536" s="22">
        <v>7087172883.1199999</v>
      </c>
      <c r="G536" s="22">
        <v>22</v>
      </c>
      <c r="H536" s="22" t="s">
        <v>2010</v>
      </c>
    </row>
    <row r="537" spans="1:8" x14ac:dyDescent="0.35">
      <c r="A537" s="22" t="s">
        <v>851</v>
      </c>
      <c r="B537" s="22" t="str">
        <f>"06855"</f>
        <v>06855</v>
      </c>
      <c r="C537" s="22" t="str">
        <f t="shared" si="8"/>
        <v>'6855.HK'</v>
      </c>
      <c r="D537" s="22" t="s">
        <v>2011</v>
      </c>
      <c r="E537" s="22" t="s">
        <v>941</v>
      </c>
      <c r="F537" s="22">
        <v>7076348606.1000004</v>
      </c>
      <c r="G537" s="22">
        <v>42</v>
      </c>
      <c r="H537" s="22" t="s">
        <v>2012</v>
      </c>
    </row>
    <row r="538" spans="1:8" x14ac:dyDescent="0.35">
      <c r="A538" s="22" t="s">
        <v>851</v>
      </c>
      <c r="B538" s="22" t="str">
        <f>"01788"</f>
        <v>01788</v>
      </c>
      <c r="C538" s="22" t="str">
        <f t="shared" si="8"/>
        <v>'1788.HK'</v>
      </c>
      <c r="D538" s="22" t="s">
        <v>2013</v>
      </c>
      <c r="E538" s="22" t="s">
        <v>1130</v>
      </c>
      <c r="F538" s="22">
        <v>7069956083.1800003</v>
      </c>
      <c r="G538" s="22">
        <v>96</v>
      </c>
      <c r="H538" s="22" t="s">
        <v>2014</v>
      </c>
    </row>
    <row r="539" spans="1:8" x14ac:dyDescent="0.35">
      <c r="A539" s="22" t="s">
        <v>851</v>
      </c>
      <c r="B539" s="22" t="str">
        <f>"03709"</f>
        <v>03709</v>
      </c>
      <c r="C539" s="22" t="str">
        <f t="shared" si="8"/>
        <v>'3709.HK'</v>
      </c>
      <c r="D539" s="22" t="s">
        <v>2015</v>
      </c>
      <c r="E539" s="22" t="s">
        <v>889</v>
      </c>
      <c r="F539" s="22">
        <v>7040501950</v>
      </c>
      <c r="G539" s="22">
        <v>19</v>
      </c>
      <c r="H539" s="22" t="s">
        <v>2016</v>
      </c>
    </row>
    <row r="540" spans="1:8" x14ac:dyDescent="0.35">
      <c r="A540" s="22" t="s">
        <v>851</v>
      </c>
      <c r="B540" s="22" t="str">
        <f>"01475"</f>
        <v>01475</v>
      </c>
      <c r="C540" s="22" t="str">
        <f t="shared" si="8"/>
        <v>'1475.HK'</v>
      </c>
      <c r="D540" s="22" t="s">
        <v>2017</v>
      </c>
      <c r="E540" s="22" t="s">
        <v>1205</v>
      </c>
      <c r="F540" s="22">
        <v>7013606745.6000004</v>
      </c>
      <c r="G540" s="22">
        <v>30</v>
      </c>
      <c r="H540" s="22" t="s">
        <v>2018</v>
      </c>
    </row>
    <row r="541" spans="1:8" x14ac:dyDescent="0.35">
      <c r="A541" s="22" t="s">
        <v>851</v>
      </c>
      <c r="B541" s="22" t="str">
        <f>"00691"</f>
        <v>00691</v>
      </c>
      <c r="C541" s="22" t="str">
        <f t="shared" si="8"/>
        <v>'0691.HK'</v>
      </c>
      <c r="D541" s="22" t="s">
        <v>2019</v>
      </c>
      <c r="E541" s="22" t="s">
        <v>1016</v>
      </c>
      <c r="F541" s="22">
        <v>6966345964.8000002</v>
      </c>
      <c r="G541" s="22">
        <v>24</v>
      </c>
      <c r="H541" s="22" t="s">
        <v>2020</v>
      </c>
    </row>
    <row r="542" spans="1:8" x14ac:dyDescent="0.35">
      <c r="A542" s="22" t="s">
        <v>851</v>
      </c>
      <c r="B542" s="22" t="str">
        <f>"01250"</f>
        <v>01250</v>
      </c>
      <c r="C542" s="22" t="str">
        <f t="shared" si="8"/>
        <v>'1250.HK'</v>
      </c>
      <c r="D542" s="22" t="s">
        <v>2021</v>
      </c>
      <c r="E542" s="22" t="s">
        <v>1127</v>
      </c>
      <c r="F542" s="22">
        <v>6964425050.8479996</v>
      </c>
      <c r="G542" s="22">
        <v>21</v>
      </c>
      <c r="H542" s="22" t="s">
        <v>2022</v>
      </c>
    </row>
    <row r="543" spans="1:8" x14ac:dyDescent="0.35">
      <c r="A543" s="22" t="s">
        <v>851</v>
      </c>
      <c r="B543" s="22" t="str">
        <f>"09699"</f>
        <v>09699</v>
      </c>
      <c r="C543" s="22" t="str">
        <f t="shared" si="8"/>
        <v>'9699.HK'</v>
      </c>
      <c r="D543" s="22" t="s">
        <v>2023</v>
      </c>
      <c r="E543" s="22" t="s">
        <v>853</v>
      </c>
      <c r="F543" s="22">
        <v>6907587031.8000002</v>
      </c>
      <c r="G543" s="22">
        <v>4</v>
      </c>
      <c r="H543" s="22" t="s">
        <v>2024</v>
      </c>
    </row>
    <row r="544" spans="1:8" x14ac:dyDescent="0.35">
      <c r="A544" s="22" t="s">
        <v>851</v>
      </c>
      <c r="B544" s="22" t="str">
        <f>"01361"</f>
        <v>01361</v>
      </c>
      <c r="C544" s="22" t="str">
        <f t="shared" si="8"/>
        <v>'1361.HK'</v>
      </c>
      <c r="D544" s="22" t="s">
        <v>2025</v>
      </c>
      <c r="E544" s="22" t="s">
        <v>1552</v>
      </c>
      <c r="F544" s="22">
        <v>6905790680</v>
      </c>
      <c r="G544" s="22">
        <v>110</v>
      </c>
      <c r="H544" s="22" t="s">
        <v>2026</v>
      </c>
    </row>
    <row r="545" spans="1:8" x14ac:dyDescent="0.35">
      <c r="A545" s="22" t="s">
        <v>851</v>
      </c>
      <c r="B545" s="22" t="str">
        <f>"03380"</f>
        <v>03380</v>
      </c>
      <c r="C545" s="22" t="str">
        <f t="shared" si="8"/>
        <v>'3380.HK'</v>
      </c>
      <c r="D545" s="22" t="s">
        <v>2027</v>
      </c>
      <c r="E545" s="22" t="s">
        <v>924</v>
      </c>
      <c r="F545" s="22">
        <v>6879343014.5</v>
      </c>
      <c r="G545" s="22">
        <v>159</v>
      </c>
      <c r="H545" s="22" t="s">
        <v>2028</v>
      </c>
    </row>
    <row r="546" spans="1:8" x14ac:dyDescent="0.35">
      <c r="A546" s="22" t="s">
        <v>851</v>
      </c>
      <c r="B546" s="22" t="str">
        <f>"00119"</f>
        <v>00119</v>
      </c>
      <c r="C546" s="22" t="str">
        <f t="shared" si="8"/>
        <v>'0119.HK'</v>
      </c>
      <c r="D546" s="22" t="s">
        <v>2029</v>
      </c>
      <c r="E546" s="22" t="s">
        <v>924</v>
      </c>
      <c r="F546" s="22">
        <v>6839917781.2200003</v>
      </c>
      <c r="G546" s="22">
        <v>155</v>
      </c>
      <c r="H546" s="22" t="s">
        <v>2030</v>
      </c>
    </row>
    <row r="547" spans="1:8" x14ac:dyDescent="0.35">
      <c r="A547" s="22" t="s">
        <v>851</v>
      </c>
      <c r="B547" s="22" t="str">
        <f>"09638"</f>
        <v>09638</v>
      </c>
      <c r="C547" s="22" t="str">
        <f t="shared" si="8"/>
        <v>'9638.HK'</v>
      </c>
      <c r="D547" s="22" t="s">
        <v>2031</v>
      </c>
      <c r="E547" s="22" t="s">
        <v>1109</v>
      </c>
      <c r="F547" s="22">
        <v>6837349610.8000002</v>
      </c>
      <c r="G547" s="22">
        <v>1</v>
      </c>
      <c r="H547" s="22" t="s">
        <v>2032</v>
      </c>
    </row>
    <row r="548" spans="1:8" x14ac:dyDescent="0.35">
      <c r="A548" s="22" t="s">
        <v>851</v>
      </c>
      <c r="B548" s="22" t="str">
        <f>"02038"</f>
        <v>02038</v>
      </c>
      <c r="C548" s="22" t="str">
        <f t="shared" si="8"/>
        <v>'2038.HK'</v>
      </c>
      <c r="D548" s="22" t="s">
        <v>2033</v>
      </c>
      <c r="E548" s="22" t="s">
        <v>938</v>
      </c>
      <c r="F548" s="22">
        <v>6827315540</v>
      </c>
      <c r="G548" s="22">
        <v>42</v>
      </c>
      <c r="H548" s="22" t="s">
        <v>2034</v>
      </c>
    </row>
    <row r="549" spans="1:8" x14ac:dyDescent="0.35">
      <c r="A549" s="22" t="s">
        <v>851</v>
      </c>
      <c r="B549" s="22" t="str">
        <f>"02390"</f>
        <v>02390</v>
      </c>
      <c r="C549" s="22" t="str">
        <f t="shared" si="8"/>
        <v>'2390.HK'</v>
      </c>
      <c r="D549" s="22" t="s">
        <v>2035</v>
      </c>
      <c r="E549" s="22" t="s">
        <v>1627</v>
      </c>
      <c r="F549" s="22">
        <v>6825548322.5</v>
      </c>
      <c r="G549" s="22">
        <v>3</v>
      </c>
      <c r="H549" s="22" t="s">
        <v>2036</v>
      </c>
    </row>
    <row r="550" spans="1:8" x14ac:dyDescent="0.35">
      <c r="A550" s="22" t="s">
        <v>851</v>
      </c>
      <c r="B550" s="22" t="str">
        <f>"00797"</f>
        <v>00797</v>
      </c>
      <c r="C550" s="22" t="str">
        <f t="shared" si="8"/>
        <v>'0797.HK'</v>
      </c>
      <c r="D550" s="22" t="s">
        <v>2037</v>
      </c>
      <c r="E550" s="22" t="s">
        <v>910</v>
      </c>
      <c r="F550" s="22">
        <v>6745340000</v>
      </c>
      <c r="G550" s="22">
        <v>3</v>
      </c>
      <c r="H550" s="22" t="s">
        <v>2038</v>
      </c>
    </row>
    <row r="551" spans="1:8" x14ac:dyDescent="0.35">
      <c r="A551" s="22" t="s">
        <v>851</v>
      </c>
      <c r="B551" s="22" t="str">
        <f>"00297"</f>
        <v>00297</v>
      </c>
      <c r="C551" s="22" t="str">
        <f t="shared" si="8"/>
        <v>'0297.HK'</v>
      </c>
      <c r="D551" s="22" t="s">
        <v>2039</v>
      </c>
      <c r="E551" s="22" t="s">
        <v>1903</v>
      </c>
      <c r="F551" s="22">
        <v>6673232946.3500004</v>
      </c>
      <c r="G551" s="22">
        <v>68</v>
      </c>
      <c r="H551" s="22" t="s">
        <v>2040</v>
      </c>
    </row>
    <row r="552" spans="1:8" x14ac:dyDescent="0.35">
      <c r="A552" s="22" t="s">
        <v>851</v>
      </c>
      <c r="B552" s="22" t="str">
        <f>"01238"</f>
        <v>01238</v>
      </c>
      <c r="C552" s="22" t="str">
        <f t="shared" si="8"/>
        <v>'1238.HK'</v>
      </c>
      <c r="D552" s="22" t="s">
        <v>2041</v>
      </c>
      <c r="E552" s="22" t="s">
        <v>924</v>
      </c>
      <c r="F552" s="22">
        <v>6666048830</v>
      </c>
      <c r="G552" s="22">
        <v>129</v>
      </c>
      <c r="H552" s="22" t="s">
        <v>2042</v>
      </c>
    </row>
    <row r="553" spans="1:8" x14ac:dyDescent="0.35">
      <c r="A553" s="22" t="s">
        <v>851</v>
      </c>
      <c r="B553" s="22" t="str">
        <f>"00856"</f>
        <v>00856</v>
      </c>
      <c r="C553" s="22" t="str">
        <f t="shared" si="8"/>
        <v>'0856.HK'</v>
      </c>
      <c r="D553" s="22" t="s">
        <v>2043</v>
      </c>
      <c r="E553" s="22" t="s">
        <v>1202</v>
      </c>
      <c r="F553" s="22">
        <v>6645204430.8400002</v>
      </c>
      <c r="G553" s="22">
        <v>33</v>
      </c>
      <c r="H553" s="22" t="s">
        <v>2044</v>
      </c>
    </row>
    <row r="554" spans="1:8" x14ac:dyDescent="0.35">
      <c r="A554" s="22" t="s">
        <v>851</v>
      </c>
      <c r="B554" s="22" t="str">
        <f>"09996"</f>
        <v>09996</v>
      </c>
      <c r="C554" s="22" t="str">
        <f t="shared" si="8"/>
        <v>'9996.HK'</v>
      </c>
      <c r="D554" s="22" t="s">
        <v>2045</v>
      </c>
      <c r="E554" s="22" t="s">
        <v>1232</v>
      </c>
      <c r="F554" s="22">
        <v>6625109193.8400002</v>
      </c>
      <c r="G554" s="22">
        <v>48</v>
      </c>
      <c r="H554" s="22" t="s">
        <v>2046</v>
      </c>
    </row>
    <row r="555" spans="1:8" x14ac:dyDescent="0.35">
      <c r="A555" s="22" t="s">
        <v>851</v>
      </c>
      <c r="B555" s="22" t="str">
        <f>"01477"</f>
        <v>01477</v>
      </c>
      <c r="C555" s="22" t="str">
        <f t="shared" si="8"/>
        <v>'1477.HK'</v>
      </c>
      <c r="D555" s="22" t="s">
        <v>2047</v>
      </c>
      <c r="E555" s="22" t="s">
        <v>941</v>
      </c>
      <c r="F555" s="22">
        <v>6610305114.4499998</v>
      </c>
      <c r="G555" s="22">
        <v>19</v>
      </c>
      <c r="H555" s="22" t="s">
        <v>2048</v>
      </c>
    </row>
    <row r="556" spans="1:8" x14ac:dyDescent="0.35">
      <c r="A556" s="22" t="s">
        <v>851</v>
      </c>
      <c r="B556" s="22" t="str">
        <f>"08446"</f>
        <v>08446</v>
      </c>
      <c r="C556" s="22" t="str">
        <f t="shared" si="8"/>
        <v>'8446.HK'</v>
      </c>
      <c r="D556" s="22" t="s">
        <v>2049</v>
      </c>
      <c r="E556" s="22" t="s">
        <v>1185</v>
      </c>
      <c r="F556" s="22">
        <v>6600000000</v>
      </c>
      <c r="G556" s="22">
        <v>2</v>
      </c>
      <c r="H556" s="22" t="s">
        <v>2050</v>
      </c>
    </row>
    <row r="557" spans="1:8" x14ac:dyDescent="0.35">
      <c r="A557" s="22" t="s">
        <v>851</v>
      </c>
      <c r="B557" s="22" t="str">
        <f>"02160"</f>
        <v>02160</v>
      </c>
      <c r="C557" s="22" t="str">
        <f t="shared" si="8"/>
        <v>'2160.HK'</v>
      </c>
      <c r="D557" s="22" t="s">
        <v>2051</v>
      </c>
      <c r="E557" s="22" t="s">
        <v>1232</v>
      </c>
      <c r="F557" s="22">
        <v>6596060427.7600002</v>
      </c>
      <c r="G557" s="22">
        <v>29</v>
      </c>
      <c r="H557" s="22" t="s">
        <v>2052</v>
      </c>
    </row>
    <row r="558" spans="1:8" x14ac:dyDescent="0.35">
      <c r="A558" s="22" t="s">
        <v>851</v>
      </c>
      <c r="B558" s="22" t="str">
        <f>"02858"</f>
        <v>02858</v>
      </c>
      <c r="C558" s="22" t="str">
        <f t="shared" si="8"/>
        <v>'2858.HK'</v>
      </c>
      <c r="D558" s="22" t="s">
        <v>2053</v>
      </c>
      <c r="E558" s="22" t="s">
        <v>1498</v>
      </c>
      <c r="F558" s="22">
        <v>6589111742.1199999</v>
      </c>
      <c r="G558" s="22">
        <v>27</v>
      </c>
      <c r="H558" s="22" t="s">
        <v>2054</v>
      </c>
    </row>
    <row r="559" spans="1:8" x14ac:dyDescent="0.35">
      <c r="A559" s="22" t="s">
        <v>851</v>
      </c>
      <c r="B559" s="22" t="str">
        <f>"01310"</f>
        <v>01310</v>
      </c>
      <c r="C559" s="22" t="str">
        <f t="shared" si="8"/>
        <v>'1310.HK'</v>
      </c>
      <c r="D559" s="22" t="s">
        <v>2055</v>
      </c>
      <c r="E559" s="22" t="s">
        <v>865</v>
      </c>
      <c r="F559" s="22">
        <v>6584228767.1199999</v>
      </c>
      <c r="G559" s="22">
        <v>21</v>
      </c>
      <c r="H559" s="22" t="s">
        <v>2056</v>
      </c>
    </row>
    <row r="560" spans="1:8" x14ac:dyDescent="0.35">
      <c r="A560" s="22" t="s">
        <v>851</v>
      </c>
      <c r="B560" s="22" t="str">
        <f>"00811"</f>
        <v>00811</v>
      </c>
      <c r="C560" s="22" t="str">
        <f t="shared" si="8"/>
        <v>'0811.HK'</v>
      </c>
      <c r="D560" s="22" t="s">
        <v>2057</v>
      </c>
      <c r="E560" s="22" t="s">
        <v>1400</v>
      </c>
      <c r="F560" s="22">
        <v>6564034120</v>
      </c>
      <c r="G560" s="22">
        <v>185</v>
      </c>
      <c r="H560" s="22" t="s">
        <v>2058</v>
      </c>
    </row>
    <row r="561" spans="1:8" x14ac:dyDescent="0.35">
      <c r="A561" s="22" t="s">
        <v>851</v>
      </c>
      <c r="B561" s="22" t="str">
        <f>"01860"</f>
        <v>01860</v>
      </c>
      <c r="C561" s="22" t="str">
        <f t="shared" si="8"/>
        <v>'1860.HK'</v>
      </c>
      <c r="D561" s="22" t="s">
        <v>2059</v>
      </c>
      <c r="E561" s="22" t="s">
        <v>1627</v>
      </c>
      <c r="F561" s="22">
        <v>6562846857.6400003</v>
      </c>
      <c r="G561" s="22">
        <v>24</v>
      </c>
      <c r="H561" s="22" t="s">
        <v>2060</v>
      </c>
    </row>
    <row r="562" spans="1:8" x14ac:dyDescent="0.35">
      <c r="A562" s="22" t="s">
        <v>851</v>
      </c>
      <c r="B562" s="22" t="str">
        <f>"01668"</f>
        <v>01668</v>
      </c>
      <c r="C562" s="22" t="str">
        <f t="shared" si="8"/>
        <v>'1668.HK'</v>
      </c>
      <c r="D562" s="22" t="s">
        <v>2061</v>
      </c>
      <c r="E562" s="22" t="s">
        <v>924</v>
      </c>
      <c r="F562" s="22">
        <v>6521878923.3599997</v>
      </c>
      <c r="G562" s="22">
        <v>142</v>
      </c>
      <c r="H562" s="22" t="s">
        <v>2062</v>
      </c>
    </row>
    <row r="563" spans="1:8" x14ac:dyDescent="0.35">
      <c r="A563" s="22" t="s">
        <v>851</v>
      </c>
      <c r="B563" s="22" t="str">
        <f>"01357"</f>
        <v>01357</v>
      </c>
      <c r="C563" s="22" t="str">
        <f t="shared" si="8"/>
        <v>'1357.HK'</v>
      </c>
      <c r="D563" s="22" t="s">
        <v>2063</v>
      </c>
      <c r="E563" s="22" t="s">
        <v>853</v>
      </c>
      <c r="F563" s="22">
        <v>6486588973.1999998</v>
      </c>
      <c r="G563" s="22">
        <v>74</v>
      </c>
      <c r="H563" s="22" t="s">
        <v>2064</v>
      </c>
    </row>
    <row r="564" spans="1:8" x14ac:dyDescent="0.35">
      <c r="A564" s="22" t="s">
        <v>851</v>
      </c>
      <c r="B564" s="22" t="str">
        <f>"00373"</f>
        <v>00373</v>
      </c>
      <c r="C564" s="22" t="str">
        <f t="shared" si="8"/>
        <v>'0373.HK'</v>
      </c>
      <c r="D564" s="22" t="s">
        <v>2065</v>
      </c>
      <c r="E564" s="22" t="s">
        <v>1498</v>
      </c>
      <c r="F564" s="22">
        <v>6465179222.3999996</v>
      </c>
      <c r="G564" s="22">
        <v>19</v>
      </c>
      <c r="H564" s="22" t="s">
        <v>2066</v>
      </c>
    </row>
    <row r="565" spans="1:8" x14ac:dyDescent="0.35">
      <c r="A565" s="22" t="s">
        <v>851</v>
      </c>
      <c r="B565" s="22" t="str">
        <f>"02877"</f>
        <v>02877</v>
      </c>
      <c r="C565" s="22" t="str">
        <f t="shared" si="8"/>
        <v>'2877.HK'</v>
      </c>
      <c r="D565" s="22" t="s">
        <v>2067</v>
      </c>
      <c r="E565" s="22" t="s">
        <v>1349</v>
      </c>
      <c r="F565" s="22">
        <v>6450600000</v>
      </c>
      <c r="G565" s="22">
        <v>132</v>
      </c>
      <c r="H565" s="22" t="s">
        <v>2068</v>
      </c>
    </row>
    <row r="566" spans="1:8" x14ac:dyDescent="0.35">
      <c r="A566" s="22" t="s">
        <v>851</v>
      </c>
      <c r="B566" s="22" t="str">
        <f>"00861"</f>
        <v>00861</v>
      </c>
      <c r="C566" s="22" t="str">
        <f t="shared" si="8"/>
        <v>'0861.HK'</v>
      </c>
      <c r="D566" s="22" t="s">
        <v>2069</v>
      </c>
      <c r="E566" s="22" t="s">
        <v>1202</v>
      </c>
      <c r="F566" s="22">
        <v>6443388436.1000004</v>
      </c>
      <c r="G566" s="22">
        <v>30</v>
      </c>
      <c r="H566" s="22" t="s">
        <v>2070</v>
      </c>
    </row>
    <row r="567" spans="1:8" x14ac:dyDescent="0.35">
      <c r="A567" s="22" t="s">
        <v>851</v>
      </c>
      <c r="B567" s="22" t="str">
        <f>"00095"</f>
        <v>00095</v>
      </c>
      <c r="C567" s="22" t="str">
        <f t="shared" si="8"/>
        <v>'0095.HK'</v>
      </c>
      <c r="D567" s="22" t="s">
        <v>2071</v>
      </c>
      <c r="E567" s="22" t="s">
        <v>924</v>
      </c>
      <c r="F567" s="22">
        <v>6423107008.5</v>
      </c>
      <c r="G567" s="22">
        <v>40</v>
      </c>
      <c r="H567" s="22" t="s">
        <v>2072</v>
      </c>
    </row>
    <row r="568" spans="1:8" x14ac:dyDescent="0.35">
      <c r="A568" s="22" t="s">
        <v>851</v>
      </c>
      <c r="B568" s="22" t="str">
        <f>"87001"</f>
        <v>87001</v>
      </c>
      <c r="C568" s="22" t="str">
        <f t="shared" si="8"/>
        <v>'7001.HK'</v>
      </c>
      <c r="D568" s="22" t="s">
        <v>2073</v>
      </c>
      <c r="F568" s="22">
        <v>6417270050.1599998</v>
      </c>
      <c r="G568" s="22">
        <v>86</v>
      </c>
      <c r="H568" s="22" t="s">
        <v>2074</v>
      </c>
    </row>
    <row r="569" spans="1:8" x14ac:dyDescent="0.35">
      <c r="A569" s="22" t="s">
        <v>851</v>
      </c>
      <c r="B569" s="22" t="str">
        <f>"02158"</f>
        <v>02158</v>
      </c>
      <c r="C569" s="22" t="str">
        <f t="shared" si="8"/>
        <v>'2158.HK'</v>
      </c>
      <c r="D569" s="22" t="s">
        <v>2075</v>
      </c>
      <c r="E569" s="22" t="s">
        <v>1362</v>
      </c>
      <c r="F569" s="22">
        <v>6389332899.1599998</v>
      </c>
      <c r="G569" s="22">
        <v>31</v>
      </c>
      <c r="H569" s="22" t="s">
        <v>2076</v>
      </c>
    </row>
    <row r="570" spans="1:8" x14ac:dyDescent="0.35">
      <c r="A570" s="22" t="s">
        <v>851</v>
      </c>
      <c r="B570" s="22" t="str">
        <f>"00182"</f>
        <v>00182</v>
      </c>
      <c r="C570" s="22" t="str">
        <f t="shared" si="8"/>
        <v>'0182.HK'</v>
      </c>
      <c r="D570" s="22" t="s">
        <v>2077</v>
      </c>
      <c r="E570" s="22" t="s">
        <v>1127</v>
      </c>
      <c r="F570" s="22">
        <v>6372583102.1800003</v>
      </c>
      <c r="G570" s="22">
        <v>31</v>
      </c>
      <c r="H570" s="22" t="s">
        <v>2078</v>
      </c>
    </row>
    <row r="571" spans="1:8" x14ac:dyDescent="0.35">
      <c r="A571" s="22" t="s">
        <v>851</v>
      </c>
      <c r="B571" s="22" t="str">
        <f>"01905"</f>
        <v>01905</v>
      </c>
      <c r="C571" s="22" t="str">
        <f t="shared" si="8"/>
        <v>'1905.HK'</v>
      </c>
      <c r="D571" s="22" t="s">
        <v>2079</v>
      </c>
      <c r="E571" s="22" t="s">
        <v>1498</v>
      </c>
      <c r="F571" s="22">
        <v>6341181000</v>
      </c>
      <c r="G571" s="22">
        <v>10</v>
      </c>
      <c r="H571" s="22" t="s">
        <v>2080</v>
      </c>
    </row>
    <row r="572" spans="1:8" x14ac:dyDescent="0.35">
      <c r="A572" s="22" t="s">
        <v>851</v>
      </c>
      <c r="B572" s="22" t="str">
        <f>"02500"</f>
        <v>02500</v>
      </c>
      <c r="C572" s="22" t="str">
        <f t="shared" si="8"/>
        <v>'2500.HK'</v>
      </c>
      <c r="D572" s="22" t="s">
        <v>2081</v>
      </c>
      <c r="E572" s="22" t="s">
        <v>1232</v>
      </c>
      <c r="F572" s="22">
        <v>6332924321.4799995</v>
      </c>
      <c r="G572" s="22">
        <v>103</v>
      </c>
      <c r="H572" s="22" t="s">
        <v>2082</v>
      </c>
    </row>
    <row r="573" spans="1:8" x14ac:dyDescent="0.35">
      <c r="A573" s="22" t="s">
        <v>851</v>
      </c>
      <c r="B573" s="22" t="str">
        <f>"06826"</f>
        <v>06826</v>
      </c>
      <c r="C573" s="22" t="str">
        <f t="shared" si="8"/>
        <v>'6826.HK'</v>
      </c>
      <c r="D573" s="22" t="s">
        <v>2083</v>
      </c>
      <c r="E573" s="22" t="s">
        <v>941</v>
      </c>
      <c r="F573" s="22">
        <v>6329625500</v>
      </c>
      <c r="G573" s="22">
        <v>71</v>
      </c>
      <c r="H573" s="22" t="s">
        <v>2084</v>
      </c>
    </row>
    <row r="574" spans="1:8" x14ac:dyDescent="0.35">
      <c r="A574" s="22" t="s">
        <v>851</v>
      </c>
      <c r="B574" s="22" t="str">
        <f>"01813"</f>
        <v>01813</v>
      </c>
      <c r="C574" s="22" t="str">
        <f t="shared" si="8"/>
        <v>'1813.HK'</v>
      </c>
      <c r="D574" s="22" t="s">
        <v>2085</v>
      </c>
      <c r="E574" s="22" t="s">
        <v>924</v>
      </c>
      <c r="F574" s="22">
        <v>6324236923.25</v>
      </c>
      <c r="G574" s="22">
        <v>174</v>
      </c>
      <c r="H574" s="22" t="s">
        <v>2086</v>
      </c>
    </row>
    <row r="575" spans="1:8" x14ac:dyDescent="0.35">
      <c r="A575" s="22" t="s">
        <v>851</v>
      </c>
      <c r="B575" s="22" t="str">
        <f>"01890"</f>
        <v>01890</v>
      </c>
      <c r="C575" s="22" t="str">
        <f t="shared" si="8"/>
        <v>'1890.HK'</v>
      </c>
      <c r="D575" s="22" t="s">
        <v>2087</v>
      </c>
      <c r="E575" s="22" t="s">
        <v>1270</v>
      </c>
      <c r="F575" s="22">
        <v>6307728327.71</v>
      </c>
      <c r="G575" s="22">
        <v>60</v>
      </c>
      <c r="H575" s="22" t="s">
        <v>2088</v>
      </c>
    </row>
    <row r="576" spans="1:8" x14ac:dyDescent="0.35">
      <c r="A576" s="22" t="s">
        <v>851</v>
      </c>
      <c r="B576" s="22" t="str">
        <f>"00737"</f>
        <v>00737</v>
      </c>
      <c r="C576" s="22" t="str">
        <f t="shared" si="8"/>
        <v>'0737.HK'</v>
      </c>
      <c r="D576" s="22" t="s">
        <v>2089</v>
      </c>
      <c r="E576" s="22" t="s">
        <v>1367</v>
      </c>
      <c r="F576" s="22">
        <v>6286648177.3199997</v>
      </c>
      <c r="G576" s="22">
        <v>24</v>
      </c>
      <c r="H576" s="22" t="s">
        <v>2090</v>
      </c>
    </row>
    <row r="577" spans="1:8" x14ac:dyDescent="0.35">
      <c r="A577" s="22" t="s">
        <v>851</v>
      </c>
      <c r="B577" s="22" t="str">
        <f>"06069"</f>
        <v>06069</v>
      </c>
      <c r="C577" s="22" t="str">
        <f t="shared" si="8"/>
        <v>'6069.HK'</v>
      </c>
      <c r="D577" s="22" t="s">
        <v>2091</v>
      </c>
      <c r="E577" s="22" t="s">
        <v>1498</v>
      </c>
      <c r="F577" s="22">
        <v>6278061335</v>
      </c>
      <c r="G577" s="22">
        <v>9</v>
      </c>
      <c r="H577" s="22" t="s">
        <v>2092</v>
      </c>
    </row>
    <row r="578" spans="1:8" x14ac:dyDescent="0.35">
      <c r="A578" s="22" t="s">
        <v>851</v>
      </c>
      <c r="B578" s="22" t="str">
        <f>"03309"</f>
        <v>03309</v>
      </c>
      <c r="C578" s="22" t="str">
        <f t="shared" si="8"/>
        <v>'3309.HK'</v>
      </c>
      <c r="D578" s="22" t="s">
        <v>2093</v>
      </c>
      <c r="E578" s="22" t="s">
        <v>1362</v>
      </c>
      <c r="F578" s="22">
        <v>6269466406.5</v>
      </c>
      <c r="G578" s="22">
        <v>83</v>
      </c>
      <c r="H578" s="22" t="s">
        <v>2094</v>
      </c>
    </row>
    <row r="579" spans="1:8" x14ac:dyDescent="0.35">
      <c r="A579" s="22" t="s">
        <v>851</v>
      </c>
      <c r="B579" s="22" t="str">
        <f>"03369"</f>
        <v>03369</v>
      </c>
      <c r="C579" s="22" t="str">
        <f t="shared" ref="C579:C642" si="9">CONCATENATE("'",RIGHT(B579,4),".HK'")</f>
        <v>'3369.HK'</v>
      </c>
      <c r="D579" s="22" t="s">
        <v>2095</v>
      </c>
      <c r="E579" s="22" t="s">
        <v>1047</v>
      </c>
      <c r="F579" s="22">
        <v>6257901440</v>
      </c>
      <c r="G579" s="22">
        <v>115</v>
      </c>
      <c r="H579" s="22" t="s">
        <v>2096</v>
      </c>
    </row>
    <row r="580" spans="1:8" x14ac:dyDescent="0.35">
      <c r="A580" s="22" t="s">
        <v>851</v>
      </c>
      <c r="B580" s="22" t="str">
        <f>"01164"</f>
        <v>01164</v>
      </c>
      <c r="C580" s="22" t="str">
        <f t="shared" si="9"/>
        <v>'1164.HK'</v>
      </c>
      <c r="D580" s="22" t="s">
        <v>2097</v>
      </c>
      <c r="E580" s="22" t="s">
        <v>1060</v>
      </c>
      <c r="F580" s="22">
        <v>6156552942.4499998</v>
      </c>
      <c r="G580" s="22">
        <v>18</v>
      </c>
      <c r="H580" s="22" t="s">
        <v>2098</v>
      </c>
    </row>
    <row r="581" spans="1:8" x14ac:dyDescent="0.35">
      <c r="A581" s="22" t="s">
        <v>851</v>
      </c>
      <c r="B581" s="22" t="str">
        <f>"02279"</f>
        <v>02279</v>
      </c>
      <c r="C581" s="22" t="str">
        <f t="shared" si="9"/>
        <v>'2279.HK'</v>
      </c>
      <c r="D581" s="22" t="s">
        <v>2099</v>
      </c>
      <c r="E581" s="22" t="s">
        <v>1362</v>
      </c>
      <c r="F581" s="22">
        <v>6145757650.5600004</v>
      </c>
      <c r="G581" s="22">
        <v>20</v>
      </c>
      <c r="H581" s="22" t="s">
        <v>2100</v>
      </c>
    </row>
    <row r="582" spans="1:8" x14ac:dyDescent="0.35">
      <c r="A582" s="22" t="s">
        <v>851</v>
      </c>
      <c r="B582" s="22" t="str">
        <f>"01133"</f>
        <v>01133</v>
      </c>
      <c r="C582" s="22" t="str">
        <f t="shared" si="9"/>
        <v>'1133.HK'</v>
      </c>
      <c r="D582" s="22" t="s">
        <v>2101</v>
      </c>
      <c r="E582" s="22" t="s">
        <v>1301</v>
      </c>
      <c r="F582" s="22">
        <v>6143482800</v>
      </c>
      <c r="G582" s="22">
        <v>42</v>
      </c>
      <c r="H582" s="22" t="s">
        <v>2102</v>
      </c>
    </row>
    <row r="583" spans="1:8" x14ac:dyDescent="0.35">
      <c r="A583" s="22" t="s">
        <v>851</v>
      </c>
      <c r="B583" s="22" t="str">
        <f>"02558"</f>
        <v>02558</v>
      </c>
      <c r="C583" s="22" t="str">
        <f t="shared" si="9"/>
        <v>'2558.HK'</v>
      </c>
      <c r="D583" s="22" t="s">
        <v>2103</v>
      </c>
      <c r="E583" s="22" t="s">
        <v>858</v>
      </c>
      <c r="F583" s="22">
        <v>6130582500</v>
      </c>
      <c r="G583" s="22">
        <v>7</v>
      </c>
      <c r="H583" s="22" t="s">
        <v>2104</v>
      </c>
    </row>
    <row r="584" spans="1:8" x14ac:dyDescent="0.35">
      <c r="A584" s="22" t="s">
        <v>851</v>
      </c>
      <c r="B584" s="22" t="str">
        <f>"02192"</f>
        <v>02192</v>
      </c>
      <c r="C584" s="22" t="str">
        <f t="shared" si="9"/>
        <v>'2192.HK'</v>
      </c>
      <c r="D584" s="22" t="s">
        <v>2105</v>
      </c>
      <c r="E584" s="22" t="s">
        <v>1362</v>
      </c>
      <c r="F584" s="22">
        <v>6126151920</v>
      </c>
      <c r="G584" s="22">
        <v>9</v>
      </c>
      <c r="H584" s="22" t="s">
        <v>2106</v>
      </c>
    </row>
    <row r="585" spans="1:8" x14ac:dyDescent="0.35">
      <c r="A585" s="22" t="s">
        <v>851</v>
      </c>
      <c r="B585" s="22" t="str">
        <f>"00440"</f>
        <v>00440</v>
      </c>
      <c r="C585" s="22" t="str">
        <f t="shared" si="9"/>
        <v>'0440.HK'</v>
      </c>
      <c r="D585" s="22" t="s">
        <v>2107</v>
      </c>
      <c r="E585" s="22" t="s">
        <v>858</v>
      </c>
      <c r="F585" s="22">
        <v>6059143896</v>
      </c>
      <c r="G585" s="22">
        <v>75</v>
      </c>
      <c r="H585" s="22" t="s">
        <v>2108</v>
      </c>
    </row>
    <row r="586" spans="1:8" x14ac:dyDescent="0.35">
      <c r="A586" s="22" t="s">
        <v>851</v>
      </c>
      <c r="B586" s="22" t="str">
        <f>"02678"</f>
        <v>02678</v>
      </c>
      <c r="C586" s="22" t="str">
        <f t="shared" si="9"/>
        <v>'2678.HK'</v>
      </c>
      <c r="D586" s="22" t="s">
        <v>2109</v>
      </c>
      <c r="E586" s="22" t="s">
        <v>1914</v>
      </c>
      <c r="F586" s="22">
        <v>6022080000</v>
      </c>
      <c r="G586" s="22">
        <v>86</v>
      </c>
      <c r="H586" s="22" t="s">
        <v>2110</v>
      </c>
    </row>
    <row r="587" spans="1:8" x14ac:dyDescent="0.35">
      <c r="A587" s="22" t="s">
        <v>851</v>
      </c>
      <c r="B587" s="22" t="str">
        <f>"00587"</f>
        <v>00587</v>
      </c>
      <c r="C587" s="22" t="str">
        <f t="shared" si="9"/>
        <v>'0587.HK'</v>
      </c>
      <c r="D587" s="22" t="s">
        <v>2111</v>
      </c>
      <c r="E587" s="22" t="s">
        <v>1301</v>
      </c>
      <c r="F587" s="22">
        <v>6010057044.1099997</v>
      </c>
      <c r="G587" s="22">
        <v>16</v>
      </c>
      <c r="H587" s="22" t="s">
        <v>2112</v>
      </c>
    </row>
    <row r="588" spans="1:8" x14ac:dyDescent="0.35">
      <c r="A588" s="22" t="s">
        <v>851</v>
      </c>
      <c r="B588" s="22" t="str">
        <f>"09658"</f>
        <v>09658</v>
      </c>
      <c r="C588" s="22" t="str">
        <f t="shared" si="9"/>
        <v>'9658.HK'</v>
      </c>
      <c r="D588" s="22" t="s">
        <v>2113</v>
      </c>
      <c r="F588" s="22">
        <v>6007501000</v>
      </c>
      <c r="H588" s="22" t="s">
        <v>2114</v>
      </c>
    </row>
    <row r="589" spans="1:8" x14ac:dyDescent="0.35">
      <c r="A589" s="22" t="s">
        <v>851</v>
      </c>
      <c r="B589" s="22" t="str">
        <f>"01521"</f>
        <v>01521</v>
      </c>
      <c r="C589" s="22" t="str">
        <f t="shared" si="9"/>
        <v>'1521.HK'</v>
      </c>
      <c r="D589" s="22" t="s">
        <v>2115</v>
      </c>
      <c r="E589" s="22" t="s">
        <v>941</v>
      </c>
      <c r="F589" s="22">
        <v>5999217117.1999998</v>
      </c>
      <c r="G589" s="22">
        <v>76</v>
      </c>
      <c r="H589" s="22" t="s">
        <v>2116</v>
      </c>
    </row>
    <row r="590" spans="1:8" x14ac:dyDescent="0.35">
      <c r="A590" s="22" t="s">
        <v>851</v>
      </c>
      <c r="B590" s="22" t="str">
        <f>"01858"</f>
        <v>01858</v>
      </c>
      <c r="C590" s="22" t="str">
        <f t="shared" si="9"/>
        <v>'1858.HK'</v>
      </c>
      <c r="D590" s="22" t="s">
        <v>2117</v>
      </c>
      <c r="E590" s="22" t="s">
        <v>1232</v>
      </c>
      <c r="F590" s="22">
        <v>5994768000</v>
      </c>
      <c r="G590" s="22">
        <v>107</v>
      </c>
      <c r="H590" s="22" t="s">
        <v>2118</v>
      </c>
    </row>
    <row r="591" spans="1:8" x14ac:dyDescent="0.35">
      <c r="A591" s="22" t="s">
        <v>851</v>
      </c>
      <c r="B591" s="22" t="str">
        <f>"03339"</f>
        <v>03339</v>
      </c>
      <c r="C591" s="22" t="str">
        <f t="shared" si="9"/>
        <v>'3339.HK'</v>
      </c>
      <c r="D591" s="22" t="s">
        <v>2119</v>
      </c>
      <c r="E591" s="22" t="s">
        <v>1395</v>
      </c>
      <c r="F591" s="22">
        <v>5992140000</v>
      </c>
      <c r="G591" s="22">
        <v>86</v>
      </c>
      <c r="H591" s="22" t="s">
        <v>2120</v>
      </c>
    </row>
    <row r="592" spans="1:8" x14ac:dyDescent="0.35">
      <c r="A592" s="22" t="s">
        <v>851</v>
      </c>
      <c r="B592" s="22" t="str">
        <f>"01468"</f>
        <v>01468</v>
      </c>
      <c r="C592" s="22" t="str">
        <f t="shared" si="9"/>
        <v>'1468.HK'</v>
      </c>
      <c r="D592" s="22" t="s">
        <v>2121</v>
      </c>
      <c r="E592" s="22" t="s">
        <v>958</v>
      </c>
      <c r="F592" s="22">
        <v>5984920464.1499996</v>
      </c>
      <c r="G592" s="22">
        <v>1</v>
      </c>
      <c r="H592" s="22" t="s">
        <v>2122</v>
      </c>
    </row>
    <row r="593" spans="1:8" x14ac:dyDescent="0.35">
      <c r="A593" s="22" t="s">
        <v>851</v>
      </c>
      <c r="B593" s="22" t="str">
        <f>"00743"</f>
        <v>00743</v>
      </c>
      <c r="C593" s="22" t="str">
        <f t="shared" si="9"/>
        <v>'0743.HK'</v>
      </c>
      <c r="D593" s="22" t="s">
        <v>2123</v>
      </c>
      <c r="E593" s="22" t="s">
        <v>1016</v>
      </c>
      <c r="F593" s="22">
        <v>5969702310</v>
      </c>
      <c r="G593" s="22">
        <v>106</v>
      </c>
      <c r="H593" s="22" t="s">
        <v>2124</v>
      </c>
    </row>
    <row r="594" spans="1:8" x14ac:dyDescent="0.35">
      <c r="A594" s="22" t="s">
        <v>851</v>
      </c>
      <c r="B594" s="22" t="str">
        <f>"06600"</f>
        <v>06600</v>
      </c>
      <c r="C594" s="22" t="str">
        <f t="shared" si="9"/>
        <v>'6600.HK'</v>
      </c>
      <c r="D594" s="22" t="s">
        <v>2125</v>
      </c>
      <c r="E594" s="22" t="s">
        <v>969</v>
      </c>
      <c r="F594" s="22">
        <v>5957201138.1000004</v>
      </c>
      <c r="G594" s="22">
        <v>14</v>
      </c>
      <c r="H594" s="22" t="s">
        <v>2126</v>
      </c>
    </row>
    <row r="595" spans="1:8" x14ac:dyDescent="0.35">
      <c r="A595" s="22" t="s">
        <v>851</v>
      </c>
      <c r="B595" s="22" t="str">
        <f>"00215"</f>
        <v>00215</v>
      </c>
      <c r="C595" s="22" t="str">
        <f t="shared" si="9"/>
        <v>'0215.HK'</v>
      </c>
      <c r="D595" s="22" t="s">
        <v>2127</v>
      </c>
      <c r="E595" s="22" t="s">
        <v>865</v>
      </c>
      <c r="F595" s="22">
        <v>5927488335.8400002</v>
      </c>
      <c r="G595" s="22">
        <v>41</v>
      </c>
      <c r="H595" s="22" t="s">
        <v>2128</v>
      </c>
    </row>
    <row r="596" spans="1:8" x14ac:dyDescent="0.35">
      <c r="A596" s="22" t="s">
        <v>851</v>
      </c>
      <c r="B596" s="22" t="str">
        <f>"02001"</f>
        <v>02001</v>
      </c>
      <c r="C596" s="22" t="str">
        <f t="shared" si="9"/>
        <v>'2001.HK'</v>
      </c>
      <c r="D596" s="22" t="s">
        <v>2129</v>
      </c>
      <c r="E596" s="22" t="s">
        <v>1270</v>
      </c>
      <c r="F596" s="22">
        <v>5921308887.6999998</v>
      </c>
      <c r="G596" s="22">
        <v>105</v>
      </c>
      <c r="H596" s="22" t="s">
        <v>2130</v>
      </c>
    </row>
    <row r="597" spans="1:8" x14ac:dyDescent="0.35">
      <c r="A597" s="22" t="s">
        <v>851</v>
      </c>
      <c r="B597" s="22" t="str">
        <f>"00665"</f>
        <v>00665</v>
      </c>
      <c r="C597" s="22" t="str">
        <f t="shared" si="9"/>
        <v>'0665.HK'</v>
      </c>
      <c r="D597" s="22" t="s">
        <v>2131</v>
      </c>
      <c r="E597" s="22" t="s">
        <v>1130</v>
      </c>
      <c r="F597" s="22">
        <v>5910991598.6599998</v>
      </c>
      <c r="G597" s="22">
        <v>147</v>
      </c>
      <c r="H597" s="22" t="s">
        <v>2132</v>
      </c>
    </row>
    <row r="598" spans="1:8" x14ac:dyDescent="0.35">
      <c r="A598" s="22" t="s">
        <v>851</v>
      </c>
      <c r="B598" s="22" t="str">
        <f>"02686"</f>
        <v>02686</v>
      </c>
      <c r="C598" s="22" t="str">
        <f t="shared" si="9"/>
        <v>'2686.HK'</v>
      </c>
      <c r="D598" s="22" t="s">
        <v>2133</v>
      </c>
      <c r="E598" s="22" t="s">
        <v>883</v>
      </c>
      <c r="F598" s="22">
        <v>5873564722.4099998</v>
      </c>
      <c r="G598" s="22">
        <v>16</v>
      </c>
      <c r="H598" s="22" t="s">
        <v>2134</v>
      </c>
    </row>
    <row r="599" spans="1:8" x14ac:dyDescent="0.35">
      <c r="A599" s="22" t="s">
        <v>851</v>
      </c>
      <c r="B599" s="22" t="str">
        <f>"01176"</f>
        <v>01176</v>
      </c>
      <c r="C599" s="22" t="str">
        <f t="shared" si="9"/>
        <v>'1176.HK'</v>
      </c>
      <c r="D599" s="22" t="s">
        <v>2135</v>
      </c>
      <c r="E599" s="22" t="s">
        <v>924</v>
      </c>
      <c r="F599" s="22">
        <v>5852762529.9300003</v>
      </c>
      <c r="G599" s="22">
        <v>17</v>
      </c>
      <c r="H599" s="22" t="s">
        <v>2136</v>
      </c>
    </row>
    <row r="600" spans="1:8" x14ac:dyDescent="0.35">
      <c r="A600" s="22" t="s">
        <v>851</v>
      </c>
      <c r="B600" s="22" t="str">
        <f>"00086"</f>
        <v>00086</v>
      </c>
      <c r="C600" s="22" t="str">
        <f t="shared" si="9"/>
        <v>'0086.HK'</v>
      </c>
      <c r="D600" s="22" t="s">
        <v>2137</v>
      </c>
      <c r="E600" s="22" t="s">
        <v>1498</v>
      </c>
      <c r="F600" s="22">
        <v>5844115014.21</v>
      </c>
      <c r="G600" s="22">
        <v>78</v>
      </c>
      <c r="H600" s="22" t="s">
        <v>2138</v>
      </c>
    </row>
    <row r="601" spans="1:8" x14ac:dyDescent="0.35">
      <c r="A601" s="22" t="s">
        <v>851</v>
      </c>
      <c r="B601" s="22" t="str">
        <f>"01558"</f>
        <v>01558</v>
      </c>
      <c r="C601" s="22" t="str">
        <f t="shared" si="9"/>
        <v>'1558.HK'</v>
      </c>
      <c r="D601" s="22" t="s">
        <v>2139</v>
      </c>
      <c r="E601" s="22" t="s">
        <v>969</v>
      </c>
      <c r="F601" s="22">
        <v>5807786820</v>
      </c>
      <c r="G601" s="22">
        <v>129</v>
      </c>
      <c r="H601" s="22" t="s">
        <v>2140</v>
      </c>
    </row>
    <row r="602" spans="1:8" x14ac:dyDescent="0.35">
      <c r="A602" s="22" t="s">
        <v>851</v>
      </c>
      <c r="B602" s="22" t="str">
        <f>"00658"</f>
        <v>00658</v>
      </c>
      <c r="C602" s="22" t="str">
        <f t="shared" si="9"/>
        <v>'0658.HK'</v>
      </c>
      <c r="D602" s="22" t="s">
        <v>2141</v>
      </c>
      <c r="E602" s="22" t="s">
        <v>1301</v>
      </c>
      <c r="F602" s="22">
        <v>5805285023.8000002</v>
      </c>
      <c r="G602" s="22">
        <v>33</v>
      </c>
      <c r="H602" s="22" t="s">
        <v>2142</v>
      </c>
    </row>
    <row r="603" spans="1:8" x14ac:dyDescent="0.35">
      <c r="A603" s="22" t="s">
        <v>851</v>
      </c>
      <c r="B603" s="22" t="str">
        <f>"01836"</f>
        <v>01836</v>
      </c>
      <c r="C603" s="22" t="str">
        <f t="shared" si="9"/>
        <v>'1836.HK'</v>
      </c>
      <c r="D603" s="22" t="s">
        <v>2143</v>
      </c>
      <c r="E603" s="22" t="s">
        <v>1552</v>
      </c>
      <c r="F603" s="22">
        <v>5796043050</v>
      </c>
      <c r="G603" s="22">
        <v>18</v>
      </c>
      <c r="H603" s="22" t="s">
        <v>2144</v>
      </c>
    </row>
    <row r="604" spans="1:8" x14ac:dyDescent="0.35">
      <c r="A604" s="22" t="s">
        <v>851</v>
      </c>
      <c r="B604" s="22" t="str">
        <f>"01916"</f>
        <v>01916</v>
      </c>
      <c r="C604" s="22" t="str">
        <f t="shared" si="9"/>
        <v>'1916.HK'</v>
      </c>
      <c r="D604" s="22" t="s">
        <v>2145</v>
      </c>
      <c r="E604" s="22" t="s">
        <v>858</v>
      </c>
      <c r="F604" s="22">
        <v>5783305824.96</v>
      </c>
      <c r="G604" s="22">
        <v>12</v>
      </c>
      <c r="H604" s="22" t="s">
        <v>2146</v>
      </c>
    </row>
    <row r="605" spans="1:8" x14ac:dyDescent="0.35">
      <c r="A605" s="22" t="s">
        <v>851</v>
      </c>
      <c r="B605" s="22" t="str">
        <f>"00028"</f>
        <v>00028</v>
      </c>
      <c r="C605" s="22" t="str">
        <f t="shared" si="9"/>
        <v>'0028.HK'</v>
      </c>
      <c r="D605" s="22" t="s">
        <v>2147</v>
      </c>
      <c r="E605" s="22" t="s">
        <v>924</v>
      </c>
      <c r="F605" s="22">
        <v>5776313794.54</v>
      </c>
      <c r="G605" s="22">
        <v>29</v>
      </c>
      <c r="H605" s="22" t="s">
        <v>2148</v>
      </c>
    </row>
    <row r="606" spans="1:8" x14ac:dyDescent="0.35">
      <c r="A606" s="22" t="s">
        <v>851</v>
      </c>
      <c r="B606" s="22" t="str">
        <f>"02156"</f>
        <v>02156</v>
      </c>
      <c r="C606" s="22" t="str">
        <f t="shared" si="9"/>
        <v>'2156.HK'</v>
      </c>
      <c r="D606" s="22" t="s">
        <v>2149</v>
      </c>
      <c r="E606" s="22" t="s">
        <v>1104</v>
      </c>
      <c r="F606" s="22">
        <v>5772647977.9200001</v>
      </c>
      <c r="G606" s="22">
        <v>8</v>
      </c>
      <c r="H606" s="22" t="s">
        <v>2150</v>
      </c>
    </row>
    <row r="607" spans="1:8" x14ac:dyDescent="0.35">
      <c r="A607" s="22" t="s">
        <v>851</v>
      </c>
      <c r="B607" s="22" t="str">
        <f>"00178"</f>
        <v>00178</v>
      </c>
      <c r="C607" s="22" t="str">
        <f t="shared" si="9"/>
        <v>'0178.HK'</v>
      </c>
      <c r="D607" s="22" t="s">
        <v>2151</v>
      </c>
      <c r="E607" s="22" t="s">
        <v>1002</v>
      </c>
      <c r="F607" s="22">
        <v>5771932391.8800001</v>
      </c>
      <c r="G607" s="22">
        <v>49</v>
      </c>
      <c r="H607" s="22" t="s">
        <v>2152</v>
      </c>
    </row>
    <row r="608" spans="1:8" x14ac:dyDescent="0.35">
      <c r="A608" s="22" t="s">
        <v>851</v>
      </c>
      <c r="B608" s="22" t="str">
        <f>"02616"</f>
        <v>02616</v>
      </c>
      <c r="C608" s="22" t="str">
        <f t="shared" si="9"/>
        <v>'2616.HK'</v>
      </c>
      <c r="D608" s="22" t="s">
        <v>2153</v>
      </c>
      <c r="E608" s="22" t="s">
        <v>941</v>
      </c>
      <c r="F608" s="22">
        <v>5739368472.6899996</v>
      </c>
      <c r="G608" s="22">
        <v>39</v>
      </c>
      <c r="H608" s="22" t="s">
        <v>2154</v>
      </c>
    </row>
    <row r="609" spans="1:8" x14ac:dyDescent="0.35">
      <c r="A609" s="22" t="s">
        <v>851</v>
      </c>
      <c r="B609" s="22" t="str">
        <f>"01952"</f>
        <v>01952</v>
      </c>
      <c r="C609" s="22" t="str">
        <f t="shared" si="9"/>
        <v>'1952.HK'</v>
      </c>
      <c r="D609" s="22" t="s">
        <v>2155</v>
      </c>
      <c r="E609" s="22" t="s">
        <v>941</v>
      </c>
      <c r="F609" s="22">
        <v>5735064034.7399998</v>
      </c>
      <c r="G609" s="22">
        <v>28</v>
      </c>
      <c r="H609" s="22" t="s">
        <v>2156</v>
      </c>
    </row>
    <row r="610" spans="1:8" x14ac:dyDescent="0.35">
      <c r="A610" s="22" t="s">
        <v>851</v>
      </c>
      <c r="B610" s="22" t="str">
        <f>"06626"</f>
        <v>06626</v>
      </c>
      <c r="C610" s="22" t="str">
        <f t="shared" si="9"/>
        <v>'6626.HK'</v>
      </c>
      <c r="D610" s="22" t="s">
        <v>2157</v>
      </c>
      <c r="E610" s="22" t="s">
        <v>1104</v>
      </c>
      <c r="F610" s="22">
        <v>5707613163.75</v>
      </c>
      <c r="G610" s="22">
        <v>16</v>
      </c>
      <c r="H610" s="22" t="s">
        <v>2158</v>
      </c>
    </row>
    <row r="611" spans="1:8" x14ac:dyDescent="0.35">
      <c r="A611" s="22" t="s">
        <v>851</v>
      </c>
      <c r="B611" s="22" t="str">
        <f>"01765"</f>
        <v>01765</v>
      </c>
      <c r="C611" s="22" t="str">
        <f t="shared" si="9"/>
        <v>'1765.HK'</v>
      </c>
      <c r="D611" s="22" t="s">
        <v>2159</v>
      </c>
      <c r="E611" s="22" t="s">
        <v>1270</v>
      </c>
      <c r="F611" s="22">
        <v>5699561001.2600002</v>
      </c>
      <c r="G611" s="22">
        <v>82</v>
      </c>
      <c r="H611" s="22" t="s">
        <v>2160</v>
      </c>
    </row>
    <row r="612" spans="1:8" x14ac:dyDescent="0.35">
      <c r="A612" s="22" t="s">
        <v>851</v>
      </c>
      <c r="B612" s="22" t="str">
        <f>"02148"</f>
        <v>02148</v>
      </c>
      <c r="C612" s="22" t="str">
        <f t="shared" si="9"/>
        <v>'2148.HK'</v>
      </c>
      <c r="D612" s="22" t="s">
        <v>2161</v>
      </c>
      <c r="E612" s="22" t="s">
        <v>953</v>
      </c>
      <c r="F612" s="22">
        <v>5674877824</v>
      </c>
      <c r="G612" s="22">
        <v>14</v>
      </c>
      <c r="H612" s="22" t="s">
        <v>2162</v>
      </c>
    </row>
    <row r="613" spans="1:8" x14ac:dyDescent="0.35">
      <c r="A613" s="22" t="s">
        <v>851</v>
      </c>
      <c r="B613" s="22" t="str">
        <f>"00435"</f>
        <v>00435</v>
      </c>
      <c r="C613" s="22" t="str">
        <f t="shared" si="9"/>
        <v>'0435.HK'</v>
      </c>
      <c r="D613" s="22" t="s">
        <v>2163</v>
      </c>
      <c r="F613" s="22">
        <v>5672672342.3999996</v>
      </c>
      <c r="G613" s="22">
        <v>70</v>
      </c>
      <c r="H613" s="22" t="s">
        <v>2164</v>
      </c>
    </row>
    <row r="614" spans="1:8" x14ac:dyDescent="0.35">
      <c r="A614" s="22" t="s">
        <v>851</v>
      </c>
      <c r="B614" s="22" t="str">
        <f>"01773"</f>
        <v>01773</v>
      </c>
      <c r="C614" s="22" t="str">
        <f t="shared" si="9"/>
        <v>'1773.HK'</v>
      </c>
      <c r="D614" s="22" t="s">
        <v>2165</v>
      </c>
      <c r="E614" s="22" t="s">
        <v>1270</v>
      </c>
      <c r="F614" s="22">
        <v>5665020000</v>
      </c>
      <c r="G614" s="22">
        <v>123</v>
      </c>
      <c r="H614" s="22" t="s">
        <v>2166</v>
      </c>
    </row>
    <row r="615" spans="1:8" x14ac:dyDescent="0.35">
      <c r="A615" s="22" t="s">
        <v>851</v>
      </c>
      <c r="B615" s="22" t="str">
        <f>"00107"</f>
        <v>00107</v>
      </c>
      <c r="C615" s="22" t="str">
        <f t="shared" si="9"/>
        <v>'0107.HK'</v>
      </c>
      <c r="D615" s="22" t="s">
        <v>2167</v>
      </c>
      <c r="E615" s="22" t="s">
        <v>1367</v>
      </c>
      <c r="F615" s="22">
        <v>5626830400</v>
      </c>
      <c r="G615" s="22">
        <v>133</v>
      </c>
      <c r="H615" s="22" t="s">
        <v>2168</v>
      </c>
    </row>
    <row r="616" spans="1:8" x14ac:dyDescent="0.35">
      <c r="A616" s="22" t="s">
        <v>851</v>
      </c>
      <c r="B616" s="22" t="str">
        <f>"00719"</f>
        <v>00719</v>
      </c>
      <c r="C616" s="22" t="str">
        <f t="shared" si="9"/>
        <v>'0719.HK'</v>
      </c>
      <c r="D616" s="22" t="s">
        <v>2169</v>
      </c>
      <c r="E616" s="22" t="s">
        <v>969</v>
      </c>
      <c r="F616" s="22">
        <v>5611476229.3000002</v>
      </c>
      <c r="G616" s="22">
        <v>59</v>
      </c>
      <c r="H616" s="22" t="s">
        <v>2170</v>
      </c>
    </row>
    <row r="617" spans="1:8" x14ac:dyDescent="0.35">
      <c r="A617" s="22" t="s">
        <v>851</v>
      </c>
      <c r="B617" s="22" t="str">
        <f>"06868"</f>
        <v>06868</v>
      </c>
      <c r="C617" s="22" t="str">
        <f t="shared" si="9"/>
        <v>'6868.HK'</v>
      </c>
      <c r="D617" s="22" t="s">
        <v>2171</v>
      </c>
      <c r="E617" s="22" t="s">
        <v>892</v>
      </c>
      <c r="F617" s="22">
        <v>5593238835.1999998</v>
      </c>
      <c r="G617" s="22">
        <v>18</v>
      </c>
      <c r="H617" s="22" t="s">
        <v>2172</v>
      </c>
    </row>
    <row r="618" spans="1:8" x14ac:dyDescent="0.35">
      <c r="A618" s="22" t="s">
        <v>851</v>
      </c>
      <c r="B618" s="22" t="str">
        <f>"00806"</f>
        <v>00806</v>
      </c>
      <c r="C618" s="22" t="str">
        <f t="shared" si="9"/>
        <v>'0806.HK'</v>
      </c>
      <c r="D618" s="22" t="s">
        <v>2173</v>
      </c>
      <c r="E618" s="22" t="s">
        <v>964</v>
      </c>
      <c r="F618" s="22">
        <v>5571464984.5500002</v>
      </c>
      <c r="G618" s="22">
        <v>122</v>
      </c>
      <c r="H618" s="22" t="s">
        <v>2174</v>
      </c>
    </row>
    <row r="619" spans="1:8" x14ac:dyDescent="0.35">
      <c r="A619" s="22" t="s">
        <v>851</v>
      </c>
      <c r="B619" s="22" t="str">
        <f>"00746"</f>
        <v>00746</v>
      </c>
      <c r="C619" s="22" t="str">
        <f t="shared" si="9"/>
        <v>'0746.HK'</v>
      </c>
      <c r="D619" s="22" t="s">
        <v>2175</v>
      </c>
      <c r="E619" s="22" t="s">
        <v>1600</v>
      </c>
      <c r="F619" s="22">
        <v>5568750000</v>
      </c>
      <c r="G619" s="22">
        <v>26</v>
      </c>
      <c r="H619" s="22" t="s">
        <v>2176</v>
      </c>
    </row>
    <row r="620" spans="1:8" x14ac:dyDescent="0.35">
      <c r="A620" s="22" t="s">
        <v>851</v>
      </c>
      <c r="B620" s="22" t="str">
        <f>"06639"</f>
        <v>06639</v>
      </c>
      <c r="C620" s="22" t="str">
        <f t="shared" si="9"/>
        <v>'6639.HK'</v>
      </c>
      <c r="D620" s="22" t="s">
        <v>2177</v>
      </c>
      <c r="E620" s="22" t="s">
        <v>1362</v>
      </c>
      <c r="F620" s="22">
        <v>5530939444.5</v>
      </c>
      <c r="G620" s="22">
        <v>8</v>
      </c>
      <c r="H620" s="22" t="s">
        <v>2178</v>
      </c>
    </row>
    <row r="621" spans="1:8" x14ac:dyDescent="0.35">
      <c r="A621" s="22" t="s">
        <v>851</v>
      </c>
      <c r="B621" s="22" t="str">
        <f>"03316"</f>
        <v>03316</v>
      </c>
      <c r="C621" s="22" t="str">
        <f t="shared" si="9"/>
        <v>'3316.HK'</v>
      </c>
      <c r="D621" s="22" t="s">
        <v>2179</v>
      </c>
      <c r="E621" s="22" t="s">
        <v>1104</v>
      </c>
      <c r="F621" s="22">
        <v>5528140000</v>
      </c>
      <c r="G621" s="22">
        <v>88</v>
      </c>
      <c r="H621" s="22" t="s">
        <v>2180</v>
      </c>
    </row>
    <row r="622" spans="1:8" x14ac:dyDescent="0.35">
      <c r="A622" s="22" t="s">
        <v>851</v>
      </c>
      <c r="B622" s="22" t="str">
        <f>"80737"</f>
        <v>80737</v>
      </c>
      <c r="C622" s="22" t="str">
        <f t="shared" si="9"/>
        <v>'0737.HK'</v>
      </c>
      <c r="D622" s="22" t="s">
        <v>2181</v>
      </c>
      <c r="E622" s="22" t="s">
        <v>1367</v>
      </c>
      <c r="F622" s="22">
        <v>5485408200</v>
      </c>
      <c r="G622" s="22">
        <v>0</v>
      </c>
      <c r="H622" s="22" t="s">
        <v>2182</v>
      </c>
    </row>
    <row r="623" spans="1:8" x14ac:dyDescent="0.35">
      <c r="A623" s="22" t="s">
        <v>851</v>
      </c>
      <c r="B623" s="22" t="str">
        <f>"02137"</f>
        <v>02137</v>
      </c>
      <c r="C623" s="22" t="str">
        <f t="shared" si="9"/>
        <v>'2137.HK'</v>
      </c>
      <c r="D623" s="22" t="s">
        <v>2183</v>
      </c>
      <c r="E623" s="22" t="s">
        <v>941</v>
      </c>
      <c r="F623" s="22">
        <v>5459772418.2200003</v>
      </c>
      <c r="G623" s="22">
        <v>15</v>
      </c>
      <c r="H623" s="22" t="s">
        <v>2184</v>
      </c>
    </row>
    <row r="624" spans="1:8" x14ac:dyDescent="0.35">
      <c r="A624" s="22" t="s">
        <v>851</v>
      </c>
      <c r="B624" s="22" t="str">
        <f>"09956"</f>
        <v>09956</v>
      </c>
      <c r="C624" s="22" t="str">
        <f t="shared" si="9"/>
        <v>'9956.HK'</v>
      </c>
      <c r="D624" s="22" t="s">
        <v>2185</v>
      </c>
      <c r="E624" s="22" t="s">
        <v>974</v>
      </c>
      <c r="F624" s="22">
        <v>5440993674.4799995</v>
      </c>
      <c r="G624" s="22">
        <v>2</v>
      </c>
      <c r="H624" s="22" t="s">
        <v>2186</v>
      </c>
    </row>
    <row r="625" spans="1:8" x14ac:dyDescent="0.35">
      <c r="A625" s="22" t="s">
        <v>851</v>
      </c>
      <c r="B625" s="22" t="str">
        <f>"01119"</f>
        <v>01119</v>
      </c>
      <c r="C625" s="22" t="str">
        <f t="shared" si="9"/>
        <v>'1119.HK'</v>
      </c>
      <c r="D625" s="22" t="s">
        <v>2187</v>
      </c>
      <c r="E625" s="22" t="s">
        <v>910</v>
      </c>
      <c r="F625" s="22">
        <v>5433643388.25</v>
      </c>
      <c r="G625" s="22">
        <v>18</v>
      </c>
      <c r="H625" s="22" t="s">
        <v>2188</v>
      </c>
    </row>
    <row r="626" spans="1:8" x14ac:dyDescent="0.35">
      <c r="A626" s="22" t="s">
        <v>851</v>
      </c>
      <c r="B626" s="22" t="str">
        <f>"01108"</f>
        <v>01108</v>
      </c>
      <c r="C626" s="22" t="str">
        <f t="shared" si="9"/>
        <v>'1108.HK'</v>
      </c>
      <c r="D626" s="22" t="s">
        <v>2189</v>
      </c>
      <c r="E626" s="22" t="s">
        <v>1224</v>
      </c>
      <c r="F626" s="22">
        <v>5397842690.6800003</v>
      </c>
      <c r="G626" s="22">
        <v>42</v>
      </c>
      <c r="H626" s="22" t="s">
        <v>2190</v>
      </c>
    </row>
    <row r="627" spans="1:8" x14ac:dyDescent="0.35">
      <c r="A627" s="22" t="s">
        <v>851</v>
      </c>
      <c r="B627" s="22" t="str">
        <f>"00581"</f>
        <v>00581</v>
      </c>
      <c r="C627" s="22" t="str">
        <f t="shared" si="9"/>
        <v>'0581.HK'</v>
      </c>
      <c r="D627" s="22" t="s">
        <v>2191</v>
      </c>
      <c r="E627" s="22" t="s">
        <v>1579</v>
      </c>
      <c r="F627" s="22">
        <v>5397725050</v>
      </c>
      <c r="G627" s="22">
        <v>116</v>
      </c>
      <c r="H627" s="22" t="s">
        <v>2192</v>
      </c>
    </row>
    <row r="628" spans="1:8" x14ac:dyDescent="0.35">
      <c r="A628" s="22" t="s">
        <v>851</v>
      </c>
      <c r="B628" s="22" t="str">
        <f>"06669"</f>
        <v>06669</v>
      </c>
      <c r="C628" s="22" t="str">
        <f t="shared" si="9"/>
        <v>'6669.HK'</v>
      </c>
      <c r="D628" s="22" t="s">
        <v>2193</v>
      </c>
      <c r="E628" s="22" t="s">
        <v>1232</v>
      </c>
      <c r="F628" s="22">
        <v>5390293741.1999998</v>
      </c>
      <c r="G628" s="22">
        <v>14</v>
      </c>
      <c r="H628" s="22" t="s">
        <v>2194</v>
      </c>
    </row>
    <row r="629" spans="1:8" x14ac:dyDescent="0.35">
      <c r="A629" s="22" t="s">
        <v>851</v>
      </c>
      <c r="B629" s="22" t="str">
        <f>"01942"</f>
        <v>01942</v>
      </c>
      <c r="C629" s="22" t="str">
        <f t="shared" si="9"/>
        <v>'1942.HK'</v>
      </c>
      <c r="D629" s="22" t="s">
        <v>2195</v>
      </c>
      <c r="E629" s="22" t="s">
        <v>1002</v>
      </c>
      <c r="F629" s="22">
        <v>5384945316.9499998</v>
      </c>
      <c r="G629" s="22">
        <v>4</v>
      </c>
      <c r="H629" s="22" t="s">
        <v>2196</v>
      </c>
    </row>
    <row r="630" spans="1:8" x14ac:dyDescent="0.35">
      <c r="A630" s="22" t="s">
        <v>851</v>
      </c>
      <c r="B630" s="22" t="str">
        <f>"06608"</f>
        <v>06608</v>
      </c>
      <c r="C630" s="22" t="str">
        <f t="shared" si="9"/>
        <v>'6608.HK'</v>
      </c>
      <c r="D630" s="22" t="s">
        <v>2197</v>
      </c>
      <c r="E630" s="22" t="s">
        <v>1202</v>
      </c>
      <c r="F630" s="22">
        <v>5363137905.4399996</v>
      </c>
      <c r="G630" s="22">
        <v>16</v>
      </c>
      <c r="H630" s="22" t="s">
        <v>2198</v>
      </c>
    </row>
    <row r="631" spans="1:8" x14ac:dyDescent="0.35">
      <c r="A631" s="22" t="s">
        <v>851</v>
      </c>
      <c r="B631" s="22" t="str">
        <f>"01230"</f>
        <v>01230</v>
      </c>
      <c r="C631" s="22" t="str">
        <f t="shared" si="9"/>
        <v>'1230.HK'</v>
      </c>
      <c r="D631" s="22" t="s">
        <v>2199</v>
      </c>
      <c r="E631" s="22" t="s">
        <v>1019</v>
      </c>
      <c r="F631" s="22">
        <v>5362483134.4799995</v>
      </c>
      <c r="G631" s="22">
        <v>25</v>
      </c>
      <c r="H631" s="22" t="s">
        <v>2200</v>
      </c>
    </row>
    <row r="632" spans="1:8" x14ac:dyDescent="0.35">
      <c r="A632" s="22" t="s">
        <v>851</v>
      </c>
      <c r="B632" s="22" t="str">
        <f>"01375"</f>
        <v>01375</v>
      </c>
      <c r="C632" s="22" t="str">
        <f t="shared" si="9"/>
        <v>'1375.HK'</v>
      </c>
      <c r="D632" s="22" t="s">
        <v>2201</v>
      </c>
      <c r="E632" s="22" t="s">
        <v>1130</v>
      </c>
      <c r="F632" s="22">
        <v>5339317405</v>
      </c>
      <c r="G632" s="22">
        <v>57</v>
      </c>
      <c r="H632" s="22" t="s">
        <v>2202</v>
      </c>
    </row>
    <row r="633" spans="1:8" x14ac:dyDescent="0.35">
      <c r="A633" s="22" t="s">
        <v>851</v>
      </c>
      <c r="B633" s="22" t="str">
        <f>"00315"</f>
        <v>00315</v>
      </c>
      <c r="C633" s="22" t="str">
        <f t="shared" si="9"/>
        <v>'0315.HK'</v>
      </c>
      <c r="D633" s="22" t="s">
        <v>2203</v>
      </c>
      <c r="E633" s="22" t="s">
        <v>865</v>
      </c>
      <c r="F633" s="22">
        <v>5316322730.8100004</v>
      </c>
      <c r="G633" s="22">
        <v>34</v>
      </c>
      <c r="H633" s="22" t="s">
        <v>2204</v>
      </c>
    </row>
    <row r="634" spans="1:8" x14ac:dyDescent="0.35">
      <c r="A634" s="22" t="s">
        <v>851</v>
      </c>
      <c r="B634" s="22" t="str">
        <f>"00062"</f>
        <v>00062</v>
      </c>
      <c r="C634" s="22" t="str">
        <f t="shared" si="9"/>
        <v>'0062.HK'</v>
      </c>
      <c r="D634" s="22" t="s">
        <v>2205</v>
      </c>
      <c r="E634" s="22" t="s">
        <v>948</v>
      </c>
      <c r="F634" s="22">
        <v>5300331237</v>
      </c>
      <c r="G634" s="22">
        <v>23</v>
      </c>
      <c r="H634" s="22" t="s">
        <v>2206</v>
      </c>
    </row>
    <row r="635" spans="1:8" x14ac:dyDescent="0.35">
      <c r="A635" s="22" t="s">
        <v>851</v>
      </c>
      <c r="B635" s="22" t="str">
        <f>"02068"</f>
        <v>02068</v>
      </c>
      <c r="C635" s="22" t="str">
        <f t="shared" si="9"/>
        <v>'2068.HK'</v>
      </c>
      <c r="D635" s="22" t="s">
        <v>2207</v>
      </c>
      <c r="E635" s="22" t="s">
        <v>1078</v>
      </c>
      <c r="F635" s="22">
        <v>5296729333.9300003</v>
      </c>
      <c r="G635" s="22">
        <v>32</v>
      </c>
      <c r="H635" s="22" t="s">
        <v>2208</v>
      </c>
    </row>
    <row r="636" spans="1:8" x14ac:dyDescent="0.35">
      <c r="A636" s="22" t="s">
        <v>851</v>
      </c>
      <c r="B636" s="22" t="str">
        <f>"01622"</f>
        <v>01622</v>
      </c>
      <c r="C636" s="22" t="str">
        <f t="shared" si="9"/>
        <v>'1622.HK'</v>
      </c>
      <c r="D636" s="22" t="s">
        <v>2209</v>
      </c>
      <c r="E636" s="22" t="s">
        <v>924</v>
      </c>
      <c r="F636" s="22">
        <v>5291897889.7799997</v>
      </c>
      <c r="G636" s="22">
        <v>42</v>
      </c>
      <c r="H636" s="22" t="s">
        <v>2210</v>
      </c>
    </row>
    <row r="637" spans="1:8" x14ac:dyDescent="0.35">
      <c r="A637" s="22" t="s">
        <v>851</v>
      </c>
      <c r="B637" s="22" t="str">
        <f>"00051"</f>
        <v>00051</v>
      </c>
      <c r="C637" s="22" t="str">
        <f t="shared" si="9"/>
        <v>'0051.HK'</v>
      </c>
      <c r="D637" s="22" t="s">
        <v>2211</v>
      </c>
      <c r="E637" s="22" t="s">
        <v>924</v>
      </c>
      <c r="F637" s="22">
        <v>5280187500</v>
      </c>
      <c r="G637" s="22">
        <v>16</v>
      </c>
      <c r="H637" s="22" t="s">
        <v>2212</v>
      </c>
    </row>
    <row r="638" spans="1:8" x14ac:dyDescent="0.35">
      <c r="A638" s="22" t="s">
        <v>851</v>
      </c>
      <c r="B638" s="22" t="str">
        <f>"01576"</f>
        <v>01576</v>
      </c>
      <c r="C638" s="22" t="str">
        <f t="shared" si="9"/>
        <v>'1576.HK'</v>
      </c>
      <c r="D638" s="22" t="s">
        <v>2213</v>
      </c>
      <c r="E638" s="22" t="s">
        <v>1367</v>
      </c>
      <c r="F638" s="22">
        <v>5260000000</v>
      </c>
      <c r="G638" s="22">
        <v>24</v>
      </c>
      <c r="H638" s="22" t="s">
        <v>2214</v>
      </c>
    </row>
    <row r="639" spans="1:8" x14ac:dyDescent="0.35">
      <c r="A639" s="22" t="s">
        <v>851</v>
      </c>
      <c r="B639" s="22" t="str">
        <f>"01830"</f>
        <v>01830</v>
      </c>
      <c r="C639" s="22" t="str">
        <f t="shared" si="9"/>
        <v>'1830.HK'</v>
      </c>
      <c r="D639" s="22" t="s">
        <v>2215</v>
      </c>
      <c r="E639" s="22" t="s">
        <v>1362</v>
      </c>
      <c r="F639" s="22">
        <v>5258593702.7799997</v>
      </c>
      <c r="G639" s="22">
        <v>131</v>
      </c>
      <c r="H639" s="22" t="s">
        <v>2216</v>
      </c>
    </row>
    <row r="640" spans="1:8" x14ac:dyDescent="0.35">
      <c r="A640" s="22" t="s">
        <v>851</v>
      </c>
      <c r="B640" s="22" t="str">
        <f>"00242"</f>
        <v>00242</v>
      </c>
      <c r="C640" s="22" t="str">
        <f t="shared" si="9"/>
        <v>'0242.HK'</v>
      </c>
      <c r="D640" s="22" t="s">
        <v>2217</v>
      </c>
      <c r="E640" s="22" t="s">
        <v>958</v>
      </c>
      <c r="F640" s="22">
        <v>5255460825.8999996</v>
      </c>
      <c r="G640" s="22">
        <v>46</v>
      </c>
      <c r="H640" s="22" t="s">
        <v>2218</v>
      </c>
    </row>
    <row r="641" spans="1:8" x14ac:dyDescent="0.35">
      <c r="A641" s="22" t="s">
        <v>851</v>
      </c>
      <c r="B641" s="22" t="str">
        <f>"00256"</f>
        <v>00256</v>
      </c>
      <c r="C641" s="22" t="str">
        <f t="shared" si="9"/>
        <v>'0256.HK'</v>
      </c>
      <c r="D641" s="22" t="s">
        <v>2219</v>
      </c>
      <c r="E641" s="22" t="s">
        <v>2220</v>
      </c>
      <c r="F641" s="22">
        <v>5222265847.1999998</v>
      </c>
      <c r="G641" s="22">
        <v>14</v>
      </c>
      <c r="H641" s="22" t="s">
        <v>2221</v>
      </c>
    </row>
    <row r="642" spans="1:8" x14ac:dyDescent="0.35">
      <c r="A642" s="22" t="s">
        <v>851</v>
      </c>
      <c r="B642" s="22" t="str">
        <f>"01478"</f>
        <v>01478</v>
      </c>
      <c r="C642" s="22" t="str">
        <f t="shared" si="9"/>
        <v>'1478.HK'</v>
      </c>
      <c r="D642" s="22" t="s">
        <v>2222</v>
      </c>
      <c r="E642" s="22" t="s">
        <v>1075</v>
      </c>
      <c r="F642" s="22">
        <v>5200123905.25</v>
      </c>
      <c r="G642" s="22">
        <v>70</v>
      </c>
      <c r="H642" s="22" t="s">
        <v>2223</v>
      </c>
    </row>
    <row r="643" spans="1:8" x14ac:dyDescent="0.35">
      <c r="A643" s="22" t="s">
        <v>851</v>
      </c>
      <c r="B643" s="22" t="str">
        <f>"01183"</f>
        <v>01183</v>
      </c>
      <c r="C643" s="22" t="str">
        <f t="shared" ref="C643:C706" si="10">CONCATENATE("'",RIGHT(B643,4),".HK'")</f>
        <v>'1183.HK'</v>
      </c>
      <c r="D643" s="22" t="s">
        <v>2224</v>
      </c>
      <c r="E643" s="22" t="s">
        <v>1634</v>
      </c>
      <c r="F643" s="22">
        <v>5194924507.5</v>
      </c>
      <c r="G643" s="22">
        <v>3</v>
      </c>
      <c r="H643" s="22" t="s">
        <v>2225</v>
      </c>
    </row>
    <row r="644" spans="1:8" x14ac:dyDescent="0.35">
      <c r="A644" s="22" t="s">
        <v>851</v>
      </c>
      <c r="B644" s="22" t="str">
        <f>"01672"</f>
        <v>01672</v>
      </c>
      <c r="C644" s="22" t="str">
        <f t="shared" si="10"/>
        <v>'1672.HK'</v>
      </c>
      <c r="D644" s="22" t="s">
        <v>2226</v>
      </c>
      <c r="E644" s="22" t="s">
        <v>941</v>
      </c>
      <c r="F644" s="22">
        <v>5174757840</v>
      </c>
      <c r="G644" s="22">
        <v>31</v>
      </c>
      <c r="H644" s="22" t="s">
        <v>2227</v>
      </c>
    </row>
    <row r="645" spans="1:8" x14ac:dyDescent="0.35">
      <c r="A645" s="22" t="s">
        <v>851</v>
      </c>
      <c r="B645" s="22" t="str">
        <f>"01198"</f>
        <v>01198</v>
      </c>
      <c r="C645" s="22" t="str">
        <f t="shared" si="10"/>
        <v>'1198.HK'</v>
      </c>
      <c r="D645" s="22" t="s">
        <v>2228</v>
      </c>
      <c r="E645" s="22" t="s">
        <v>1429</v>
      </c>
      <c r="F645" s="22">
        <v>5171137038.7399998</v>
      </c>
      <c r="G645" s="22">
        <v>15</v>
      </c>
      <c r="H645" s="22" t="s">
        <v>2229</v>
      </c>
    </row>
    <row r="646" spans="1:8" x14ac:dyDescent="0.35">
      <c r="A646" s="22" t="s">
        <v>851</v>
      </c>
      <c r="B646" s="22" t="str">
        <f>"00686"</f>
        <v>00686</v>
      </c>
      <c r="C646" s="22" t="str">
        <f t="shared" si="10"/>
        <v>'0686.HK'</v>
      </c>
      <c r="D646" s="22" t="s">
        <v>2230</v>
      </c>
      <c r="E646" s="22" t="s">
        <v>1127</v>
      </c>
      <c r="F646" s="22">
        <v>5136000190.9280005</v>
      </c>
      <c r="G646" s="22">
        <v>17</v>
      </c>
      <c r="H646" s="22" t="s">
        <v>2231</v>
      </c>
    </row>
    <row r="647" spans="1:8" x14ac:dyDescent="0.35">
      <c r="A647" s="22" t="s">
        <v>851</v>
      </c>
      <c r="B647" s="22" t="str">
        <f>"01065"</f>
        <v>01065</v>
      </c>
      <c r="C647" s="22" t="str">
        <f t="shared" si="10"/>
        <v>'1065.HK'</v>
      </c>
      <c r="D647" s="22" t="s">
        <v>2232</v>
      </c>
      <c r="E647" s="22" t="s">
        <v>1255</v>
      </c>
      <c r="F647" s="22">
        <v>5135267137.9499998</v>
      </c>
      <c r="G647" s="22">
        <v>58</v>
      </c>
      <c r="H647" s="22" t="s">
        <v>2233</v>
      </c>
    </row>
    <row r="648" spans="1:8" x14ac:dyDescent="0.35">
      <c r="A648" s="22" t="s">
        <v>851</v>
      </c>
      <c r="B648" s="22" t="str">
        <f>"02257"</f>
        <v>02257</v>
      </c>
      <c r="C648" s="22" t="str">
        <f t="shared" si="10"/>
        <v>'2257.HK'</v>
      </c>
      <c r="D648" s="22" t="s">
        <v>2234</v>
      </c>
      <c r="E648" s="22" t="s">
        <v>941</v>
      </c>
      <c r="F648" s="22">
        <v>5093328672</v>
      </c>
      <c r="G648" s="22">
        <v>2</v>
      </c>
      <c r="H648" s="22" t="s">
        <v>2235</v>
      </c>
    </row>
    <row r="649" spans="1:8" x14ac:dyDescent="0.35">
      <c r="A649" s="22" t="s">
        <v>851</v>
      </c>
      <c r="B649" s="22" t="str">
        <f>"00035"</f>
        <v>00035</v>
      </c>
      <c r="C649" s="22" t="str">
        <f t="shared" si="10"/>
        <v>'0035.HK'</v>
      </c>
      <c r="D649" s="22" t="s">
        <v>2236</v>
      </c>
      <c r="E649" s="22" t="s">
        <v>924</v>
      </c>
      <c r="F649" s="22">
        <v>5054608175.6000004</v>
      </c>
      <c r="G649" s="22">
        <v>43</v>
      </c>
      <c r="H649" s="22" t="s">
        <v>2237</v>
      </c>
    </row>
    <row r="650" spans="1:8" x14ac:dyDescent="0.35">
      <c r="A650" s="22" t="s">
        <v>851</v>
      </c>
      <c r="B650" s="22" t="str">
        <f>"01137"</f>
        <v>01137</v>
      </c>
      <c r="C650" s="22" t="str">
        <f t="shared" si="10"/>
        <v>'1137.HK'</v>
      </c>
      <c r="D650" s="22" t="s">
        <v>2238</v>
      </c>
      <c r="E650" s="22" t="s">
        <v>853</v>
      </c>
      <c r="F650" s="22">
        <v>5048350481.71</v>
      </c>
      <c r="G650" s="22">
        <v>18</v>
      </c>
      <c r="H650" s="22" t="s">
        <v>2239</v>
      </c>
    </row>
    <row r="651" spans="1:8" x14ac:dyDescent="0.35">
      <c r="A651" s="22" t="s">
        <v>851</v>
      </c>
      <c r="B651" s="22" t="str">
        <f>"02098"</f>
        <v>02098</v>
      </c>
      <c r="C651" s="22" t="str">
        <f t="shared" si="10"/>
        <v>'2098.HK'</v>
      </c>
      <c r="D651" s="22" t="s">
        <v>2240</v>
      </c>
      <c r="E651" s="22" t="s">
        <v>1086</v>
      </c>
      <c r="F651" s="22">
        <v>5021799849</v>
      </c>
      <c r="G651" s="22">
        <v>23</v>
      </c>
      <c r="H651" s="22" t="s">
        <v>2241</v>
      </c>
    </row>
    <row r="652" spans="1:8" x14ac:dyDescent="0.35">
      <c r="A652" s="22" t="s">
        <v>851</v>
      </c>
      <c r="B652" s="22" t="str">
        <f>"00302"</f>
        <v>00302</v>
      </c>
      <c r="C652" s="22" t="str">
        <f t="shared" si="10"/>
        <v>'0302.HK'</v>
      </c>
      <c r="D652" s="22" t="s">
        <v>2242</v>
      </c>
      <c r="E652" s="22" t="s">
        <v>910</v>
      </c>
      <c r="F652" s="22">
        <v>4982490000</v>
      </c>
      <c r="G652" s="22">
        <v>39</v>
      </c>
      <c r="H652" s="22" t="s">
        <v>2243</v>
      </c>
    </row>
    <row r="653" spans="1:8" x14ac:dyDescent="0.35">
      <c r="A653" s="22" t="s">
        <v>851</v>
      </c>
      <c r="B653" s="22" t="str">
        <f>"01277"</f>
        <v>01277</v>
      </c>
      <c r="C653" s="22" t="str">
        <f t="shared" si="10"/>
        <v>'1277.HK'</v>
      </c>
      <c r="D653" s="22" t="s">
        <v>2244</v>
      </c>
      <c r="E653" s="22" t="s">
        <v>904</v>
      </c>
      <c r="F653" s="22">
        <v>4973700000</v>
      </c>
      <c r="G653" s="22">
        <v>22</v>
      </c>
      <c r="H653" s="22" t="s">
        <v>2245</v>
      </c>
    </row>
    <row r="654" spans="1:8" x14ac:dyDescent="0.35">
      <c r="A654" s="22" t="s">
        <v>851</v>
      </c>
      <c r="B654" s="22" t="str">
        <f>"02233"</f>
        <v>02233</v>
      </c>
      <c r="C654" s="22" t="str">
        <f t="shared" si="10"/>
        <v>'2233.HK'</v>
      </c>
      <c r="D654" s="22" t="s">
        <v>2246</v>
      </c>
      <c r="E654" s="22" t="s">
        <v>1016</v>
      </c>
      <c r="F654" s="22">
        <v>4949383366.1999998</v>
      </c>
      <c r="G654" s="22">
        <v>152</v>
      </c>
      <c r="H654" s="22" t="s">
        <v>2247</v>
      </c>
    </row>
    <row r="655" spans="1:8" x14ac:dyDescent="0.35">
      <c r="A655" s="22" t="s">
        <v>851</v>
      </c>
      <c r="B655" s="22" t="str">
        <f>"01866"</f>
        <v>01866</v>
      </c>
      <c r="C655" s="22" t="str">
        <f t="shared" si="10"/>
        <v>'1866.HK'</v>
      </c>
      <c r="D655" s="22" t="s">
        <v>2248</v>
      </c>
      <c r="E655" s="22" t="s">
        <v>1903</v>
      </c>
      <c r="F655" s="22">
        <v>4949327630</v>
      </c>
      <c r="G655" s="22">
        <v>39</v>
      </c>
      <c r="H655" s="22" t="s">
        <v>2249</v>
      </c>
    </row>
    <row r="656" spans="1:8" x14ac:dyDescent="0.35">
      <c r="A656" s="22" t="s">
        <v>851</v>
      </c>
      <c r="B656" s="22" t="str">
        <f>"00612"</f>
        <v>00612</v>
      </c>
      <c r="C656" s="22" t="str">
        <f t="shared" si="10"/>
        <v>'0612.HK'</v>
      </c>
      <c r="D656" s="22" t="s">
        <v>2250</v>
      </c>
      <c r="E656" s="22" t="s">
        <v>964</v>
      </c>
      <c r="F656" s="22">
        <v>4857391081.8000002</v>
      </c>
      <c r="G656" s="22">
        <v>6</v>
      </c>
      <c r="H656" s="22" t="s">
        <v>2251</v>
      </c>
    </row>
    <row r="657" spans="1:8" x14ac:dyDescent="0.35">
      <c r="A657" s="22" t="s">
        <v>851</v>
      </c>
      <c r="B657" s="22" t="str">
        <f>"00127"</f>
        <v>00127</v>
      </c>
      <c r="C657" s="22" t="str">
        <f t="shared" si="10"/>
        <v>'0127.HK'</v>
      </c>
      <c r="D657" s="22" t="s">
        <v>2252</v>
      </c>
      <c r="E657" s="22" t="s">
        <v>1028</v>
      </c>
      <c r="F657" s="22">
        <v>4788123888.29</v>
      </c>
      <c r="G657" s="22">
        <v>26</v>
      </c>
      <c r="H657" s="22" t="s">
        <v>2253</v>
      </c>
    </row>
    <row r="658" spans="1:8" x14ac:dyDescent="0.35">
      <c r="A658" s="22" t="s">
        <v>851</v>
      </c>
      <c r="B658" s="22" t="str">
        <f>"03306"</f>
        <v>03306</v>
      </c>
      <c r="C658" s="22" t="str">
        <f t="shared" si="10"/>
        <v>'3306.HK'</v>
      </c>
      <c r="D658" s="22" t="s">
        <v>2254</v>
      </c>
      <c r="E658" s="22" t="s">
        <v>889</v>
      </c>
      <c r="F658" s="22">
        <v>4777687500</v>
      </c>
      <c r="G658" s="22">
        <v>88</v>
      </c>
      <c r="H658" s="22" t="s">
        <v>2255</v>
      </c>
    </row>
    <row r="659" spans="1:8" x14ac:dyDescent="0.35">
      <c r="A659" s="22" t="s">
        <v>851</v>
      </c>
      <c r="B659" s="22" t="str">
        <f>"06100"</f>
        <v>06100</v>
      </c>
      <c r="C659" s="22" t="str">
        <f t="shared" si="10"/>
        <v>'6100.HK'</v>
      </c>
      <c r="D659" s="22" t="s">
        <v>2256</v>
      </c>
      <c r="E659" s="22" t="s">
        <v>1671</v>
      </c>
      <c r="F659" s="22">
        <v>4775490483.3999996</v>
      </c>
      <c r="G659" s="22">
        <v>17</v>
      </c>
      <c r="H659" s="22" t="s">
        <v>2257</v>
      </c>
    </row>
    <row r="660" spans="1:8" x14ac:dyDescent="0.35">
      <c r="A660" s="22" t="s">
        <v>851</v>
      </c>
      <c r="B660" s="22" t="str">
        <f>"00906"</f>
        <v>00906</v>
      </c>
      <c r="C660" s="22" t="str">
        <f t="shared" si="10"/>
        <v>'0906.HK'</v>
      </c>
      <c r="D660" s="22" t="s">
        <v>2258</v>
      </c>
      <c r="E660" s="22" t="s">
        <v>2259</v>
      </c>
      <c r="F660" s="22">
        <v>4765450440</v>
      </c>
      <c r="G660" s="22">
        <v>29</v>
      </c>
      <c r="H660" s="22" t="s">
        <v>2260</v>
      </c>
    </row>
    <row r="661" spans="1:8" x14ac:dyDescent="0.35">
      <c r="A661" s="22" t="s">
        <v>851</v>
      </c>
      <c r="B661" s="22" t="str">
        <f>"06616"</f>
        <v>06616</v>
      </c>
      <c r="C661" s="22" t="str">
        <f t="shared" si="10"/>
        <v>'6616.HK'</v>
      </c>
      <c r="D661" s="22" t="s">
        <v>2261</v>
      </c>
      <c r="E661" s="22" t="s">
        <v>1600</v>
      </c>
      <c r="F661" s="22">
        <v>4755136708.1400003</v>
      </c>
      <c r="G661" s="22">
        <v>2</v>
      </c>
      <c r="H661" s="22" t="s">
        <v>2262</v>
      </c>
    </row>
    <row r="662" spans="1:8" x14ac:dyDescent="0.35">
      <c r="A662" s="22" t="s">
        <v>851</v>
      </c>
      <c r="B662" s="22" t="str">
        <f>"01501"</f>
        <v>01501</v>
      </c>
      <c r="C662" s="22" t="str">
        <f t="shared" si="10"/>
        <v>'1501.HK'</v>
      </c>
      <c r="D662" s="22" t="s">
        <v>2263</v>
      </c>
      <c r="E662" s="22" t="s">
        <v>1232</v>
      </c>
      <c r="F662" s="22">
        <v>4754400000</v>
      </c>
      <c r="G662" s="22">
        <v>15</v>
      </c>
      <c r="H662" s="22" t="s">
        <v>2264</v>
      </c>
    </row>
    <row r="663" spans="1:8" x14ac:dyDescent="0.35">
      <c r="A663" s="22" t="s">
        <v>851</v>
      </c>
      <c r="B663" s="22" t="str">
        <f>"00369"</f>
        <v>00369</v>
      </c>
      <c r="C663" s="22" t="str">
        <f t="shared" si="10"/>
        <v>'0369.HK'</v>
      </c>
      <c r="D663" s="22" t="s">
        <v>2265</v>
      </c>
      <c r="E663" s="22" t="s">
        <v>924</v>
      </c>
      <c r="F663" s="22">
        <v>4745899476.5</v>
      </c>
      <c r="G663" s="22">
        <v>12</v>
      </c>
      <c r="H663" s="22" t="s">
        <v>2266</v>
      </c>
    </row>
    <row r="664" spans="1:8" x14ac:dyDescent="0.35">
      <c r="A664" s="22" t="s">
        <v>851</v>
      </c>
      <c r="B664" s="22" t="str">
        <f>"00207"</f>
        <v>00207</v>
      </c>
      <c r="C664" s="22" t="str">
        <f t="shared" si="10"/>
        <v>'0207.HK'</v>
      </c>
      <c r="D664" s="22" t="s">
        <v>2267</v>
      </c>
      <c r="E664" s="22" t="s">
        <v>1028</v>
      </c>
      <c r="F664" s="22">
        <v>4696271203.1400003</v>
      </c>
      <c r="G664" s="22">
        <v>84</v>
      </c>
      <c r="H664" s="22" t="s">
        <v>2268</v>
      </c>
    </row>
    <row r="665" spans="1:8" x14ac:dyDescent="0.35">
      <c r="A665" s="22" t="s">
        <v>851</v>
      </c>
      <c r="B665" s="22" t="str">
        <f>"01763"</f>
        <v>01763</v>
      </c>
      <c r="C665" s="22" t="str">
        <f t="shared" si="10"/>
        <v>'1763.HK'</v>
      </c>
      <c r="D665" s="22" t="s">
        <v>2269</v>
      </c>
      <c r="E665" s="22" t="s">
        <v>969</v>
      </c>
      <c r="F665" s="22">
        <v>4695763532</v>
      </c>
      <c r="G665" s="22">
        <v>46</v>
      </c>
      <c r="H665" s="22" t="s">
        <v>2270</v>
      </c>
    </row>
    <row r="666" spans="1:8" x14ac:dyDescent="0.35">
      <c r="A666" s="22" t="s">
        <v>851</v>
      </c>
      <c r="B666" s="22" t="str">
        <f>"01911"</f>
        <v>01911</v>
      </c>
      <c r="C666" s="22" t="str">
        <f t="shared" si="10"/>
        <v>'1911.HK'</v>
      </c>
      <c r="D666" s="22" t="s">
        <v>2271</v>
      </c>
      <c r="E666" s="22" t="s">
        <v>964</v>
      </c>
      <c r="F666" s="22">
        <v>4672229718.7200003</v>
      </c>
      <c r="G666" s="22">
        <v>30</v>
      </c>
      <c r="H666" s="22" t="s">
        <v>2272</v>
      </c>
    </row>
    <row r="667" spans="1:8" x14ac:dyDescent="0.35">
      <c r="A667" s="22" t="s">
        <v>851</v>
      </c>
      <c r="B667" s="22" t="str">
        <f>"01596"</f>
        <v>01596</v>
      </c>
      <c r="C667" s="22" t="str">
        <f t="shared" si="10"/>
        <v>'1596.HK'</v>
      </c>
      <c r="D667" s="22" t="s">
        <v>2273</v>
      </c>
      <c r="E667" s="22" t="s">
        <v>1109</v>
      </c>
      <c r="F667" s="22">
        <v>4668768000</v>
      </c>
      <c r="G667" s="22">
        <v>7</v>
      </c>
      <c r="H667" s="22" t="s">
        <v>2274</v>
      </c>
    </row>
    <row r="668" spans="1:8" x14ac:dyDescent="0.35">
      <c r="A668" s="22" t="s">
        <v>851</v>
      </c>
      <c r="B668" s="22" t="str">
        <f>"06989"</f>
        <v>06989</v>
      </c>
      <c r="C668" s="22" t="str">
        <f t="shared" si="10"/>
        <v>'6989.HK'</v>
      </c>
      <c r="D668" s="22" t="s">
        <v>2275</v>
      </c>
      <c r="E668" s="22" t="s">
        <v>1104</v>
      </c>
      <c r="F668" s="22">
        <v>4649525880</v>
      </c>
      <c r="G668" s="22">
        <v>34</v>
      </c>
      <c r="H668" s="22" t="s">
        <v>2276</v>
      </c>
    </row>
    <row r="669" spans="1:8" x14ac:dyDescent="0.35">
      <c r="A669" s="22" t="s">
        <v>851</v>
      </c>
      <c r="B669" s="22" t="str">
        <f>"00596"</f>
        <v>00596</v>
      </c>
      <c r="C669" s="22" t="str">
        <f t="shared" si="10"/>
        <v>'0596.HK'</v>
      </c>
      <c r="D669" s="22" t="s">
        <v>2277</v>
      </c>
      <c r="E669" s="22" t="s">
        <v>910</v>
      </c>
      <c r="F669" s="22">
        <v>4624778960.5500002</v>
      </c>
      <c r="G669" s="22">
        <v>28</v>
      </c>
      <c r="H669" s="22" t="s">
        <v>2278</v>
      </c>
    </row>
    <row r="670" spans="1:8" x14ac:dyDescent="0.35">
      <c r="A670" s="22" t="s">
        <v>851</v>
      </c>
      <c r="B670" s="22" t="str">
        <f>"09939"</f>
        <v>09939</v>
      </c>
      <c r="C670" s="22" t="str">
        <f t="shared" si="10"/>
        <v>'9939.HK'</v>
      </c>
      <c r="D670" s="22" t="s">
        <v>2279</v>
      </c>
      <c r="E670" s="22" t="s">
        <v>969</v>
      </c>
      <c r="F670" s="22">
        <v>4582395904</v>
      </c>
      <c r="G670" s="22">
        <v>17</v>
      </c>
      <c r="H670" s="22" t="s">
        <v>2280</v>
      </c>
    </row>
    <row r="671" spans="1:8" x14ac:dyDescent="0.35">
      <c r="A671" s="22" t="s">
        <v>851</v>
      </c>
      <c r="B671" s="22" t="str">
        <f>"01234"</f>
        <v>01234</v>
      </c>
      <c r="C671" s="22" t="str">
        <f t="shared" si="10"/>
        <v>'1234.HK'</v>
      </c>
      <c r="D671" s="22" t="s">
        <v>2281</v>
      </c>
      <c r="E671" s="22" t="s">
        <v>889</v>
      </c>
      <c r="F671" s="22">
        <v>4574392390.5799999</v>
      </c>
      <c r="G671" s="22">
        <v>94</v>
      </c>
      <c r="H671" s="22" t="s">
        <v>2282</v>
      </c>
    </row>
    <row r="672" spans="1:8" x14ac:dyDescent="0.35">
      <c r="A672" s="22" t="s">
        <v>851</v>
      </c>
      <c r="B672" s="22" t="str">
        <f>"01881"</f>
        <v>01881</v>
      </c>
      <c r="C672" s="22" t="str">
        <f t="shared" si="10"/>
        <v>'1881.HK'</v>
      </c>
      <c r="D672" s="22" t="s">
        <v>2283</v>
      </c>
      <c r="F672" s="22">
        <v>4527829352.71</v>
      </c>
      <c r="G672" s="22">
        <v>50</v>
      </c>
      <c r="H672" s="22" t="s">
        <v>2284</v>
      </c>
    </row>
    <row r="673" spans="1:8" x14ac:dyDescent="0.35">
      <c r="A673" s="22" t="s">
        <v>851</v>
      </c>
      <c r="B673" s="22" t="str">
        <f>"01760"</f>
        <v>01760</v>
      </c>
      <c r="C673" s="22" t="str">
        <f t="shared" si="10"/>
        <v>'1760.HK'</v>
      </c>
      <c r="D673" s="22" t="s">
        <v>2285</v>
      </c>
      <c r="E673" s="22" t="s">
        <v>1122</v>
      </c>
      <c r="F673" s="22">
        <v>4456412590</v>
      </c>
      <c r="G673" s="22">
        <v>3</v>
      </c>
      <c r="H673" s="22" t="s">
        <v>2286</v>
      </c>
    </row>
    <row r="674" spans="1:8" x14ac:dyDescent="0.35">
      <c r="A674" s="22" t="s">
        <v>851</v>
      </c>
      <c r="B674" s="22" t="str">
        <f>"01696"</f>
        <v>01696</v>
      </c>
      <c r="C674" s="22" t="str">
        <f t="shared" si="10"/>
        <v>'1696.HK'</v>
      </c>
      <c r="D674" s="22" t="s">
        <v>2287</v>
      </c>
      <c r="E674" s="22" t="s">
        <v>1232</v>
      </c>
      <c r="F674" s="22">
        <v>4345821263.6999998</v>
      </c>
      <c r="G674" s="22">
        <v>23</v>
      </c>
      <c r="H674" s="22" t="s">
        <v>2288</v>
      </c>
    </row>
    <row r="675" spans="1:8" x14ac:dyDescent="0.35">
      <c r="A675" s="22" t="s">
        <v>851</v>
      </c>
      <c r="B675" s="22" t="str">
        <f>"01966"</f>
        <v>01966</v>
      </c>
      <c r="C675" s="22" t="str">
        <f t="shared" si="10"/>
        <v>'1966.HK'</v>
      </c>
      <c r="D675" s="22" t="s">
        <v>2289</v>
      </c>
      <c r="E675" s="22" t="s">
        <v>924</v>
      </c>
      <c r="F675" s="22">
        <v>4307445848.5200005</v>
      </c>
      <c r="G675" s="22">
        <v>88</v>
      </c>
      <c r="H675" s="22" t="s">
        <v>2290</v>
      </c>
    </row>
    <row r="676" spans="1:8" x14ac:dyDescent="0.35">
      <c r="A676" s="22" t="s">
        <v>851</v>
      </c>
      <c r="B676" s="22" t="str">
        <f>"02199"</f>
        <v>02199</v>
      </c>
      <c r="C676" s="22" t="str">
        <f t="shared" si="10"/>
        <v>'2199.HK'</v>
      </c>
      <c r="D676" s="22" t="s">
        <v>2291</v>
      </c>
      <c r="E676" s="22" t="s">
        <v>889</v>
      </c>
      <c r="F676" s="22">
        <v>4284875000</v>
      </c>
      <c r="G676" s="22">
        <v>18</v>
      </c>
      <c r="H676" s="22" t="s">
        <v>2292</v>
      </c>
    </row>
    <row r="677" spans="1:8" x14ac:dyDescent="0.35">
      <c r="A677" s="22" t="s">
        <v>851</v>
      </c>
      <c r="B677" s="22" t="str">
        <f>"00038"</f>
        <v>00038</v>
      </c>
      <c r="C677" s="22" t="str">
        <f t="shared" si="10"/>
        <v>'0038.HK'</v>
      </c>
      <c r="D677" s="22" t="s">
        <v>2293</v>
      </c>
      <c r="E677" s="22" t="s">
        <v>1395</v>
      </c>
      <c r="F677" s="22">
        <v>4269852045</v>
      </c>
      <c r="G677" s="22">
        <v>39</v>
      </c>
      <c r="H677" s="22" t="s">
        <v>2294</v>
      </c>
    </row>
    <row r="678" spans="1:8" x14ac:dyDescent="0.35">
      <c r="A678" s="22" t="s">
        <v>851</v>
      </c>
      <c r="B678" s="22" t="str">
        <f>"02190"</f>
        <v>02190</v>
      </c>
      <c r="C678" s="22" t="str">
        <f t="shared" si="10"/>
        <v>'2190.HK'</v>
      </c>
      <c r="D678" s="22" t="s">
        <v>2295</v>
      </c>
      <c r="E678" s="22" t="s">
        <v>1232</v>
      </c>
      <c r="F678" s="22">
        <v>4268028852.8400002</v>
      </c>
      <c r="G678" s="22">
        <v>11</v>
      </c>
      <c r="H678" s="22" t="s">
        <v>2296</v>
      </c>
    </row>
    <row r="679" spans="1:8" x14ac:dyDescent="0.35">
      <c r="A679" s="22" t="s">
        <v>851</v>
      </c>
      <c r="B679" s="22" t="str">
        <f>"06830"</f>
        <v>06830</v>
      </c>
      <c r="C679" s="22" t="str">
        <f t="shared" si="10"/>
        <v>'6830.HK'</v>
      </c>
      <c r="D679" s="22" t="s">
        <v>2297</v>
      </c>
      <c r="E679" s="22" t="s">
        <v>1122</v>
      </c>
      <c r="F679" s="22">
        <v>4263757058</v>
      </c>
      <c r="G679" s="22">
        <v>7</v>
      </c>
      <c r="H679" s="22" t="s">
        <v>2298</v>
      </c>
    </row>
    <row r="680" spans="1:8" x14ac:dyDescent="0.35">
      <c r="A680" s="22" t="s">
        <v>851</v>
      </c>
      <c r="B680" s="22" t="str">
        <f>"01709"</f>
        <v>01709</v>
      </c>
      <c r="C680" s="22" t="str">
        <f t="shared" si="10"/>
        <v>'1709.HK'</v>
      </c>
      <c r="D680" s="22" t="s">
        <v>2299</v>
      </c>
      <c r="E680" s="22" t="s">
        <v>1130</v>
      </c>
      <c r="F680" s="22">
        <v>4231012978.5</v>
      </c>
      <c r="G680" s="22">
        <v>3</v>
      </c>
      <c r="H680" s="22" t="s">
        <v>2300</v>
      </c>
    </row>
    <row r="681" spans="1:8" x14ac:dyDescent="0.35">
      <c r="A681" s="22" t="s">
        <v>851</v>
      </c>
      <c r="B681" s="22" t="str">
        <f>"09909"</f>
        <v>09909</v>
      </c>
      <c r="C681" s="22" t="str">
        <f t="shared" si="10"/>
        <v>'9909.HK'</v>
      </c>
      <c r="D681" s="22" t="s">
        <v>2301</v>
      </c>
      <c r="E681" s="22" t="s">
        <v>1104</v>
      </c>
      <c r="F681" s="22">
        <v>4230282000</v>
      </c>
      <c r="G681" s="22">
        <v>59</v>
      </c>
      <c r="H681" s="22" t="s">
        <v>2302</v>
      </c>
    </row>
    <row r="682" spans="1:8" x14ac:dyDescent="0.35">
      <c r="A682" s="22" t="s">
        <v>851</v>
      </c>
      <c r="B682" s="22" t="str">
        <f>"01733"</f>
        <v>01733</v>
      </c>
      <c r="C682" s="22" t="str">
        <f t="shared" si="10"/>
        <v>'1733.HK'</v>
      </c>
      <c r="D682" s="22" t="s">
        <v>2303</v>
      </c>
      <c r="E682" s="22" t="s">
        <v>904</v>
      </c>
      <c r="F682" s="22">
        <v>4215846754.1399999</v>
      </c>
      <c r="G682" s="22">
        <v>10</v>
      </c>
      <c r="H682" s="22" t="s">
        <v>2304</v>
      </c>
    </row>
    <row r="683" spans="1:8" x14ac:dyDescent="0.35">
      <c r="A683" s="22" t="s">
        <v>851</v>
      </c>
      <c r="B683" s="22" t="str">
        <f>"01286"</f>
        <v>01286</v>
      </c>
      <c r="C683" s="22" t="str">
        <f t="shared" si="10"/>
        <v>'1286.HK'</v>
      </c>
      <c r="D683" s="22" t="s">
        <v>2305</v>
      </c>
      <c r="E683" s="22" t="s">
        <v>1224</v>
      </c>
      <c r="F683" s="22">
        <v>4180919340</v>
      </c>
      <c r="G683" s="22">
        <v>6</v>
      </c>
      <c r="H683" s="22" t="s">
        <v>2306</v>
      </c>
    </row>
    <row r="684" spans="1:8" x14ac:dyDescent="0.35">
      <c r="A684" s="22" t="s">
        <v>851</v>
      </c>
      <c r="B684" s="22" t="str">
        <f>"00376"</f>
        <v>00376</v>
      </c>
      <c r="C684" s="22" t="str">
        <f t="shared" si="10"/>
        <v>'0376.HK'</v>
      </c>
      <c r="D684" s="22" t="s">
        <v>2307</v>
      </c>
      <c r="E684" s="22" t="s">
        <v>870</v>
      </c>
      <c r="F684" s="22">
        <v>4177431006.8400002</v>
      </c>
      <c r="G684" s="22">
        <v>10</v>
      </c>
      <c r="H684" s="22" t="s">
        <v>2308</v>
      </c>
    </row>
    <row r="685" spans="1:8" x14ac:dyDescent="0.35">
      <c r="A685" s="22" t="s">
        <v>851</v>
      </c>
      <c r="B685" s="22" t="str">
        <f>"01257"</f>
        <v>01257</v>
      </c>
      <c r="C685" s="22" t="str">
        <f t="shared" si="10"/>
        <v>'1257.HK'</v>
      </c>
      <c r="D685" s="22" t="s">
        <v>2309</v>
      </c>
      <c r="E685" s="22" t="s">
        <v>1127</v>
      </c>
      <c r="F685" s="22">
        <v>4173477560</v>
      </c>
      <c r="G685" s="22">
        <v>75</v>
      </c>
      <c r="H685" s="22" t="s">
        <v>2310</v>
      </c>
    </row>
    <row r="686" spans="1:8" x14ac:dyDescent="0.35">
      <c r="A686" s="22" t="s">
        <v>851</v>
      </c>
      <c r="B686" s="22" t="str">
        <f>"01969"</f>
        <v>01969</v>
      </c>
      <c r="C686" s="22" t="str">
        <f t="shared" si="10"/>
        <v>'1969.HK'</v>
      </c>
      <c r="D686" s="22" t="s">
        <v>2311</v>
      </c>
      <c r="E686" s="22" t="s">
        <v>1270</v>
      </c>
      <c r="F686" s="22">
        <v>4164000000</v>
      </c>
      <c r="G686" s="22">
        <v>11</v>
      </c>
      <c r="H686" s="22" t="s">
        <v>2312</v>
      </c>
    </row>
    <row r="687" spans="1:8" x14ac:dyDescent="0.35">
      <c r="A687" s="22" t="s">
        <v>851</v>
      </c>
      <c r="B687" s="22" t="str">
        <f>"06889"</f>
        <v>06889</v>
      </c>
      <c r="C687" s="22" t="str">
        <f t="shared" si="10"/>
        <v>'6889.HK'</v>
      </c>
      <c r="D687" s="22" t="s">
        <v>2313</v>
      </c>
      <c r="E687" s="22" t="s">
        <v>961</v>
      </c>
      <c r="F687" s="22">
        <v>4140666550.8800001</v>
      </c>
      <c r="G687" s="22">
        <v>14</v>
      </c>
      <c r="H687" s="22" t="s">
        <v>2314</v>
      </c>
    </row>
    <row r="688" spans="1:8" x14ac:dyDescent="0.35">
      <c r="A688" s="22" t="s">
        <v>851</v>
      </c>
      <c r="B688" s="22" t="str">
        <f>"01003"</f>
        <v>01003</v>
      </c>
      <c r="C688" s="22" t="str">
        <f t="shared" si="10"/>
        <v>'1003.HK'</v>
      </c>
      <c r="D688" s="22" t="s">
        <v>2315</v>
      </c>
      <c r="E688" s="22" t="s">
        <v>1185</v>
      </c>
      <c r="F688" s="22">
        <v>4131813769.0599999</v>
      </c>
      <c r="G688" s="22">
        <v>4</v>
      </c>
      <c r="H688" s="22" t="s">
        <v>2316</v>
      </c>
    </row>
    <row r="689" spans="1:8" x14ac:dyDescent="0.35">
      <c r="A689" s="22" t="s">
        <v>851</v>
      </c>
      <c r="B689" s="22" t="str">
        <f>"02235"</f>
        <v>02235</v>
      </c>
      <c r="C689" s="22" t="str">
        <f t="shared" si="10"/>
        <v>'2235.HK'</v>
      </c>
      <c r="D689" s="22" t="s">
        <v>2317</v>
      </c>
      <c r="E689" s="22" t="s">
        <v>1232</v>
      </c>
      <c r="F689" s="22">
        <v>4121188368</v>
      </c>
      <c r="G689" s="22">
        <v>6</v>
      </c>
      <c r="H689" s="22" t="s">
        <v>2318</v>
      </c>
    </row>
    <row r="690" spans="1:8" x14ac:dyDescent="0.35">
      <c r="A690" s="22" t="s">
        <v>851</v>
      </c>
      <c r="B690" s="22" t="str">
        <f>"02425"</f>
        <v>02425</v>
      </c>
      <c r="C690" s="22" t="str">
        <f t="shared" si="10"/>
        <v>'2425.HK'</v>
      </c>
      <c r="D690" s="22" t="s">
        <v>2319</v>
      </c>
      <c r="F690" s="22">
        <v>4115176800</v>
      </c>
      <c r="H690" s="22" t="s">
        <v>2320</v>
      </c>
    </row>
    <row r="691" spans="1:8" x14ac:dyDescent="0.35">
      <c r="A691" s="22" t="s">
        <v>851</v>
      </c>
      <c r="B691" s="22" t="str">
        <f>"00289"</f>
        <v>00289</v>
      </c>
      <c r="C691" s="22" t="str">
        <f t="shared" si="10"/>
        <v>'0289.HK'</v>
      </c>
      <c r="D691" s="22" t="s">
        <v>2321</v>
      </c>
      <c r="E691" s="22" t="s">
        <v>1485</v>
      </c>
      <c r="F691" s="22">
        <v>4102127100</v>
      </c>
      <c r="G691" s="22">
        <v>13</v>
      </c>
      <c r="H691" s="22" t="s">
        <v>2322</v>
      </c>
    </row>
    <row r="692" spans="1:8" x14ac:dyDescent="0.35">
      <c r="A692" s="22" t="s">
        <v>851</v>
      </c>
      <c r="B692" s="22" t="str">
        <f>"00032"</f>
        <v>00032</v>
      </c>
      <c r="C692" s="22" t="str">
        <f t="shared" si="10"/>
        <v>'0032.HK'</v>
      </c>
      <c r="D692" s="22" t="s">
        <v>2323</v>
      </c>
      <c r="E692" s="22" t="s">
        <v>1270</v>
      </c>
      <c r="F692" s="22">
        <v>4062301445.4000001</v>
      </c>
      <c r="G692" s="22">
        <v>13</v>
      </c>
      <c r="H692" s="22" t="s">
        <v>2324</v>
      </c>
    </row>
    <row r="693" spans="1:8" x14ac:dyDescent="0.35">
      <c r="A693" s="22" t="s">
        <v>851</v>
      </c>
      <c r="B693" s="22" t="str">
        <f>"09983"</f>
        <v>09983</v>
      </c>
      <c r="C693" s="22" t="str">
        <f t="shared" si="10"/>
        <v>'9983.HK'</v>
      </c>
      <c r="D693" s="22" t="s">
        <v>2325</v>
      </c>
      <c r="E693" s="22" t="s">
        <v>1104</v>
      </c>
      <c r="F693" s="22">
        <v>4053561420</v>
      </c>
      <c r="G693" s="22">
        <v>77</v>
      </c>
      <c r="H693" s="22" t="s">
        <v>2326</v>
      </c>
    </row>
    <row r="694" spans="1:8" x14ac:dyDescent="0.35">
      <c r="A694" s="22" t="s">
        <v>851</v>
      </c>
      <c r="B694" s="22" t="str">
        <f>"02436"</f>
        <v>02436</v>
      </c>
      <c r="C694" s="22" t="str">
        <f t="shared" si="10"/>
        <v>'2436.HK'</v>
      </c>
      <c r="D694" s="22" t="s">
        <v>2327</v>
      </c>
      <c r="E694" s="22" t="s">
        <v>1152</v>
      </c>
      <c r="F694" s="22">
        <v>4048359600</v>
      </c>
      <c r="H694" s="22" t="s">
        <v>2328</v>
      </c>
    </row>
    <row r="695" spans="1:8" x14ac:dyDescent="0.35">
      <c r="A695" s="22" t="s">
        <v>851</v>
      </c>
      <c r="B695" s="22" t="str">
        <f>"03813"</f>
        <v>03813</v>
      </c>
      <c r="C695" s="22" t="str">
        <f t="shared" si="10"/>
        <v>'3813.HK'</v>
      </c>
      <c r="D695" s="22" t="s">
        <v>2329</v>
      </c>
      <c r="E695" s="22" t="s">
        <v>1332</v>
      </c>
      <c r="F695" s="22">
        <v>4047896507.4000001</v>
      </c>
      <c r="G695" s="22">
        <v>18</v>
      </c>
      <c r="H695" s="22" t="s">
        <v>2330</v>
      </c>
    </row>
    <row r="696" spans="1:8" x14ac:dyDescent="0.35">
      <c r="A696" s="22" t="s">
        <v>851</v>
      </c>
      <c r="B696" s="22" t="str">
        <f>"08328"</f>
        <v>08328</v>
      </c>
      <c r="C696" s="22" t="str">
        <f t="shared" si="10"/>
        <v>'8328.HK'</v>
      </c>
      <c r="D696" s="22" t="s">
        <v>2331</v>
      </c>
      <c r="E696" s="22" t="s">
        <v>1145</v>
      </c>
      <c r="F696" s="22">
        <v>4043228342.3000002</v>
      </c>
      <c r="G696" s="22">
        <v>5</v>
      </c>
      <c r="H696" s="22" t="s">
        <v>2332</v>
      </c>
    </row>
    <row r="697" spans="1:8" x14ac:dyDescent="0.35">
      <c r="A697" s="22" t="s">
        <v>851</v>
      </c>
      <c r="B697" s="22" t="str">
        <f>"00493"</f>
        <v>00493</v>
      </c>
      <c r="C697" s="22" t="str">
        <f t="shared" si="10"/>
        <v>'0493.HK'</v>
      </c>
      <c r="D697" s="22" t="s">
        <v>2333</v>
      </c>
      <c r="E697" s="22" t="s">
        <v>2334</v>
      </c>
      <c r="F697" s="22">
        <v>4036251994.487</v>
      </c>
      <c r="G697" s="22">
        <v>62</v>
      </c>
      <c r="H697" s="22" t="s">
        <v>2335</v>
      </c>
    </row>
    <row r="698" spans="1:8" x14ac:dyDescent="0.35">
      <c r="A698" s="22" t="s">
        <v>851</v>
      </c>
      <c r="B698" s="22" t="str">
        <f>"01167"</f>
        <v>01167</v>
      </c>
      <c r="C698" s="22" t="str">
        <f t="shared" si="10"/>
        <v>'1167.HK'</v>
      </c>
      <c r="D698" s="22" t="s">
        <v>2336</v>
      </c>
      <c r="E698" s="22" t="s">
        <v>941</v>
      </c>
      <c r="F698" s="22">
        <v>4034747201.4000001</v>
      </c>
      <c r="G698" s="22">
        <v>18</v>
      </c>
      <c r="H698" s="22" t="s">
        <v>2337</v>
      </c>
    </row>
    <row r="699" spans="1:8" x14ac:dyDescent="0.35">
      <c r="A699" s="22" t="s">
        <v>851</v>
      </c>
      <c r="B699" s="22" t="str">
        <f>"01857"</f>
        <v>01857</v>
      </c>
      <c r="C699" s="22" t="str">
        <f t="shared" si="10"/>
        <v>'1857.HK'</v>
      </c>
      <c r="D699" s="22" t="s">
        <v>2338</v>
      </c>
      <c r="E699" s="22" t="s">
        <v>1255</v>
      </c>
      <c r="F699" s="22">
        <v>4033836179.4299998</v>
      </c>
      <c r="G699" s="22">
        <v>22</v>
      </c>
      <c r="H699" s="22" t="s">
        <v>2339</v>
      </c>
    </row>
    <row r="700" spans="1:8" x14ac:dyDescent="0.35">
      <c r="A700" s="22" t="s">
        <v>851</v>
      </c>
      <c r="B700" s="22" t="str">
        <f>"02169"</f>
        <v>02169</v>
      </c>
      <c r="C700" s="22" t="str">
        <f t="shared" si="10"/>
        <v>'2169.HK'</v>
      </c>
      <c r="D700" s="22" t="s">
        <v>2340</v>
      </c>
      <c r="E700" s="22" t="s">
        <v>1367</v>
      </c>
      <c r="F700" s="22">
        <v>4020000000</v>
      </c>
      <c r="G700" s="22">
        <v>4</v>
      </c>
      <c r="H700" s="22" t="s">
        <v>2341</v>
      </c>
    </row>
    <row r="701" spans="1:8" x14ac:dyDescent="0.35">
      <c r="A701" s="22" t="s">
        <v>851</v>
      </c>
      <c r="B701" s="22" t="str">
        <f>"06922"</f>
        <v>06922</v>
      </c>
      <c r="C701" s="22" t="str">
        <f t="shared" si="10"/>
        <v>'6922.HK'</v>
      </c>
      <c r="D701" s="22" t="s">
        <v>2342</v>
      </c>
      <c r="F701" s="22">
        <v>4017048000</v>
      </c>
      <c r="H701" s="22" t="s">
        <v>2343</v>
      </c>
    </row>
    <row r="702" spans="1:8" x14ac:dyDescent="0.35">
      <c r="A702" s="22" t="s">
        <v>851</v>
      </c>
      <c r="B702" s="22" t="str">
        <f>"00382"</f>
        <v>00382</v>
      </c>
      <c r="C702" s="22" t="str">
        <f t="shared" si="10"/>
        <v>'0382.HK'</v>
      </c>
      <c r="D702" s="22" t="s">
        <v>2344</v>
      </c>
      <c r="E702" s="22" t="s">
        <v>1270</v>
      </c>
      <c r="F702" s="22">
        <v>4004894922.0999999</v>
      </c>
      <c r="G702" s="22">
        <v>61</v>
      </c>
      <c r="H702" s="22" t="s">
        <v>2345</v>
      </c>
    </row>
    <row r="703" spans="1:8" x14ac:dyDescent="0.35">
      <c r="A703" s="22" t="s">
        <v>851</v>
      </c>
      <c r="B703" s="22" t="str">
        <f>"00732"</f>
        <v>00732</v>
      </c>
      <c r="C703" s="22" t="str">
        <f t="shared" si="10"/>
        <v>'0732.HK'</v>
      </c>
      <c r="D703" s="22" t="s">
        <v>2346</v>
      </c>
      <c r="E703" s="22" t="s">
        <v>1075</v>
      </c>
      <c r="F703" s="22">
        <v>3981765733.52</v>
      </c>
      <c r="G703" s="22">
        <v>38</v>
      </c>
      <c r="H703" s="22" t="s">
        <v>2347</v>
      </c>
    </row>
    <row r="704" spans="1:8" x14ac:dyDescent="0.35">
      <c r="A704" s="22" t="s">
        <v>851</v>
      </c>
      <c r="B704" s="22" t="str">
        <f>"01600"</f>
        <v>01600</v>
      </c>
      <c r="C704" s="22" t="str">
        <f t="shared" si="10"/>
        <v>'1600.HK'</v>
      </c>
      <c r="D704" s="22" t="s">
        <v>2348</v>
      </c>
      <c r="E704" s="22" t="s">
        <v>1031</v>
      </c>
      <c r="F704" s="22">
        <v>3959306263.3600001</v>
      </c>
      <c r="G704" s="22">
        <v>63</v>
      </c>
      <c r="H704" s="22" t="s">
        <v>2349</v>
      </c>
    </row>
    <row r="705" spans="1:8" x14ac:dyDescent="0.35">
      <c r="A705" s="22" t="s">
        <v>851</v>
      </c>
      <c r="B705" s="22" t="str">
        <f>"00830"</f>
        <v>00830</v>
      </c>
      <c r="C705" s="22" t="str">
        <f t="shared" si="10"/>
        <v>'0830.HK'</v>
      </c>
      <c r="D705" s="22" t="s">
        <v>2350</v>
      </c>
      <c r="E705" s="22" t="s">
        <v>1634</v>
      </c>
      <c r="F705" s="22">
        <v>3947203750</v>
      </c>
      <c r="G705" s="22">
        <v>10</v>
      </c>
      <c r="H705" s="22" t="s">
        <v>2351</v>
      </c>
    </row>
    <row r="706" spans="1:8" x14ac:dyDescent="0.35">
      <c r="A706" s="22" t="s">
        <v>851</v>
      </c>
      <c r="B706" s="22" t="str">
        <f>"08083"</f>
        <v>08083</v>
      </c>
      <c r="C706" s="22" t="str">
        <f t="shared" si="10"/>
        <v>'8083.HK'</v>
      </c>
      <c r="D706" s="22" t="s">
        <v>2352</v>
      </c>
      <c r="E706" s="22" t="s">
        <v>853</v>
      </c>
      <c r="F706" s="22">
        <v>3905388124.5640001</v>
      </c>
      <c r="G706" s="22">
        <v>110</v>
      </c>
      <c r="H706" s="22" t="s">
        <v>2353</v>
      </c>
    </row>
    <row r="707" spans="1:8" x14ac:dyDescent="0.35">
      <c r="A707" s="22" t="s">
        <v>851</v>
      </c>
      <c r="B707" s="22" t="str">
        <f>"02552"</f>
        <v>02552</v>
      </c>
      <c r="C707" s="22" t="str">
        <f t="shared" ref="C707:C770" si="11">CONCATENATE("'",RIGHT(B707,4),".HK'")</f>
        <v>'2552.HK'</v>
      </c>
      <c r="D707" s="22" t="s">
        <v>2354</v>
      </c>
      <c r="E707" s="22" t="s">
        <v>941</v>
      </c>
      <c r="F707" s="22">
        <v>3905195565.6999998</v>
      </c>
      <c r="G707" s="22">
        <v>20</v>
      </c>
      <c r="H707" s="22" t="s">
        <v>2355</v>
      </c>
    </row>
    <row r="708" spans="1:8" x14ac:dyDescent="0.35">
      <c r="A708" s="22" t="s">
        <v>851</v>
      </c>
      <c r="B708" s="22" t="str">
        <f>"00606"</f>
        <v>00606</v>
      </c>
      <c r="C708" s="22" t="str">
        <f t="shared" si="11"/>
        <v>'0606.HK'</v>
      </c>
      <c r="D708" s="22" t="s">
        <v>2356</v>
      </c>
      <c r="E708" s="22" t="s">
        <v>1104</v>
      </c>
      <c r="F708" s="22">
        <v>3901000000</v>
      </c>
      <c r="G708" s="22">
        <v>59</v>
      </c>
      <c r="H708" s="22" t="s">
        <v>2357</v>
      </c>
    </row>
    <row r="709" spans="1:8" x14ac:dyDescent="0.35">
      <c r="A709" s="22" t="s">
        <v>851</v>
      </c>
      <c r="B709" s="22" t="str">
        <f>"01031"</f>
        <v>01031</v>
      </c>
      <c r="C709" s="22" t="str">
        <f t="shared" si="11"/>
        <v>'1031.HK'</v>
      </c>
      <c r="D709" s="22" t="s">
        <v>2358</v>
      </c>
      <c r="E709" s="22" t="s">
        <v>1130</v>
      </c>
      <c r="F709" s="22">
        <v>3880126989.8099999</v>
      </c>
      <c r="G709" s="22">
        <v>13</v>
      </c>
      <c r="H709" s="22" t="s">
        <v>2359</v>
      </c>
    </row>
    <row r="710" spans="1:8" x14ac:dyDescent="0.35">
      <c r="A710" s="22" t="s">
        <v>851</v>
      </c>
      <c r="B710" s="22" t="str">
        <f>"01809"</f>
        <v>01809</v>
      </c>
      <c r="C710" s="22" t="str">
        <f t="shared" si="11"/>
        <v>'1809.HK'</v>
      </c>
      <c r="D710" s="22" t="s">
        <v>2360</v>
      </c>
      <c r="E710" s="22" t="s">
        <v>1122</v>
      </c>
      <c r="F710" s="22">
        <v>3863190800</v>
      </c>
      <c r="G710" s="22">
        <v>7</v>
      </c>
      <c r="H710" s="22" t="s">
        <v>2361</v>
      </c>
    </row>
    <row r="711" spans="1:8" x14ac:dyDescent="0.35">
      <c r="A711" s="22" t="s">
        <v>851</v>
      </c>
      <c r="B711" s="22" t="str">
        <f>"02342"</f>
        <v>02342</v>
      </c>
      <c r="C711" s="22" t="str">
        <f t="shared" si="11"/>
        <v>'2342.HK'</v>
      </c>
      <c r="D711" s="22" t="s">
        <v>2362</v>
      </c>
      <c r="E711" s="22" t="s">
        <v>938</v>
      </c>
      <c r="F711" s="22">
        <v>3836368491.8400002</v>
      </c>
      <c r="G711" s="22">
        <v>45</v>
      </c>
      <c r="H711" s="22" t="s">
        <v>2363</v>
      </c>
    </row>
    <row r="712" spans="1:8" x14ac:dyDescent="0.35">
      <c r="A712" s="22" t="s">
        <v>851</v>
      </c>
      <c r="B712" s="22" t="str">
        <f>"02163"</f>
        <v>02163</v>
      </c>
      <c r="C712" s="22" t="str">
        <f t="shared" si="11"/>
        <v>'2163.HK'</v>
      </c>
      <c r="D712" s="22" t="s">
        <v>2364</v>
      </c>
      <c r="E712" s="22" t="s">
        <v>1016</v>
      </c>
      <c r="F712" s="22">
        <v>3803587320</v>
      </c>
      <c r="G712" s="22">
        <v>19</v>
      </c>
      <c r="H712" s="22" t="s">
        <v>2365</v>
      </c>
    </row>
    <row r="713" spans="1:8" x14ac:dyDescent="0.35">
      <c r="A713" s="22" t="s">
        <v>851</v>
      </c>
      <c r="B713" s="22" t="str">
        <f>"06988"</f>
        <v>06988</v>
      </c>
      <c r="C713" s="22" t="str">
        <f t="shared" si="11"/>
        <v>'6988.HK'</v>
      </c>
      <c r="D713" s="22" t="s">
        <v>2366</v>
      </c>
      <c r="E713" s="22" t="s">
        <v>1627</v>
      </c>
      <c r="F713" s="22">
        <v>3795083520</v>
      </c>
      <c r="G713" s="22">
        <v>10</v>
      </c>
      <c r="H713" s="22" t="s">
        <v>2367</v>
      </c>
    </row>
    <row r="714" spans="1:8" x14ac:dyDescent="0.35">
      <c r="A714" s="22" t="s">
        <v>851</v>
      </c>
      <c r="B714" s="22" t="str">
        <f>"01817"</f>
        <v>01817</v>
      </c>
      <c r="C714" s="22" t="str">
        <f t="shared" si="11"/>
        <v>'1817.HK'</v>
      </c>
      <c r="D714" s="22" t="s">
        <v>2368</v>
      </c>
      <c r="E714" s="22" t="s">
        <v>1332</v>
      </c>
      <c r="F714" s="22">
        <v>3790500000</v>
      </c>
      <c r="G714" s="22">
        <v>8</v>
      </c>
      <c r="H714" s="22" t="s">
        <v>2369</v>
      </c>
    </row>
    <row r="715" spans="1:8" x14ac:dyDescent="0.35">
      <c r="A715" s="22" t="s">
        <v>851</v>
      </c>
      <c r="B715" s="22" t="str">
        <f>"01382"</f>
        <v>01382</v>
      </c>
      <c r="C715" s="22" t="str">
        <f t="shared" si="11"/>
        <v>'1382.HK'</v>
      </c>
      <c r="D715" s="22" t="s">
        <v>2370</v>
      </c>
      <c r="E715" s="22" t="s">
        <v>1914</v>
      </c>
      <c r="F715" s="22">
        <v>3774836280</v>
      </c>
      <c r="G715" s="22">
        <v>71</v>
      </c>
      <c r="H715" s="22" t="s">
        <v>2371</v>
      </c>
    </row>
    <row r="716" spans="1:8" x14ac:dyDescent="0.35">
      <c r="A716" s="22" t="s">
        <v>851</v>
      </c>
      <c r="B716" s="22" t="str">
        <f>"01708"</f>
        <v>01708</v>
      </c>
      <c r="C716" s="22" t="str">
        <f t="shared" si="11"/>
        <v>'1708.HK'</v>
      </c>
      <c r="D716" s="22" t="s">
        <v>2372</v>
      </c>
      <c r="E716" s="22" t="s">
        <v>1202</v>
      </c>
      <c r="F716" s="22">
        <v>3762277875</v>
      </c>
      <c r="G716" s="22">
        <v>12</v>
      </c>
      <c r="H716" s="22" t="s">
        <v>2373</v>
      </c>
    </row>
    <row r="717" spans="1:8" x14ac:dyDescent="0.35">
      <c r="A717" s="22" t="s">
        <v>851</v>
      </c>
      <c r="B717" s="22" t="str">
        <f>"01140"</f>
        <v>01140</v>
      </c>
      <c r="C717" s="22" t="str">
        <f t="shared" si="11"/>
        <v>'1140.HK'</v>
      </c>
      <c r="D717" s="22" t="s">
        <v>2374</v>
      </c>
      <c r="E717" s="22" t="s">
        <v>964</v>
      </c>
      <c r="F717" s="22">
        <v>3756052456.6500001</v>
      </c>
      <c r="G717" s="22">
        <v>6</v>
      </c>
      <c r="H717" s="22" t="s">
        <v>2375</v>
      </c>
    </row>
    <row r="718" spans="1:8" x14ac:dyDescent="0.35">
      <c r="A718" s="22" t="s">
        <v>851</v>
      </c>
      <c r="B718" s="22" t="str">
        <f>"00816"</f>
        <v>00816</v>
      </c>
      <c r="C718" s="22" t="str">
        <f t="shared" si="11"/>
        <v>'0816.HK'</v>
      </c>
      <c r="D718" s="22" t="s">
        <v>2376</v>
      </c>
      <c r="E718" s="22" t="s">
        <v>1104</v>
      </c>
      <c r="F718" s="22">
        <v>3707174900</v>
      </c>
      <c r="G718" s="22">
        <v>104</v>
      </c>
      <c r="H718" s="22" t="s">
        <v>2377</v>
      </c>
    </row>
    <row r="719" spans="1:8" x14ac:dyDescent="0.35">
      <c r="A719" s="22" t="s">
        <v>851</v>
      </c>
      <c r="B719" s="22" t="str">
        <f>"00517"</f>
        <v>00517</v>
      </c>
      <c r="C719" s="22" t="str">
        <f t="shared" si="11"/>
        <v>'0517.HK'</v>
      </c>
      <c r="D719" s="22" t="s">
        <v>2378</v>
      </c>
      <c r="E719" s="22" t="s">
        <v>1086</v>
      </c>
      <c r="F719" s="22">
        <v>3704233572.5</v>
      </c>
      <c r="G719" s="22">
        <v>46</v>
      </c>
      <c r="H719" s="22" t="s">
        <v>2379</v>
      </c>
    </row>
    <row r="720" spans="1:8" x14ac:dyDescent="0.35">
      <c r="A720" s="22" t="s">
        <v>851</v>
      </c>
      <c r="B720" s="22" t="str">
        <f>"01270"</f>
        <v>01270</v>
      </c>
      <c r="C720" s="22" t="str">
        <f t="shared" si="11"/>
        <v>'1270.HK'</v>
      </c>
      <c r="D720" s="22" t="s">
        <v>2380</v>
      </c>
      <c r="E720" s="22" t="s">
        <v>1070</v>
      </c>
      <c r="F720" s="22">
        <v>3666301048.48</v>
      </c>
      <c r="G720" s="22">
        <v>20</v>
      </c>
      <c r="H720" s="22" t="s">
        <v>2381</v>
      </c>
    </row>
    <row r="721" spans="1:8" x14ac:dyDescent="0.35">
      <c r="A721" s="22" t="s">
        <v>851</v>
      </c>
      <c r="B721" s="22" t="str">
        <f>"00098"</f>
        <v>00098</v>
      </c>
      <c r="C721" s="22" t="str">
        <f t="shared" si="11"/>
        <v>'0098.HK'</v>
      </c>
      <c r="D721" s="22" t="s">
        <v>2382</v>
      </c>
      <c r="E721" s="22" t="s">
        <v>1174</v>
      </c>
      <c r="F721" s="22">
        <v>3659647465.8000002</v>
      </c>
      <c r="G721" s="22">
        <v>41</v>
      </c>
      <c r="H721" s="22" t="s">
        <v>2383</v>
      </c>
    </row>
    <row r="722" spans="1:8" x14ac:dyDescent="0.35">
      <c r="A722" s="22" t="s">
        <v>851</v>
      </c>
      <c r="B722" s="22" t="str">
        <f>"00480"</f>
        <v>00480</v>
      </c>
      <c r="C722" s="22" t="str">
        <f t="shared" si="11"/>
        <v>'0480.HK'</v>
      </c>
      <c r="D722" s="22" t="s">
        <v>2384</v>
      </c>
      <c r="E722" s="22" t="s">
        <v>924</v>
      </c>
      <c r="F722" s="22">
        <v>3638989417.3499999</v>
      </c>
      <c r="G722" s="22">
        <v>30</v>
      </c>
      <c r="H722" s="22" t="s">
        <v>2385</v>
      </c>
    </row>
    <row r="723" spans="1:8" x14ac:dyDescent="0.35">
      <c r="A723" s="22" t="s">
        <v>851</v>
      </c>
      <c r="B723" s="22" t="str">
        <f>"00693"</f>
        <v>00693</v>
      </c>
      <c r="C723" s="22" t="str">
        <f t="shared" si="11"/>
        <v>'0693.HK'</v>
      </c>
      <c r="D723" s="22" t="s">
        <v>2386</v>
      </c>
      <c r="E723" s="22" t="s">
        <v>1089</v>
      </c>
      <c r="F723" s="22">
        <v>3623956200</v>
      </c>
      <c r="G723" s="22">
        <v>4</v>
      </c>
      <c r="H723" s="22" t="s">
        <v>2387</v>
      </c>
    </row>
    <row r="724" spans="1:8" x14ac:dyDescent="0.35">
      <c r="A724" s="22" t="s">
        <v>851</v>
      </c>
      <c r="B724" s="22" t="str">
        <f>"01426"</f>
        <v>01426</v>
      </c>
      <c r="C724" s="22" t="str">
        <f t="shared" si="11"/>
        <v>'1426.HK'</v>
      </c>
      <c r="D724" s="22" t="s">
        <v>2388</v>
      </c>
      <c r="F724" s="22">
        <v>3623232096.2800002</v>
      </c>
      <c r="G724" s="22">
        <v>60</v>
      </c>
      <c r="H724" s="22" t="s">
        <v>2389</v>
      </c>
    </row>
    <row r="725" spans="1:8" x14ac:dyDescent="0.35">
      <c r="A725" s="22" t="s">
        <v>851</v>
      </c>
      <c r="B725" s="22" t="str">
        <f>"06633"</f>
        <v>06633</v>
      </c>
      <c r="C725" s="22" t="str">
        <f t="shared" si="11"/>
        <v>'6633.HK'</v>
      </c>
      <c r="D725" s="22" t="s">
        <v>2390</v>
      </c>
      <c r="E725" s="22" t="s">
        <v>910</v>
      </c>
      <c r="F725" s="22">
        <v>3588005295</v>
      </c>
      <c r="G725" s="22">
        <v>2</v>
      </c>
      <c r="H725" s="22" t="s">
        <v>2391</v>
      </c>
    </row>
    <row r="726" spans="1:8" x14ac:dyDescent="0.35">
      <c r="A726" s="22" t="s">
        <v>851</v>
      </c>
      <c r="B726" s="22" t="str">
        <f>"06138"</f>
        <v>06138</v>
      </c>
      <c r="C726" s="22" t="str">
        <f t="shared" si="11"/>
        <v>'6138.HK'</v>
      </c>
      <c r="D726" s="22" t="s">
        <v>2392</v>
      </c>
      <c r="E726" s="22" t="s">
        <v>858</v>
      </c>
      <c r="F726" s="22">
        <v>3573569854.7249999</v>
      </c>
      <c r="G726" s="22">
        <v>86</v>
      </c>
      <c r="H726" s="22" t="s">
        <v>2393</v>
      </c>
    </row>
    <row r="727" spans="1:8" x14ac:dyDescent="0.35">
      <c r="A727" s="22" t="s">
        <v>851</v>
      </c>
      <c r="B727" s="22" t="str">
        <f>"03913"</f>
        <v>03913</v>
      </c>
      <c r="C727" s="22" t="str">
        <f t="shared" si="11"/>
        <v>'3913.HK'</v>
      </c>
      <c r="D727" s="22" t="s">
        <v>2394</v>
      </c>
      <c r="E727" s="22" t="s">
        <v>1104</v>
      </c>
      <c r="F727" s="22">
        <v>3565511692.1599998</v>
      </c>
      <c r="G727" s="22">
        <v>45</v>
      </c>
      <c r="H727" s="22" t="s">
        <v>2395</v>
      </c>
    </row>
    <row r="728" spans="1:8" x14ac:dyDescent="0.35">
      <c r="A728" s="22" t="s">
        <v>851</v>
      </c>
      <c r="B728" s="22" t="str">
        <f>"01330"</f>
        <v>01330</v>
      </c>
      <c r="C728" s="22" t="str">
        <f t="shared" si="11"/>
        <v>'1330.HK'</v>
      </c>
      <c r="D728" s="22" t="s">
        <v>2396</v>
      </c>
      <c r="E728" s="22" t="s">
        <v>1301</v>
      </c>
      <c r="F728" s="22">
        <v>3553290492.5999999</v>
      </c>
      <c r="G728" s="22">
        <v>89</v>
      </c>
      <c r="H728" s="22" t="s">
        <v>2397</v>
      </c>
    </row>
    <row r="729" spans="1:8" x14ac:dyDescent="0.35">
      <c r="A729" s="22" t="s">
        <v>851</v>
      </c>
      <c r="B729" s="22" t="str">
        <f>"02217"</f>
        <v>02217</v>
      </c>
      <c r="C729" s="22" t="str">
        <f t="shared" si="11"/>
        <v>'2217.HK'</v>
      </c>
      <c r="D729" s="22" t="s">
        <v>2398</v>
      </c>
      <c r="E729" s="22" t="s">
        <v>981</v>
      </c>
      <c r="F729" s="22">
        <v>3552603488.5</v>
      </c>
      <c r="G729" s="22">
        <v>5</v>
      </c>
      <c r="H729" s="22" t="s">
        <v>2399</v>
      </c>
    </row>
    <row r="730" spans="1:8" x14ac:dyDescent="0.35">
      <c r="A730" s="22" t="s">
        <v>851</v>
      </c>
      <c r="B730" s="22" t="str">
        <f>"01921"</f>
        <v>01921</v>
      </c>
      <c r="C730" s="22" t="str">
        <f t="shared" si="11"/>
        <v>'1921.HK'</v>
      </c>
      <c r="D730" s="22" t="s">
        <v>2400</v>
      </c>
      <c r="E730" s="22" t="s">
        <v>1294</v>
      </c>
      <c r="F730" s="22">
        <v>3521399800</v>
      </c>
      <c r="G730" s="22">
        <v>3</v>
      </c>
      <c r="H730" s="22" t="s">
        <v>2401</v>
      </c>
    </row>
    <row r="731" spans="1:8" x14ac:dyDescent="0.35">
      <c r="A731" s="22" t="s">
        <v>851</v>
      </c>
      <c r="B731" s="22" t="str">
        <f>"03382"</f>
        <v>03382</v>
      </c>
      <c r="C731" s="22" t="str">
        <f t="shared" si="11"/>
        <v>'3382.HK'</v>
      </c>
      <c r="D731" s="22" t="s">
        <v>2402</v>
      </c>
      <c r="E731" s="22" t="s">
        <v>1047</v>
      </c>
      <c r="F731" s="22">
        <v>3510060000</v>
      </c>
      <c r="G731" s="22">
        <v>56</v>
      </c>
      <c r="H731" s="22" t="s">
        <v>2403</v>
      </c>
    </row>
    <row r="732" spans="1:8" x14ac:dyDescent="0.35">
      <c r="A732" s="22" t="s">
        <v>851</v>
      </c>
      <c r="B732" s="22" t="str">
        <f>"08137"</f>
        <v>08137</v>
      </c>
      <c r="C732" s="22" t="str">
        <f t="shared" si="11"/>
        <v>'8137.HK'</v>
      </c>
      <c r="D732" s="22" t="s">
        <v>2404</v>
      </c>
      <c r="E732" s="22" t="s">
        <v>1145</v>
      </c>
      <c r="F732" s="22">
        <v>3498359430.1300001</v>
      </c>
      <c r="G732" s="22">
        <v>1</v>
      </c>
      <c r="H732" s="22" t="s">
        <v>2405</v>
      </c>
    </row>
    <row r="733" spans="1:8" x14ac:dyDescent="0.35">
      <c r="A733" s="22" t="s">
        <v>851</v>
      </c>
      <c r="B733" s="22" t="str">
        <f>"06996"</f>
        <v>06996</v>
      </c>
      <c r="C733" s="22" t="str">
        <f t="shared" si="11"/>
        <v>'6996.HK'</v>
      </c>
      <c r="D733" s="22" t="s">
        <v>2406</v>
      </c>
      <c r="E733" s="22" t="s">
        <v>969</v>
      </c>
      <c r="F733" s="22">
        <v>3475677031.5999999</v>
      </c>
      <c r="G733" s="22">
        <v>19</v>
      </c>
      <c r="H733" s="22" t="s">
        <v>2407</v>
      </c>
    </row>
    <row r="734" spans="1:8" x14ac:dyDescent="0.35">
      <c r="A734" s="22" t="s">
        <v>851</v>
      </c>
      <c r="B734" s="22" t="str">
        <f>"00799"</f>
        <v>00799</v>
      </c>
      <c r="C734" s="22" t="str">
        <f t="shared" si="11"/>
        <v>'0799.HK'</v>
      </c>
      <c r="D734" s="22" t="s">
        <v>2408</v>
      </c>
      <c r="E734" s="22" t="s">
        <v>910</v>
      </c>
      <c r="F734" s="22">
        <v>3460470391.1100001</v>
      </c>
      <c r="G734" s="22">
        <v>207</v>
      </c>
      <c r="H734" s="22" t="s">
        <v>2409</v>
      </c>
    </row>
    <row r="735" spans="1:8" x14ac:dyDescent="0.35">
      <c r="A735" s="22" t="s">
        <v>851</v>
      </c>
      <c r="B735" s="22" t="str">
        <f>"01635"</f>
        <v>01635</v>
      </c>
      <c r="C735" s="22" t="str">
        <f t="shared" si="11"/>
        <v>'1635.HK'</v>
      </c>
      <c r="D735" s="22" t="s">
        <v>2410</v>
      </c>
      <c r="E735" s="22" t="s">
        <v>1031</v>
      </c>
      <c r="F735" s="22">
        <v>3454348569.75</v>
      </c>
      <c r="G735" s="22">
        <v>33</v>
      </c>
      <c r="H735" s="22" t="s">
        <v>2411</v>
      </c>
    </row>
    <row r="736" spans="1:8" x14ac:dyDescent="0.35">
      <c r="A736" s="22" t="s">
        <v>851</v>
      </c>
      <c r="B736" s="22" t="str">
        <f>"01873"</f>
        <v>01873</v>
      </c>
      <c r="C736" s="22" t="str">
        <f t="shared" si="11"/>
        <v>'1873.HK'</v>
      </c>
      <c r="D736" s="22" t="s">
        <v>2412</v>
      </c>
      <c r="E736" s="22" t="s">
        <v>941</v>
      </c>
      <c r="F736" s="22">
        <v>3444365512.9000001</v>
      </c>
      <c r="G736" s="22">
        <v>59</v>
      </c>
      <c r="H736" s="22" t="s">
        <v>2413</v>
      </c>
    </row>
    <row r="737" spans="1:8" x14ac:dyDescent="0.35">
      <c r="A737" s="22" t="s">
        <v>851</v>
      </c>
      <c r="B737" s="22" t="str">
        <f>"01463"</f>
        <v>01463</v>
      </c>
      <c r="C737" s="22" t="str">
        <f t="shared" si="11"/>
        <v>'1463.HK'</v>
      </c>
      <c r="D737" s="22" t="s">
        <v>2414</v>
      </c>
      <c r="E737" s="22" t="s">
        <v>1671</v>
      </c>
      <c r="F737" s="22">
        <v>3400000000</v>
      </c>
      <c r="G737" s="22">
        <v>4</v>
      </c>
      <c r="H737" s="22" t="s">
        <v>2415</v>
      </c>
    </row>
    <row r="738" spans="1:8" x14ac:dyDescent="0.35">
      <c r="A738" s="22" t="s">
        <v>851</v>
      </c>
      <c r="B738" s="22" t="str">
        <f>"01428"</f>
        <v>01428</v>
      </c>
      <c r="C738" s="22" t="str">
        <f t="shared" si="11"/>
        <v>'1428.HK'</v>
      </c>
      <c r="D738" s="22" t="s">
        <v>2416</v>
      </c>
      <c r="E738" s="22" t="s">
        <v>1130</v>
      </c>
      <c r="F738" s="22">
        <v>3394592616</v>
      </c>
      <c r="G738" s="22">
        <v>29</v>
      </c>
      <c r="H738" s="22" t="s">
        <v>2417</v>
      </c>
    </row>
    <row r="739" spans="1:8" x14ac:dyDescent="0.35">
      <c r="A739" s="22" t="s">
        <v>851</v>
      </c>
      <c r="B739" s="22" t="str">
        <f>"02197"</f>
        <v>02197</v>
      </c>
      <c r="C739" s="22" t="str">
        <f t="shared" si="11"/>
        <v>'2197.HK'</v>
      </c>
      <c r="D739" s="22" t="s">
        <v>2418</v>
      </c>
      <c r="E739" s="22" t="s">
        <v>941</v>
      </c>
      <c r="F739" s="22">
        <v>3373777958.1300001</v>
      </c>
      <c r="G739" s="22">
        <v>6</v>
      </c>
      <c r="H739" s="22" t="s">
        <v>2419</v>
      </c>
    </row>
    <row r="740" spans="1:8" x14ac:dyDescent="0.35">
      <c r="A740" s="22" t="s">
        <v>851</v>
      </c>
      <c r="B740" s="22" t="str">
        <f>"00662"</f>
        <v>00662</v>
      </c>
      <c r="C740" s="22" t="str">
        <f t="shared" si="11"/>
        <v>'0662.HK'</v>
      </c>
      <c r="D740" s="22" t="s">
        <v>2420</v>
      </c>
      <c r="E740" s="22" t="s">
        <v>870</v>
      </c>
      <c r="F740" s="22">
        <v>3327308500</v>
      </c>
      <c r="G740" s="22">
        <v>5</v>
      </c>
      <c r="H740" s="22" t="s">
        <v>2421</v>
      </c>
    </row>
    <row r="741" spans="1:8" x14ac:dyDescent="0.35">
      <c r="A741" s="22" t="s">
        <v>851</v>
      </c>
      <c r="B741" s="22" t="str">
        <f>"01681"</f>
        <v>01681</v>
      </c>
      <c r="C741" s="22" t="str">
        <f t="shared" si="11"/>
        <v>'1681.HK'</v>
      </c>
      <c r="D741" s="22" t="s">
        <v>2422</v>
      </c>
      <c r="E741" s="22" t="s">
        <v>969</v>
      </c>
      <c r="F741" s="22">
        <v>3308588094.5999999</v>
      </c>
      <c r="G741" s="22">
        <v>51</v>
      </c>
      <c r="H741" s="22" t="s">
        <v>2423</v>
      </c>
    </row>
    <row r="742" spans="1:8" x14ac:dyDescent="0.35">
      <c r="A742" s="22" t="s">
        <v>851</v>
      </c>
      <c r="B742" s="22" t="str">
        <f>"00553"</f>
        <v>00553</v>
      </c>
      <c r="C742" s="22" t="str">
        <f t="shared" si="11"/>
        <v>'0553.HK'</v>
      </c>
      <c r="D742" s="22" t="s">
        <v>2424</v>
      </c>
      <c r="E742" s="22" t="s">
        <v>938</v>
      </c>
      <c r="F742" s="22">
        <v>3308095474.98</v>
      </c>
      <c r="G742" s="22">
        <v>33</v>
      </c>
      <c r="H742" s="22" t="s">
        <v>2425</v>
      </c>
    </row>
    <row r="743" spans="1:8" x14ac:dyDescent="0.35">
      <c r="A743" s="22" t="s">
        <v>851</v>
      </c>
      <c r="B743" s="22" t="str">
        <f>"01205"</f>
        <v>01205</v>
      </c>
      <c r="C743" s="22" t="str">
        <f t="shared" si="11"/>
        <v>'1205.HK'</v>
      </c>
      <c r="D743" s="22" t="s">
        <v>2426</v>
      </c>
      <c r="E743" s="22" t="s">
        <v>1060</v>
      </c>
      <c r="F743" s="22">
        <v>3300245402.5799999</v>
      </c>
      <c r="G743" s="22">
        <v>24</v>
      </c>
      <c r="H743" s="22" t="s">
        <v>2427</v>
      </c>
    </row>
    <row r="744" spans="1:8" x14ac:dyDescent="0.35">
      <c r="A744" s="22" t="s">
        <v>851</v>
      </c>
      <c r="B744" s="22" t="str">
        <f>"00105"</f>
        <v>00105</v>
      </c>
      <c r="C744" s="22" t="str">
        <f t="shared" si="11"/>
        <v>'0105.HK'</v>
      </c>
      <c r="D744" s="22" t="s">
        <v>2428</v>
      </c>
      <c r="E744" s="22" t="s">
        <v>1028</v>
      </c>
      <c r="F744" s="22">
        <v>3240000000</v>
      </c>
      <c r="G744" s="22">
        <v>8</v>
      </c>
      <c r="H744" s="22" t="s">
        <v>2429</v>
      </c>
    </row>
    <row r="745" spans="1:8" x14ac:dyDescent="0.35">
      <c r="A745" s="22" t="s">
        <v>851</v>
      </c>
      <c r="B745" s="22" t="str">
        <f>"00026"</f>
        <v>00026</v>
      </c>
      <c r="C745" s="22" t="str">
        <f t="shared" si="11"/>
        <v>'0026.HK'</v>
      </c>
      <c r="D745" s="22" t="s">
        <v>2430</v>
      </c>
      <c r="E745" s="22" t="s">
        <v>1028</v>
      </c>
      <c r="F745" s="22">
        <v>3230464392.8000002</v>
      </c>
      <c r="G745" s="22">
        <v>19</v>
      </c>
      <c r="H745" s="22" t="s">
        <v>2431</v>
      </c>
    </row>
    <row r="746" spans="1:8" x14ac:dyDescent="0.35">
      <c r="A746" s="22" t="s">
        <v>851</v>
      </c>
      <c r="B746" s="22" t="str">
        <f>"09990"</f>
        <v>09990</v>
      </c>
      <c r="C746" s="22" t="str">
        <f t="shared" si="11"/>
        <v>'9990.HK'</v>
      </c>
      <c r="D746" s="22" t="s">
        <v>2432</v>
      </c>
      <c r="E746" s="22" t="s">
        <v>910</v>
      </c>
      <c r="F746" s="22">
        <v>3190788334.8000002</v>
      </c>
      <c r="G746" s="22">
        <v>23</v>
      </c>
      <c r="H746" s="22" t="s">
        <v>2433</v>
      </c>
    </row>
    <row r="747" spans="1:8" x14ac:dyDescent="0.35">
      <c r="A747" s="22" t="s">
        <v>851</v>
      </c>
      <c r="B747" s="22" t="str">
        <f>"01785"</f>
        <v>01785</v>
      </c>
      <c r="C747" s="22" t="str">
        <f t="shared" si="11"/>
        <v>'1785.HK'</v>
      </c>
      <c r="D747" s="22" t="s">
        <v>2434</v>
      </c>
      <c r="E747" s="22" t="s">
        <v>1367</v>
      </c>
      <c r="F747" s="22">
        <v>3179715840</v>
      </c>
      <c r="G747" s="22">
        <v>17</v>
      </c>
      <c r="H747" s="22" t="s">
        <v>2435</v>
      </c>
    </row>
    <row r="748" spans="1:8" x14ac:dyDescent="0.35">
      <c r="A748" s="22" t="s">
        <v>851</v>
      </c>
      <c r="B748" s="22" t="str">
        <f>"02322"</f>
        <v>02322</v>
      </c>
      <c r="C748" s="22" t="str">
        <f t="shared" si="11"/>
        <v>'2322.HK'</v>
      </c>
      <c r="D748" s="22" t="s">
        <v>2436</v>
      </c>
      <c r="E748" s="22" t="s">
        <v>1600</v>
      </c>
      <c r="F748" s="22">
        <v>3172862000</v>
      </c>
      <c r="G748" s="22">
        <v>1</v>
      </c>
      <c r="H748" s="22" t="s">
        <v>2437</v>
      </c>
    </row>
    <row r="749" spans="1:8" x14ac:dyDescent="0.35">
      <c r="A749" s="22" t="s">
        <v>851</v>
      </c>
      <c r="B749" s="22" t="str">
        <f>"01848"</f>
        <v>01848</v>
      </c>
      <c r="C749" s="22" t="str">
        <f t="shared" si="11"/>
        <v>'1848.HK'</v>
      </c>
      <c r="D749" s="22" t="s">
        <v>2438</v>
      </c>
      <c r="E749" s="22" t="s">
        <v>1081</v>
      </c>
      <c r="F749" s="22">
        <v>3156066692.48</v>
      </c>
      <c r="G749" s="22">
        <v>107</v>
      </c>
      <c r="H749" s="22" t="s">
        <v>2439</v>
      </c>
    </row>
    <row r="750" spans="1:8" x14ac:dyDescent="0.35">
      <c r="A750" s="22" t="s">
        <v>851</v>
      </c>
      <c r="B750" s="22" t="str">
        <f>"00258"</f>
        <v>00258</v>
      </c>
      <c r="C750" s="22" t="str">
        <f t="shared" si="11"/>
        <v>'0258.HK'</v>
      </c>
      <c r="D750" s="22" t="s">
        <v>2440</v>
      </c>
      <c r="E750" s="22" t="s">
        <v>924</v>
      </c>
      <c r="F750" s="22">
        <v>3153640200</v>
      </c>
      <c r="G750" s="22">
        <v>43</v>
      </c>
      <c r="H750" s="22" t="s">
        <v>2441</v>
      </c>
    </row>
    <row r="751" spans="1:8" x14ac:dyDescent="0.35">
      <c r="A751" s="22" t="s">
        <v>851</v>
      </c>
      <c r="B751" s="22" t="str">
        <f>"01855"</f>
        <v>01855</v>
      </c>
      <c r="C751" s="22" t="str">
        <f t="shared" si="11"/>
        <v>'1855.HK'</v>
      </c>
      <c r="D751" s="22" t="s">
        <v>2442</v>
      </c>
      <c r="E751" s="22" t="s">
        <v>1634</v>
      </c>
      <c r="F751" s="22">
        <v>3129500000</v>
      </c>
      <c r="G751" s="22">
        <v>4</v>
      </c>
      <c r="H751" s="22" t="s">
        <v>2443</v>
      </c>
    </row>
    <row r="752" spans="1:8" x14ac:dyDescent="0.35">
      <c r="A752" s="22" t="s">
        <v>851</v>
      </c>
      <c r="B752" s="22" t="str">
        <f>"02219"</f>
        <v>02219</v>
      </c>
      <c r="C752" s="22" t="str">
        <f t="shared" si="11"/>
        <v>'2219.HK'</v>
      </c>
      <c r="D752" s="22" t="s">
        <v>2444</v>
      </c>
      <c r="E752" s="22" t="s">
        <v>1362</v>
      </c>
      <c r="F752" s="22">
        <v>3127702500</v>
      </c>
      <c r="G752" s="22">
        <v>11</v>
      </c>
      <c r="H752" s="22" t="s">
        <v>2445</v>
      </c>
    </row>
    <row r="753" spans="1:8" x14ac:dyDescent="0.35">
      <c r="A753" s="22" t="s">
        <v>851</v>
      </c>
      <c r="B753" s="22" t="str">
        <f>"00810"</f>
        <v>00810</v>
      </c>
      <c r="C753" s="22" t="str">
        <f t="shared" si="11"/>
        <v>'0810.HK'</v>
      </c>
      <c r="D753" s="22" t="s">
        <v>2446</v>
      </c>
      <c r="E753" s="22" t="s">
        <v>964</v>
      </c>
      <c r="F753" s="22">
        <v>3118381273.3499999</v>
      </c>
      <c r="G753" s="22">
        <v>39</v>
      </c>
      <c r="H753" s="22" t="s">
        <v>2447</v>
      </c>
    </row>
    <row r="754" spans="1:8" x14ac:dyDescent="0.35">
      <c r="A754" s="22" t="s">
        <v>851</v>
      </c>
      <c r="B754" s="22" t="str">
        <f>"00563"</f>
        <v>00563</v>
      </c>
      <c r="C754" s="22" t="str">
        <f t="shared" si="11"/>
        <v>'0563.HK'</v>
      </c>
      <c r="D754" s="22" t="s">
        <v>2448</v>
      </c>
      <c r="E754" s="22" t="s">
        <v>924</v>
      </c>
      <c r="F754" s="22">
        <v>3076046840.96</v>
      </c>
      <c r="G754" s="22">
        <v>49</v>
      </c>
      <c r="H754" s="22" t="s">
        <v>2449</v>
      </c>
    </row>
    <row r="755" spans="1:8" x14ac:dyDescent="0.35">
      <c r="A755" s="22" t="s">
        <v>851</v>
      </c>
      <c r="B755" s="22" t="str">
        <f>"00108"</f>
        <v>00108</v>
      </c>
      <c r="C755" s="22" t="str">
        <f t="shared" si="11"/>
        <v>'0108.HK'</v>
      </c>
      <c r="D755" s="22" t="s">
        <v>2450</v>
      </c>
      <c r="E755" s="22" t="s">
        <v>1104</v>
      </c>
      <c r="F755" s="22">
        <v>3071399026.5599999</v>
      </c>
      <c r="G755" s="22">
        <v>12</v>
      </c>
      <c r="H755" s="22" t="s">
        <v>2451</v>
      </c>
    </row>
    <row r="756" spans="1:8" x14ac:dyDescent="0.35">
      <c r="A756" s="22" t="s">
        <v>851</v>
      </c>
      <c r="B756" s="22" t="str">
        <f>"01233"</f>
        <v>01233</v>
      </c>
      <c r="C756" s="22" t="str">
        <f t="shared" si="11"/>
        <v>'1233.HK'</v>
      </c>
      <c r="D756" s="22" t="s">
        <v>2452</v>
      </c>
      <c r="E756" s="22" t="s">
        <v>924</v>
      </c>
      <c r="F756" s="22">
        <v>3068651416.9400001</v>
      </c>
      <c r="G756" s="22">
        <v>203</v>
      </c>
      <c r="H756" s="22" t="s">
        <v>2453</v>
      </c>
    </row>
    <row r="757" spans="1:8" x14ac:dyDescent="0.35">
      <c r="A757" s="22" t="s">
        <v>851</v>
      </c>
      <c r="B757" s="22" t="str">
        <f>"00989"</f>
        <v>00989</v>
      </c>
      <c r="C757" s="22" t="str">
        <f t="shared" si="11"/>
        <v>'0989.HK'</v>
      </c>
      <c r="D757" s="22" t="s">
        <v>2454</v>
      </c>
      <c r="E757" s="22" t="s">
        <v>924</v>
      </c>
      <c r="F757" s="22">
        <v>3061546493.4000001</v>
      </c>
      <c r="G757" s="22">
        <v>7</v>
      </c>
      <c r="H757" s="22" t="s">
        <v>2455</v>
      </c>
    </row>
    <row r="758" spans="1:8" x14ac:dyDescent="0.35">
      <c r="A758" s="22" t="s">
        <v>851</v>
      </c>
      <c r="B758" s="22" t="str">
        <f>"02337"</f>
        <v>02337</v>
      </c>
      <c r="C758" s="22" t="str">
        <f t="shared" si="11"/>
        <v>'2337.HK'</v>
      </c>
      <c r="D758" s="22" t="s">
        <v>2456</v>
      </c>
      <c r="E758" s="22" t="s">
        <v>1031</v>
      </c>
      <c r="F758" s="22">
        <v>3059681340</v>
      </c>
      <c r="G758" s="22">
        <v>7</v>
      </c>
      <c r="H758" s="22" t="s">
        <v>2457</v>
      </c>
    </row>
    <row r="759" spans="1:8" x14ac:dyDescent="0.35">
      <c r="A759" s="22" t="s">
        <v>851</v>
      </c>
      <c r="B759" s="22" t="str">
        <f>"00808"</f>
        <v>00808</v>
      </c>
      <c r="C759" s="22" t="str">
        <f t="shared" si="11"/>
        <v>'0808.HK'</v>
      </c>
      <c r="D759" s="22" t="s">
        <v>2458</v>
      </c>
      <c r="F759" s="22">
        <v>3047091735.0999999</v>
      </c>
      <c r="G759" s="22">
        <v>74</v>
      </c>
      <c r="H759" s="22" t="s">
        <v>2459</v>
      </c>
    </row>
    <row r="760" spans="1:8" x14ac:dyDescent="0.35">
      <c r="A760" s="22" t="s">
        <v>851</v>
      </c>
      <c r="B760" s="22" t="str">
        <f>"00588"</f>
        <v>00588</v>
      </c>
      <c r="C760" s="22" t="str">
        <f t="shared" si="11"/>
        <v>'0588.HK'</v>
      </c>
      <c r="D760" s="22" t="s">
        <v>2460</v>
      </c>
      <c r="E760" s="22" t="s">
        <v>924</v>
      </c>
      <c r="F760" s="22">
        <v>3030318000</v>
      </c>
      <c r="G760" s="22">
        <v>71</v>
      </c>
      <c r="H760" s="22" t="s">
        <v>2461</v>
      </c>
    </row>
    <row r="761" spans="1:8" x14ac:dyDescent="0.35">
      <c r="A761" s="22" t="s">
        <v>851</v>
      </c>
      <c r="B761" s="22" t="str">
        <f>"03318"</f>
        <v>03318</v>
      </c>
      <c r="C761" s="22" t="str">
        <f t="shared" si="11"/>
        <v>'3318.HK'</v>
      </c>
      <c r="D761" s="22" t="s">
        <v>2462</v>
      </c>
      <c r="E761" s="22" t="s">
        <v>1451</v>
      </c>
      <c r="F761" s="22">
        <v>3014628887.3400002</v>
      </c>
      <c r="G761" s="22">
        <v>11</v>
      </c>
      <c r="H761" s="22" t="s">
        <v>2463</v>
      </c>
    </row>
    <row r="762" spans="1:8" x14ac:dyDescent="0.35">
      <c r="A762" s="22" t="s">
        <v>851</v>
      </c>
      <c r="B762" s="22" t="str">
        <f>"01628"</f>
        <v>01628</v>
      </c>
      <c r="C762" s="22" t="str">
        <f t="shared" si="11"/>
        <v>'1628.HK'</v>
      </c>
      <c r="D762" s="22" t="s">
        <v>2464</v>
      </c>
      <c r="E762" s="22" t="s">
        <v>924</v>
      </c>
      <c r="F762" s="22">
        <v>3010198370</v>
      </c>
      <c r="G762" s="22">
        <v>114</v>
      </c>
      <c r="H762" s="22" t="s">
        <v>2465</v>
      </c>
    </row>
    <row r="763" spans="1:8" x14ac:dyDescent="0.35">
      <c r="A763" s="22" t="s">
        <v>851</v>
      </c>
      <c r="B763" s="22" t="str">
        <f>"01084"</f>
        <v>01084</v>
      </c>
      <c r="C763" s="22" t="str">
        <f t="shared" si="11"/>
        <v>'1084.HK'</v>
      </c>
      <c r="D763" s="22" t="s">
        <v>2466</v>
      </c>
      <c r="E763" s="22" t="s">
        <v>1451</v>
      </c>
      <c r="F763" s="22">
        <v>3003931840</v>
      </c>
      <c r="G763" s="22">
        <v>6</v>
      </c>
      <c r="H763" s="22" t="s">
        <v>2467</v>
      </c>
    </row>
    <row r="764" spans="1:8" x14ac:dyDescent="0.35">
      <c r="A764" s="22" t="s">
        <v>851</v>
      </c>
      <c r="B764" s="22" t="str">
        <f>"00798"</f>
        <v>00798</v>
      </c>
      <c r="C764" s="22" t="str">
        <f t="shared" si="11"/>
        <v>'0798.HK'</v>
      </c>
      <c r="D764" s="22" t="s">
        <v>2468</v>
      </c>
      <c r="E764" s="22" t="s">
        <v>1104</v>
      </c>
      <c r="F764" s="22">
        <v>2991869040</v>
      </c>
      <c r="G764" s="22">
        <v>27</v>
      </c>
      <c r="H764" s="22" t="s">
        <v>2469</v>
      </c>
    </row>
    <row r="765" spans="1:8" x14ac:dyDescent="0.35">
      <c r="A765" s="22" t="s">
        <v>851</v>
      </c>
      <c r="B765" s="22" t="str">
        <f>"01050"</f>
        <v>01050</v>
      </c>
      <c r="C765" s="22" t="str">
        <f t="shared" si="11"/>
        <v>'1050.HK'</v>
      </c>
      <c r="D765" s="22" t="s">
        <v>2470</v>
      </c>
      <c r="E765" s="22" t="s">
        <v>1152</v>
      </c>
      <c r="F765" s="22">
        <v>2991537616</v>
      </c>
      <c r="G765" s="22">
        <v>6</v>
      </c>
      <c r="H765" s="22" t="s">
        <v>2471</v>
      </c>
    </row>
    <row r="766" spans="1:8" x14ac:dyDescent="0.35">
      <c r="A766" s="22" t="s">
        <v>851</v>
      </c>
      <c r="B766" s="22" t="str">
        <f>"02448"</f>
        <v>02448</v>
      </c>
      <c r="C766" s="22" t="str">
        <f t="shared" si="11"/>
        <v>'2448.HK'</v>
      </c>
      <c r="D766" s="22" t="s">
        <v>2472</v>
      </c>
      <c r="E766" s="22" t="s">
        <v>1634</v>
      </c>
      <c r="F766" s="22">
        <v>2974140000</v>
      </c>
      <c r="G766" s="22">
        <v>7</v>
      </c>
      <c r="H766" s="22" t="s">
        <v>2473</v>
      </c>
    </row>
    <row r="767" spans="1:8" x14ac:dyDescent="0.35">
      <c r="A767" s="22" t="s">
        <v>851</v>
      </c>
      <c r="B767" s="22" t="str">
        <f>"01098"</f>
        <v>01098</v>
      </c>
      <c r="C767" s="22" t="str">
        <f t="shared" si="11"/>
        <v>'1098.HK'</v>
      </c>
      <c r="D767" s="22" t="s">
        <v>2474</v>
      </c>
      <c r="E767" s="22" t="s">
        <v>924</v>
      </c>
      <c r="F767" s="22">
        <v>2967372801.3600001</v>
      </c>
      <c r="G767" s="22">
        <v>153</v>
      </c>
      <c r="H767" s="22" t="s">
        <v>2475</v>
      </c>
    </row>
    <row r="768" spans="1:8" x14ac:dyDescent="0.35">
      <c r="A768" s="22" t="s">
        <v>851</v>
      </c>
      <c r="B768" s="22" t="str">
        <f>"06667"</f>
        <v>06667</v>
      </c>
      <c r="C768" s="22" t="str">
        <f t="shared" si="11"/>
        <v>'6667.HK'</v>
      </c>
      <c r="D768" s="22" t="s">
        <v>2476</v>
      </c>
      <c r="E768" s="22" t="s">
        <v>941</v>
      </c>
      <c r="F768" s="22">
        <v>2956929768</v>
      </c>
      <c r="G768" s="22">
        <v>1</v>
      </c>
      <c r="H768" s="22" t="s">
        <v>2477</v>
      </c>
    </row>
    <row r="769" spans="1:8" x14ac:dyDescent="0.35">
      <c r="A769" s="22" t="s">
        <v>851</v>
      </c>
      <c r="B769" s="22" t="str">
        <f>"00259"</f>
        <v>00259</v>
      </c>
      <c r="C769" s="22" t="str">
        <f t="shared" si="11"/>
        <v>'0259.HK'</v>
      </c>
      <c r="D769" s="22" t="s">
        <v>2478</v>
      </c>
      <c r="E769" s="22" t="s">
        <v>1167</v>
      </c>
      <c r="F769" s="22">
        <v>2953911660</v>
      </c>
      <c r="G769" s="22">
        <v>8</v>
      </c>
      <c r="H769" s="22" t="s">
        <v>2479</v>
      </c>
    </row>
    <row r="770" spans="1:8" x14ac:dyDescent="0.35">
      <c r="A770" s="22" t="s">
        <v>851</v>
      </c>
      <c r="B770" s="22" t="str">
        <f>"01034"</f>
        <v>01034</v>
      </c>
      <c r="C770" s="22" t="str">
        <f t="shared" si="11"/>
        <v>'1034.HK'</v>
      </c>
      <c r="D770" s="22" t="s">
        <v>2480</v>
      </c>
      <c r="E770" s="22" t="s">
        <v>1078</v>
      </c>
      <c r="F770" s="22">
        <v>2928000000</v>
      </c>
      <c r="G770" s="22">
        <v>2</v>
      </c>
      <c r="H770" s="22" t="s">
        <v>2481</v>
      </c>
    </row>
    <row r="771" spans="1:8" x14ac:dyDescent="0.35">
      <c r="A771" s="22" t="s">
        <v>851</v>
      </c>
      <c r="B771" s="22" t="str">
        <f>"01272"</f>
        <v>01272</v>
      </c>
      <c r="C771" s="22" t="str">
        <f t="shared" ref="C771:C834" si="12">CONCATENATE("'",RIGHT(B771,4),".HK'")</f>
        <v>'1272.HK'</v>
      </c>
      <c r="D771" s="22" t="s">
        <v>2482</v>
      </c>
      <c r="E771" s="22" t="s">
        <v>1301</v>
      </c>
      <c r="F771" s="22">
        <v>2848840320</v>
      </c>
      <c r="G771" s="22">
        <v>20</v>
      </c>
      <c r="H771" s="22" t="s">
        <v>2483</v>
      </c>
    </row>
    <row r="772" spans="1:8" x14ac:dyDescent="0.35">
      <c r="A772" s="22" t="s">
        <v>851</v>
      </c>
      <c r="B772" s="22" t="str">
        <f>"00607"</f>
        <v>00607</v>
      </c>
      <c r="C772" s="22" t="str">
        <f t="shared" si="12"/>
        <v>'0607.HK'</v>
      </c>
      <c r="D772" s="22" t="s">
        <v>2484</v>
      </c>
      <c r="E772" s="22" t="s">
        <v>1301</v>
      </c>
      <c r="F772" s="22">
        <v>2838945050.217</v>
      </c>
      <c r="G772" s="22">
        <v>20</v>
      </c>
      <c r="H772" s="22" t="s">
        <v>2485</v>
      </c>
    </row>
    <row r="773" spans="1:8" x14ac:dyDescent="0.35">
      <c r="A773" s="22" t="s">
        <v>851</v>
      </c>
      <c r="B773" s="22" t="str">
        <f>"02215"</f>
        <v>02215</v>
      </c>
      <c r="C773" s="22" t="str">
        <f t="shared" si="12"/>
        <v>'2215.HK'</v>
      </c>
      <c r="D773" s="22" t="s">
        <v>2486</v>
      </c>
      <c r="E773" s="22" t="s">
        <v>1104</v>
      </c>
      <c r="F773" s="22">
        <v>2838696900</v>
      </c>
      <c r="G773" s="22">
        <v>10</v>
      </c>
      <c r="H773" s="22" t="s">
        <v>2487</v>
      </c>
    </row>
    <row r="774" spans="1:8" x14ac:dyDescent="0.35">
      <c r="A774" s="22" t="s">
        <v>851</v>
      </c>
      <c r="B774" s="22" t="str">
        <f>"00305"</f>
        <v>00305</v>
      </c>
      <c r="C774" s="22" t="str">
        <f t="shared" si="12"/>
        <v>'0305.HK'</v>
      </c>
      <c r="D774" s="22" t="s">
        <v>2488</v>
      </c>
      <c r="E774" s="22" t="s">
        <v>1122</v>
      </c>
      <c r="F774" s="22">
        <v>2836418745.52</v>
      </c>
      <c r="G774" s="22">
        <v>31</v>
      </c>
      <c r="H774" s="22" t="s">
        <v>2489</v>
      </c>
    </row>
    <row r="775" spans="1:8" x14ac:dyDescent="0.35">
      <c r="A775" s="22" t="s">
        <v>851</v>
      </c>
      <c r="B775" s="22" t="str">
        <f>"00050"</f>
        <v>00050</v>
      </c>
      <c r="C775" s="22" t="str">
        <f t="shared" si="12"/>
        <v>'0050.HK'</v>
      </c>
      <c r="D775" s="22" t="s">
        <v>2490</v>
      </c>
      <c r="E775" s="22" t="s">
        <v>1028</v>
      </c>
      <c r="F775" s="22">
        <v>2832377369.8499999</v>
      </c>
      <c r="G775" s="22">
        <v>18</v>
      </c>
      <c r="H775" s="22" t="s">
        <v>2491</v>
      </c>
    </row>
    <row r="776" spans="1:8" x14ac:dyDescent="0.35">
      <c r="A776" s="22" t="s">
        <v>851</v>
      </c>
      <c r="B776" s="22" t="str">
        <f>"01345"</f>
        <v>01345</v>
      </c>
      <c r="C776" s="22" t="str">
        <f t="shared" si="12"/>
        <v>'1345.HK'</v>
      </c>
      <c r="D776" s="22" t="s">
        <v>2492</v>
      </c>
      <c r="E776" s="22" t="s">
        <v>969</v>
      </c>
      <c r="F776" s="22">
        <v>2829255750</v>
      </c>
      <c r="G776" s="22">
        <v>22</v>
      </c>
      <c r="H776" s="22" t="s">
        <v>2493</v>
      </c>
    </row>
    <row r="777" spans="1:8" x14ac:dyDescent="0.35">
      <c r="A777" s="22" t="s">
        <v>851</v>
      </c>
      <c r="B777" s="22" t="str">
        <f>"02420"</f>
        <v>02420</v>
      </c>
      <c r="C777" s="22" t="str">
        <f t="shared" si="12"/>
        <v>'2420.HK'</v>
      </c>
      <c r="D777" s="22" t="s">
        <v>2494</v>
      </c>
      <c r="E777" s="22" t="s">
        <v>853</v>
      </c>
      <c r="F777" s="22">
        <v>2825000000</v>
      </c>
      <c r="H777" s="22" t="s">
        <v>2495</v>
      </c>
    </row>
    <row r="778" spans="1:8" x14ac:dyDescent="0.35">
      <c r="A778" s="22" t="s">
        <v>851</v>
      </c>
      <c r="B778" s="22" t="str">
        <f>"08279"</f>
        <v>08279</v>
      </c>
      <c r="C778" s="22" t="str">
        <f t="shared" si="12"/>
        <v>'8279.HK'</v>
      </c>
      <c r="D778" s="22" t="s">
        <v>2496</v>
      </c>
      <c r="E778" s="22" t="s">
        <v>961</v>
      </c>
      <c r="F778" s="22">
        <v>2824706820.8699999</v>
      </c>
      <c r="G778" s="22">
        <v>6</v>
      </c>
      <c r="H778" s="22" t="s">
        <v>2497</v>
      </c>
    </row>
    <row r="779" spans="1:8" x14ac:dyDescent="0.35">
      <c r="A779" s="22" t="s">
        <v>851</v>
      </c>
      <c r="B779" s="22" t="str">
        <f>"00078"</f>
        <v>00078</v>
      </c>
      <c r="C779" s="22" t="str">
        <f t="shared" si="12"/>
        <v>'0078.HK'</v>
      </c>
      <c r="D779" s="22" t="s">
        <v>2498</v>
      </c>
      <c r="E779" s="22" t="s">
        <v>1070</v>
      </c>
      <c r="F779" s="22">
        <v>2786225232.3000002</v>
      </c>
      <c r="G779" s="22">
        <v>10</v>
      </c>
      <c r="H779" s="22" t="s">
        <v>2499</v>
      </c>
    </row>
    <row r="780" spans="1:8" x14ac:dyDescent="0.35">
      <c r="A780" s="22" t="s">
        <v>851</v>
      </c>
      <c r="B780" s="22" t="str">
        <f>"00580"</f>
        <v>00580</v>
      </c>
      <c r="C780" s="22" t="str">
        <f t="shared" si="12"/>
        <v>'0580.HK'</v>
      </c>
      <c r="D780" s="22" t="s">
        <v>2500</v>
      </c>
      <c r="E780" s="22" t="s">
        <v>1224</v>
      </c>
      <c r="F780" s="22">
        <v>2772067600</v>
      </c>
      <c r="G780" s="22">
        <v>15</v>
      </c>
      <c r="H780" s="22" t="s">
        <v>2501</v>
      </c>
    </row>
    <row r="781" spans="1:8" x14ac:dyDescent="0.35">
      <c r="A781" s="22" t="s">
        <v>851</v>
      </c>
      <c r="B781" s="22" t="str">
        <f>"06677"</f>
        <v>06677</v>
      </c>
      <c r="C781" s="22" t="str">
        <f t="shared" si="12"/>
        <v>'6677.HK'</v>
      </c>
      <c r="D781" s="22" t="s">
        <v>2502</v>
      </c>
      <c r="E781" s="22" t="s">
        <v>1104</v>
      </c>
      <c r="F781" s="22">
        <v>2770560000</v>
      </c>
      <c r="G781" s="22">
        <v>26</v>
      </c>
      <c r="H781" s="22" t="s">
        <v>2503</v>
      </c>
    </row>
    <row r="782" spans="1:8" x14ac:dyDescent="0.35">
      <c r="A782" s="22" t="s">
        <v>851</v>
      </c>
      <c r="B782" s="22" t="str">
        <f>"03833"</f>
        <v>03833</v>
      </c>
      <c r="C782" s="22" t="str">
        <f t="shared" si="12"/>
        <v>'3833.HK'</v>
      </c>
      <c r="D782" s="22" t="s">
        <v>2504</v>
      </c>
      <c r="E782" s="22" t="s">
        <v>1060</v>
      </c>
      <c r="F782" s="22">
        <v>2762500000</v>
      </c>
      <c r="G782" s="22">
        <v>13</v>
      </c>
      <c r="H782" s="22" t="s">
        <v>2505</v>
      </c>
    </row>
    <row r="783" spans="1:8" x14ac:dyDescent="0.35">
      <c r="A783" s="22" t="s">
        <v>851</v>
      </c>
      <c r="B783" s="22" t="str">
        <f>"02772"</f>
        <v>02772</v>
      </c>
      <c r="C783" s="22" t="str">
        <f t="shared" si="12"/>
        <v>'2772.HK'</v>
      </c>
      <c r="D783" s="22" t="s">
        <v>2506</v>
      </c>
      <c r="E783" s="22" t="s">
        <v>924</v>
      </c>
      <c r="F783" s="22">
        <v>2757979455</v>
      </c>
      <c r="G783" s="22">
        <v>37</v>
      </c>
      <c r="H783" s="22" t="s">
        <v>2507</v>
      </c>
    </row>
    <row r="784" spans="1:8" x14ac:dyDescent="0.35">
      <c r="A784" s="22" t="s">
        <v>851</v>
      </c>
      <c r="B784" s="22" t="str">
        <f>"02225"</f>
        <v>02225</v>
      </c>
      <c r="C784" s="22" t="str">
        <f t="shared" si="12"/>
        <v>'2225.HK'</v>
      </c>
      <c r="D784" s="22" t="s">
        <v>2508</v>
      </c>
      <c r="E784" s="22" t="s">
        <v>1671</v>
      </c>
      <c r="F784" s="22">
        <v>2755200000</v>
      </c>
      <c r="G784" s="22">
        <v>2</v>
      </c>
      <c r="H784" s="22" t="s">
        <v>2509</v>
      </c>
    </row>
    <row r="785" spans="1:8" x14ac:dyDescent="0.35">
      <c r="A785" s="22" t="s">
        <v>851</v>
      </c>
      <c r="B785" s="22" t="str">
        <f>"00194"</f>
        <v>00194</v>
      </c>
      <c r="C785" s="22" t="str">
        <f t="shared" si="12"/>
        <v>'0194.HK'</v>
      </c>
      <c r="D785" s="22" t="s">
        <v>2510</v>
      </c>
      <c r="E785" s="22" t="s">
        <v>1028</v>
      </c>
      <c r="F785" s="22">
        <v>2744729940</v>
      </c>
      <c r="G785" s="22">
        <v>22</v>
      </c>
      <c r="H785" s="22" t="s">
        <v>2511</v>
      </c>
    </row>
    <row r="786" spans="1:8" x14ac:dyDescent="0.35">
      <c r="A786" s="22" t="s">
        <v>851</v>
      </c>
      <c r="B786" s="22" t="str">
        <f>"02385"</f>
        <v>02385</v>
      </c>
      <c r="C786" s="22" t="str">
        <f t="shared" si="12"/>
        <v>'2385.HK'</v>
      </c>
      <c r="D786" s="22" t="s">
        <v>2512</v>
      </c>
      <c r="E786" s="22" t="s">
        <v>1270</v>
      </c>
      <c r="F786" s="22">
        <v>2742080000</v>
      </c>
      <c r="G786" s="22">
        <v>1</v>
      </c>
      <c r="H786" s="22" t="s">
        <v>2513</v>
      </c>
    </row>
    <row r="787" spans="1:8" x14ac:dyDescent="0.35">
      <c r="A787" s="22" t="s">
        <v>851</v>
      </c>
      <c r="B787" s="22" t="str">
        <f>"01651"</f>
        <v>01651</v>
      </c>
      <c r="C787" s="22" t="str">
        <f t="shared" si="12"/>
        <v>'1651.HK'</v>
      </c>
      <c r="D787" s="22" t="s">
        <v>2514</v>
      </c>
      <c r="E787" s="22" t="s">
        <v>1224</v>
      </c>
      <c r="F787" s="22">
        <v>2741788800</v>
      </c>
      <c r="G787" s="22">
        <v>11</v>
      </c>
      <c r="H787" s="22" t="s">
        <v>2515</v>
      </c>
    </row>
    <row r="788" spans="1:8" x14ac:dyDescent="0.35">
      <c r="A788" s="22" t="s">
        <v>851</v>
      </c>
      <c r="B788" s="22" t="str">
        <f>"00807"</f>
        <v>00807</v>
      </c>
      <c r="C788" s="22" t="str">
        <f t="shared" si="12"/>
        <v>'0807.HK'</v>
      </c>
      <c r="D788" s="22" t="s">
        <v>2516</v>
      </c>
      <c r="E788" s="22" t="s">
        <v>1255</v>
      </c>
      <c r="F788" s="22">
        <v>2730205669.5599999</v>
      </c>
      <c r="G788" s="22">
        <v>53</v>
      </c>
      <c r="H788" s="22" t="s">
        <v>2517</v>
      </c>
    </row>
    <row r="789" spans="1:8" x14ac:dyDescent="0.35">
      <c r="A789" s="22" t="s">
        <v>851</v>
      </c>
      <c r="B789" s="22" t="str">
        <f>"00158"</f>
        <v>00158</v>
      </c>
      <c r="C789" s="22" t="str">
        <f t="shared" si="12"/>
        <v>'0158.HK'</v>
      </c>
      <c r="D789" s="22" t="s">
        <v>2518</v>
      </c>
      <c r="E789" s="22" t="s">
        <v>1028</v>
      </c>
      <c r="F789" s="22">
        <v>2725000000</v>
      </c>
      <c r="G789" s="22">
        <v>11</v>
      </c>
      <c r="H789" s="22" t="s">
        <v>2519</v>
      </c>
    </row>
    <row r="790" spans="1:8" x14ac:dyDescent="0.35">
      <c r="A790" s="22" t="s">
        <v>851</v>
      </c>
      <c r="B790" s="22" t="str">
        <f>"01729"</f>
        <v>01729</v>
      </c>
      <c r="C790" s="22" t="str">
        <f t="shared" si="12"/>
        <v>'1729.HK'</v>
      </c>
      <c r="D790" s="22" t="s">
        <v>2520</v>
      </c>
      <c r="E790" s="22" t="s">
        <v>938</v>
      </c>
      <c r="F790" s="22">
        <v>2724332800</v>
      </c>
      <c r="G790" s="22">
        <v>9</v>
      </c>
      <c r="H790" s="22" t="s">
        <v>2521</v>
      </c>
    </row>
    <row r="791" spans="1:8" x14ac:dyDescent="0.35">
      <c r="A791" s="22" t="s">
        <v>851</v>
      </c>
      <c r="B791" s="22" t="str">
        <f>"00709"</f>
        <v>00709</v>
      </c>
      <c r="C791" s="22" t="str">
        <f t="shared" si="12"/>
        <v>'0709.HK'</v>
      </c>
      <c r="D791" s="22" t="s">
        <v>2522</v>
      </c>
      <c r="E791" s="22" t="s">
        <v>889</v>
      </c>
      <c r="F791" s="22">
        <v>2718402410.96</v>
      </c>
      <c r="G791" s="22">
        <v>34</v>
      </c>
      <c r="H791" s="22" t="s">
        <v>2523</v>
      </c>
    </row>
    <row r="792" spans="1:8" x14ac:dyDescent="0.35">
      <c r="A792" s="22" t="s">
        <v>851</v>
      </c>
      <c r="B792" s="22" t="str">
        <f>"01450"</f>
        <v>01450</v>
      </c>
      <c r="C792" s="22" t="str">
        <f t="shared" si="12"/>
        <v>'1450.HK'</v>
      </c>
      <c r="D792" s="22" t="s">
        <v>2524</v>
      </c>
      <c r="E792" s="22" t="s">
        <v>1202</v>
      </c>
      <c r="F792" s="22">
        <v>2714330959.6500001</v>
      </c>
      <c r="G792" s="22">
        <v>2</v>
      </c>
      <c r="H792" s="22" t="s">
        <v>2525</v>
      </c>
    </row>
    <row r="793" spans="1:8" x14ac:dyDescent="0.35">
      <c r="A793" s="22" t="s">
        <v>851</v>
      </c>
      <c r="B793" s="22" t="str">
        <f>"00978"</f>
        <v>00978</v>
      </c>
      <c r="C793" s="22" t="str">
        <f t="shared" si="12"/>
        <v>'0978.HK'</v>
      </c>
      <c r="D793" s="22" t="s">
        <v>2526</v>
      </c>
      <c r="E793" s="22" t="s">
        <v>924</v>
      </c>
      <c r="F793" s="22">
        <v>2697891823</v>
      </c>
      <c r="G793" s="22">
        <v>72</v>
      </c>
      <c r="H793" s="22" t="s">
        <v>2527</v>
      </c>
    </row>
    <row r="794" spans="1:8" x14ac:dyDescent="0.35">
      <c r="A794" s="22" t="s">
        <v>851</v>
      </c>
      <c r="B794" s="22" t="str">
        <f>"01970"</f>
        <v>01970</v>
      </c>
      <c r="C794" s="22" t="str">
        <f t="shared" si="12"/>
        <v>'1970.HK'</v>
      </c>
      <c r="D794" s="22" t="s">
        <v>2528</v>
      </c>
      <c r="E794" s="22" t="s">
        <v>1185</v>
      </c>
      <c r="F794" s="22">
        <v>2697856159.6799998</v>
      </c>
      <c r="G794" s="22">
        <v>40</v>
      </c>
      <c r="H794" s="22" t="s">
        <v>2529</v>
      </c>
    </row>
    <row r="795" spans="1:8" x14ac:dyDescent="0.35">
      <c r="A795" s="22" t="s">
        <v>851</v>
      </c>
      <c r="B795" s="22" t="str">
        <f>"01432"</f>
        <v>01432</v>
      </c>
      <c r="C795" s="22" t="str">
        <f t="shared" si="12"/>
        <v>'1432.HK'</v>
      </c>
      <c r="D795" s="22" t="s">
        <v>2530</v>
      </c>
      <c r="E795" s="22" t="s">
        <v>1019</v>
      </c>
      <c r="F795" s="22">
        <v>2682014473.2800002</v>
      </c>
      <c r="G795" s="22">
        <v>19</v>
      </c>
      <c r="H795" s="22" t="s">
        <v>2531</v>
      </c>
    </row>
    <row r="796" spans="1:8" x14ac:dyDescent="0.35">
      <c r="A796" s="22" t="s">
        <v>851</v>
      </c>
      <c r="B796" s="22" t="str">
        <f>"09960"</f>
        <v>09960</v>
      </c>
      <c r="C796" s="22" t="str">
        <f t="shared" si="12"/>
        <v>'9960.HK'</v>
      </c>
      <c r="D796" s="22" t="s">
        <v>2532</v>
      </c>
      <c r="E796" s="22" t="s">
        <v>1362</v>
      </c>
      <c r="F796" s="22">
        <v>2681360452.48</v>
      </c>
      <c r="G796" s="22">
        <v>5</v>
      </c>
      <c r="H796" s="22" t="s">
        <v>2533</v>
      </c>
    </row>
    <row r="797" spans="1:8" x14ac:dyDescent="0.35">
      <c r="A797" s="22" t="s">
        <v>851</v>
      </c>
      <c r="B797" s="22" t="str">
        <f>"00085"</f>
        <v>00085</v>
      </c>
      <c r="C797" s="22" t="str">
        <f t="shared" si="12"/>
        <v>'0085.HK'</v>
      </c>
      <c r="D797" s="22" t="s">
        <v>2534</v>
      </c>
      <c r="E797" s="22" t="s">
        <v>1040</v>
      </c>
      <c r="F797" s="22">
        <v>2679431040</v>
      </c>
      <c r="G797" s="22">
        <v>21</v>
      </c>
      <c r="H797" s="22" t="s">
        <v>2535</v>
      </c>
    </row>
    <row r="798" spans="1:8" x14ac:dyDescent="0.35">
      <c r="A798" s="22" t="s">
        <v>851</v>
      </c>
      <c r="B798" s="22" t="str">
        <f>"00185"</f>
        <v>00185</v>
      </c>
      <c r="C798" s="22" t="str">
        <f t="shared" si="12"/>
        <v>'0185.HK'</v>
      </c>
      <c r="D798" s="22" t="s">
        <v>2536</v>
      </c>
      <c r="E798" s="22" t="s">
        <v>924</v>
      </c>
      <c r="F798" s="22">
        <v>2678741336.5999999</v>
      </c>
      <c r="G798" s="22">
        <v>9</v>
      </c>
      <c r="H798" s="22" t="s">
        <v>2537</v>
      </c>
    </row>
    <row r="799" spans="1:8" x14ac:dyDescent="0.35">
      <c r="A799" s="22" t="s">
        <v>851</v>
      </c>
      <c r="B799" s="22" t="str">
        <f>"01599"</f>
        <v>01599</v>
      </c>
      <c r="C799" s="22" t="str">
        <f t="shared" si="12"/>
        <v>'1599.HK'</v>
      </c>
      <c r="D799" s="22" t="s">
        <v>2538</v>
      </c>
      <c r="E799" s="22" t="s">
        <v>1634</v>
      </c>
      <c r="F799" s="22">
        <v>2670366600</v>
      </c>
      <c r="G799" s="22">
        <v>51</v>
      </c>
      <c r="H799" s="22" t="s">
        <v>2539</v>
      </c>
    </row>
    <row r="800" spans="1:8" x14ac:dyDescent="0.35">
      <c r="A800" s="22" t="s">
        <v>851</v>
      </c>
      <c r="B800" s="22" t="str">
        <f>"01899"</f>
        <v>01899</v>
      </c>
      <c r="C800" s="22" t="str">
        <f t="shared" si="12"/>
        <v>'1899.HK'</v>
      </c>
      <c r="D800" s="22" t="s">
        <v>2540</v>
      </c>
      <c r="E800" s="22" t="s">
        <v>1109</v>
      </c>
      <c r="F800" s="22">
        <v>2659912318.4000001</v>
      </c>
      <c r="G800" s="22">
        <v>38</v>
      </c>
      <c r="H800" s="22" t="s">
        <v>2541</v>
      </c>
    </row>
    <row r="801" spans="1:8" x14ac:dyDescent="0.35">
      <c r="A801" s="22" t="s">
        <v>851</v>
      </c>
      <c r="B801" s="22" t="str">
        <f>"03393"</f>
        <v>03393</v>
      </c>
      <c r="C801" s="22" t="str">
        <f t="shared" si="12"/>
        <v>'3393.HK'</v>
      </c>
      <c r="D801" s="22" t="s">
        <v>2542</v>
      </c>
      <c r="E801" s="22" t="s">
        <v>1224</v>
      </c>
      <c r="F801" s="22">
        <v>2658998732.25</v>
      </c>
      <c r="G801" s="22">
        <v>27</v>
      </c>
      <c r="H801" s="22" t="s">
        <v>2543</v>
      </c>
    </row>
    <row r="802" spans="1:8" x14ac:dyDescent="0.35">
      <c r="A802" s="22" t="s">
        <v>851</v>
      </c>
      <c r="B802" s="22" t="str">
        <f>"00088"</f>
        <v>00088</v>
      </c>
      <c r="C802" s="22" t="str">
        <f t="shared" si="12"/>
        <v>'0088.HK'</v>
      </c>
      <c r="D802" s="22" t="s">
        <v>2544</v>
      </c>
      <c r="E802" s="22" t="s">
        <v>924</v>
      </c>
      <c r="F802" s="22">
        <v>2655385127.5</v>
      </c>
      <c r="G802" s="22">
        <v>14</v>
      </c>
      <c r="H802" s="22" t="s">
        <v>2545</v>
      </c>
    </row>
    <row r="803" spans="1:8" x14ac:dyDescent="0.35">
      <c r="A803" s="22" t="s">
        <v>851</v>
      </c>
      <c r="B803" s="22" t="str">
        <f>"01223"</f>
        <v>01223</v>
      </c>
      <c r="C803" s="22" t="str">
        <f t="shared" si="12"/>
        <v>'1223.HK'</v>
      </c>
      <c r="D803" s="22" t="s">
        <v>2546</v>
      </c>
      <c r="E803" s="22" t="s">
        <v>1332</v>
      </c>
      <c r="F803" s="22">
        <v>2647060457.3699999</v>
      </c>
      <c r="G803" s="22">
        <v>2</v>
      </c>
      <c r="H803" s="22" t="s">
        <v>2547</v>
      </c>
    </row>
    <row r="804" spans="1:8" x14ac:dyDescent="0.35">
      <c r="A804" s="22" t="s">
        <v>851</v>
      </c>
      <c r="B804" s="22" t="str">
        <f>"01680"</f>
        <v>01680</v>
      </c>
      <c r="C804" s="22" t="str">
        <f t="shared" si="12"/>
        <v>'1680.HK'</v>
      </c>
      <c r="D804" s="22" t="s">
        <v>2548</v>
      </c>
      <c r="E804" s="22" t="s">
        <v>961</v>
      </c>
      <c r="F804" s="22">
        <v>2635504526</v>
      </c>
      <c r="G804" s="22">
        <v>12</v>
      </c>
      <c r="H804" s="22" t="s">
        <v>2549</v>
      </c>
    </row>
    <row r="805" spans="1:8" x14ac:dyDescent="0.35">
      <c r="A805" s="22" t="s">
        <v>851</v>
      </c>
      <c r="B805" s="22" t="str">
        <f>"00626"</f>
        <v>00626</v>
      </c>
      <c r="C805" s="22" t="str">
        <f t="shared" si="12"/>
        <v>'0626.HK'</v>
      </c>
      <c r="D805" s="22" t="s">
        <v>2550</v>
      </c>
      <c r="E805" s="22" t="s">
        <v>858</v>
      </c>
      <c r="F805" s="22">
        <v>2635002283.1999998</v>
      </c>
      <c r="G805" s="22">
        <v>19</v>
      </c>
      <c r="H805" s="22" t="s">
        <v>2551</v>
      </c>
    </row>
    <row r="806" spans="1:8" x14ac:dyDescent="0.35">
      <c r="A806" s="22" t="s">
        <v>851</v>
      </c>
      <c r="B806" s="22" t="str">
        <f>"01660"</f>
        <v>01660</v>
      </c>
      <c r="C806" s="22" t="str">
        <f t="shared" si="12"/>
        <v>'1660.HK'</v>
      </c>
      <c r="D806" s="22" t="s">
        <v>2552</v>
      </c>
      <c r="E806" s="22" t="s">
        <v>1395</v>
      </c>
      <c r="F806" s="22">
        <v>2632875000</v>
      </c>
      <c r="G806" s="22">
        <v>3</v>
      </c>
      <c r="H806" s="22" t="s">
        <v>2553</v>
      </c>
    </row>
    <row r="807" spans="1:8" x14ac:dyDescent="0.35">
      <c r="A807" s="22" t="s">
        <v>851</v>
      </c>
      <c r="B807" s="22" t="str">
        <f>"01931"</f>
        <v>01931</v>
      </c>
      <c r="C807" s="22" t="str">
        <f t="shared" si="12"/>
        <v>'1931.HK'</v>
      </c>
      <c r="D807" s="22" t="s">
        <v>2554</v>
      </c>
      <c r="E807" s="22" t="s">
        <v>1232</v>
      </c>
      <c r="F807" s="22">
        <v>2627904755.1999998</v>
      </c>
      <c r="G807" s="22">
        <v>3</v>
      </c>
      <c r="H807" s="22" t="s">
        <v>2555</v>
      </c>
    </row>
    <row r="808" spans="1:8" x14ac:dyDescent="0.35">
      <c r="A808" s="22" t="s">
        <v>851</v>
      </c>
      <c r="B808" s="22" t="str">
        <f>"01231"</f>
        <v>01231</v>
      </c>
      <c r="C808" s="22" t="str">
        <f t="shared" si="12"/>
        <v>'1231.HK'</v>
      </c>
      <c r="D808" s="22" t="s">
        <v>2556</v>
      </c>
      <c r="E808" s="22" t="s">
        <v>1579</v>
      </c>
      <c r="F808" s="22">
        <v>2600000000</v>
      </c>
      <c r="G808" s="22">
        <v>3</v>
      </c>
      <c r="H808" s="22" t="s">
        <v>2557</v>
      </c>
    </row>
    <row r="809" spans="1:8" x14ac:dyDescent="0.35">
      <c r="A809" s="22" t="s">
        <v>851</v>
      </c>
      <c r="B809" s="22" t="str">
        <f>"01122"</f>
        <v>01122</v>
      </c>
      <c r="C809" s="22" t="str">
        <f t="shared" si="12"/>
        <v>'1122.HK'</v>
      </c>
      <c r="D809" s="22" t="s">
        <v>2558</v>
      </c>
      <c r="E809" s="22" t="s">
        <v>1109</v>
      </c>
      <c r="F809" s="22">
        <v>2581558998.7199998</v>
      </c>
      <c r="G809" s="22">
        <v>33</v>
      </c>
      <c r="H809" s="22" t="s">
        <v>2559</v>
      </c>
    </row>
    <row r="810" spans="1:8" x14ac:dyDescent="0.35">
      <c r="A810" s="22" t="s">
        <v>851</v>
      </c>
      <c r="B810" s="22" t="str">
        <f>"03611"</f>
        <v>03611</v>
      </c>
      <c r="C810" s="22" t="str">
        <f t="shared" si="12"/>
        <v>'3611.HK'</v>
      </c>
      <c r="D810" s="22" t="s">
        <v>2560</v>
      </c>
      <c r="E810" s="22" t="s">
        <v>853</v>
      </c>
      <c r="F810" s="22">
        <v>2580000000</v>
      </c>
      <c r="H810" s="22" t="s">
        <v>2561</v>
      </c>
    </row>
    <row r="811" spans="1:8" x14ac:dyDescent="0.35">
      <c r="A811" s="22" t="s">
        <v>851</v>
      </c>
      <c r="B811" s="22" t="str">
        <f>"00411"</f>
        <v>00411</v>
      </c>
      <c r="C811" s="22" t="str">
        <f t="shared" si="12"/>
        <v>'0411.HK'</v>
      </c>
      <c r="D811" s="22" t="s">
        <v>2562</v>
      </c>
      <c r="E811" s="22" t="s">
        <v>1329</v>
      </c>
      <c r="F811" s="22">
        <v>2579554149</v>
      </c>
      <c r="G811" s="22">
        <v>25</v>
      </c>
      <c r="H811" s="22" t="s">
        <v>2563</v>
      </c>
    </row>
    <row r="812" spans="1:8" x14ac:dyDescent="0.35">
      <c r="A812" s="22" t="s">
        <v>851</v>
      </c>
      <c r="B812" s="22" t="str">
        <f>"02383"</f>
        <v>02383</v>
      </c>
      <c r="C812" s="22" t="str">
        <f t="shared" si="12"/>
        <v>'2383.HK'</v>
      </c>
      <c r="D812" s="22" t="s">
        <v>2564</v>
      </c>
      <c r="E812" s="22" t="s">
        <v>1400</v>
      </c>
      <c r="F812" s="22">
        <v>2533446757.1199999</v>
      </c>
      <c r="G812" s="22">
        <v>7</v>
      </c>
      <c r="H812" s="22" t="s">
        <v>2565</v>
      </c>
    </row>
    <row r="813" spans="1:8" x14ac:dyDescent="0.35">
      <c r="A813" s="22" t="s">
        <v>851</v>
      </c>
      <c r="B813" s="22" t="str">
        <f>"03886"</f>
        <v>03886</v>
      </c>
      <c r="C813" s="22" t="str">
        <f t="shared" si="12"/>
        <v>'3886.HK'</v>
      </c>
      <c r="D813" s="22" t="s">
        <v>2566</v>
      </c>
      <c r="E813" s="22" t="s">
        <v>1362</v>
      </c>
      <c r="F813" s="22">
        <v>2529458547.2399998</v>
      </c>
      <c r="G813" s="22">
        <v>6</v>
      </c>
      <c r="H813" s="22" t="s">
        <v>2567</v>
      </c>
    </row>
    <row r="814" spans="1:8" x14ac:dyDescent="0.35">
      <c r="A814" s="22" t="s">
        <v>851</v>
      </c>
      <c r="B814" s="22" t="str">
        <f>"00400"</f>
        <v>00400</v>
      </c>
      <c r="C814" s="22" t="str">
        <f t="shared" si="12"/>
        <v>'0400.HK'</v>
      </c>
      <c r="D814" s="22" t="s">
        <v>2568</v>
      </c>
      <c r="E814" s="22" t="s">
        <v>853</v>
      </c>
      <c r="F814" s="22">
        <v>2509672917.5999999</v>
      </c>
      <c r="G814" s="22">
        <v>35</v>
      </c>
      <c r="H814" s="22" t="s">
        <v>2569</v>
      </c>
    </row>
    <row r="815" spans="1:8" x14ac:dyDescent="0.35">
      <c r="A815" s="22" t="s">
        <v>851</v>
      </c>
      <c r="B815" s="22" t="str">
        <f>"00163"</f>
        <v>00163</v>
      </c>
      <c r="C815" s="22" t="str">
        <f t="shared" si="12"/>
        <v>'0163.HK'</v>
      </c>
      <c r="D815" s="22" t="s">
        <v>2570</v>
      </c>
      <c r="E815" s="22" t="s">
        <v>1028</v>
      </c>
      <c r="F815" s="22">
        <v>2463955596.8899999</v>
      </c>
      <c r="G815" s="22">
        <v>41</v>
      </c>
      <c r="H815" s="22" t="s">
        <v>2571</v>
      </c>
    </row>
    <row r="816" spans="1:8" x14ac:dyDescent="0.35">
      <c r="A816" s="22" t="s">
        <v>851</v>
      </c>
      <c r="B816" s="22" t="str">
        <f>"09991"</f>
        <v>09991</v>
      </c>
      <c r="C816" s="22" t="str">
        <f t="shared" si="12"/>
        <v>'9991.HK'</v>
      </c>
      <c r="D816" s="22" t="s">
        <v>2572</v>
      </c>
      <c r="E816" s="22" t="s">
        <v>853</v>
      </c>
      <c r="F816" s="22">
        <v>2454735234.2399998</v>
      </c>
      <c r="G816" s="22">
        <v>13</v>
      </c>
      <c r="H816" s="22" t="s">
        <v>2573</v>
      </c>
    </row>
    <row r="817" spans="1:8" x14ac:dyDescent="0.35">
      <c r="A817" s="22" t="s">
        <v>851</v>
      </c>
      <c r="B817" s="22" t="str">
        <f>"00331"</f>
        <v>00331</v>
      </c>
      <c r="C817" s="22" t="str">
        <f t="shared" si="12"/>
        <v>'0331.HK'</v>
      </c>
      <c r="D817" s="22" t="s">
        <v>2574</v>
      </c>
      <c r="E817" s="22" t="s">
        <v>1634</v>
      </c>
      <c r="F817" s="22">
        <v>2452500000</v>
      </c>
      <c r="G817" s="22">
        <v>14</v>
      </c>
      <c r="H817" s="22" t="s">
        <v>2575</v>
      </c>
    </row>
    <row r="818" spans="1:8" x14ac:dyDescent="0.35">
      <c r="A818" s="22" t="s">
        <v>851</v>
      </c>
      <c r="B818" s="22" t="str">
        <f>"00846"</f>
        <v>00846</v>
      </c>
      <c r="C818" s="22" t="str">
        <f t="shared" si="12"/>
        <v>'0846.HK'</v>
      </c>
      <c r="D818" s="22" t="s">
        <v>2576</v>
      </c>
      <c r="E818" s="22" t="s">
        <v>924</v>
      </c>
      <c r="F818" s="22">
        <v>2437380410.4000001</v>
      </c>
      <c r="G818" s="22">
        <v>8</v>
      </c>
      <c r="H818" s="22" t="s">
        <v>2577</v>
      </c>
    </row>
    <row r="819" spans="1:8" x14ac:dyDescent="0.35">
      <c r="A819" s="22" t="s">
        <v>851</v>
      </c>
      <c r="B819" s="22" t="str">
        <f>"01442"</f>
        <v>01442</v>
      </c>
      <c r="C819" s="22" t="str">
        <f t="shared" si="12"/>
        <v>'1442.HK'</v>
      </c>
      <c r="D819" s="22" t="s">
        <v>2578</v>
      </c>
      <c r="E819" s="22" t="s">
        <v>974</v>
      </c>
      <c r="F819" s="22">
        <v>2435520000</v>
      </c>
      <c r="G819" s="22">
        <v>4</v>
      </c>
      <c r="H819" s="22" t="s">
        <v>2579</v>
      </c>
    </row>
    <row r="820" spans="1:8" x14ac:dyDescent="0.35">
      <c r="A820" s="22" t="s">
        <v>851</v>
      </c>
      <c r="B820" s="22" t="str">
        <f>"02722"</f>
        <v>02722</v>
      </c>
      <c r="C820" s="22" t="str">
        <f t="shared" si="12"/>
        <v>'2722.HK'</v>
      </c>
      <c r="D820" s="22" t="s">
        <v>2580</v>
      </c>
      <c r="E820" s="22" t="s">
        <v>1224</v>
      </c>
      <c r="F820" s="22">
        <v>2431862501.6399999</v>
      </c>
      <c r="G820" s="22">
        <v>24</v>
      </c>
      <c r="H820" s="22" t="s">
        <v>2581</v>
      </c>
    </row>
    <row r="821" spans="1:8" x14ac:dyDescent="0.35">
      <c r="A821" s="22" t="s">
        <v>851</v>
      </c>
      <c r="B821" s="22" t="str">
        <f>"01543"</f>
        <v>01543</v>
      </c>
      <c r="C821" s="22" t="str">
        <f t="shared" si="12"/>
        <v>'1543.HK'</v>
      </c>
      <c r="D821" s="22" t="s">
        <v>2582</v>
      </c>
      <c r="E821" s="22" t="s">
        <v>1498</v>
      </c>
      <c r="F821" s="22">
        <v>2419228664.8499999</v>
      </c>
      <c r="G821" s="22">
        <v>7</v>
      </c>
      <c r="H821" s="22" t="s">
        <v>2583</v>
      </c>
    </row>
    <row r="822" spans="1:8" x14ac:dyDescent="0.35">
      <c r="A822" s="22" t="s">
        <v>851</v>
      </c>
      <c r="B822" s="22" t="str">
        <f>"06978"</f>
        <v>06978</v>
      </c>
      <c r="C822" s="22" t="str">
        <f t="shared" si="12"/>
        <v>'6978.HK'</v>
      </c>
      <c r="D822" s="22" t="s">
        <v>2584</v>
      </c>
      <c r="E822" s="22" t="s">
        <v>941</v>
      </c>
      <c r="F822" s="22">
        <v>2408253120</v>
      </c>
      <c r="G822" s="22">
        <v>12</v>
      </c>
      <c r="H822" s="22" t="s">
        <v>2585</v>
      </c>
    </row>
    <row r="823" spans="1:8" x14ac:dyDescent="0.35">
      <c r="A823" s="22" t="s">
        <v>851</v>
      </c>
      <c r="B823" s="22" t="str">
        <f>"00330"</f>
        <v>00330</v>
      </c>
      <c r="C823" s="22" t="str">
        <f t="shared" si="12"/>
        <v>'0330.HK'</v>
      </c>
      <c r="D823" s="22" t="s">
        <v>2586</v>
      </c>
      <c r="E823" s="22" t="s">
        <v>889</v>
      </c>
      <c r="F823" s="22">
        <v>2406194741.5500002</v>
      </c>
      <c r="G823" s="22">
        <v>17</v>
      </c>
      <c r="H823" s="22" t="s">
        <v>2587</v>
      </c>
    </row>
    <row r="824" spans="1:8" x14ac:dyDescent="0.35">
      <c r="A824" s="22" t="s">
        <v>851</v>
      </c>
      <c r="B824" s="22" t="str">
        <f>"01184"</f>
        <v>01184</v>
      </c>
      <c r="C824" s="22" t="str">
        <f t="shared" si="12"/>
        <v>'1184.HK'</v>
      </c>
      <c r="D824" s="22" t="s">
        <v>2588</v>
      </c>
      <c r="E824" s="22" t="s">
        <v>1224</v>
      </c>
      <c r="F824" s="22">
        <v>2378182272</v>
      </c>
      <c r="G824" s="22">
        <v>17</v>
      </c>
      <c r="H824" s="22" t="s">
        <v>2589</v>
      </c>
    </row>
    <row r="825" spans="1:8" x14ac:dyDescent="0.35">
      <c r="A825" s="22" t="s">
        <v>851</v>
      </c>
      <c r="B825" s="22" t="str">
        <f>"06601"</f>
        <v>06601</v>
      </c>
      <c r="C825" s="22" t="str">
        <f t="shared" si="12"/>
        <v>'6601.HK'</v>
      </c>
      <c r="D825" s="22" t="s">
        <v>2590</v>
      </c>
      <c r="E825" s="22" t="s">
        <v>1429</v>
      </c>
      <c r="F825" s="22">
        <v>2373333630</v>
      </c>
      <c r="G825" s="22">
        <v>19</v>
      </c>
      <c r="H825" s="22" t="s">
        <v>2591</v>
      </c>
    </row>
    <row r="826" spans="1:8" x14ac:dyDescent="0.35">
      <c r="A826" s="22" t="s">
        <v>851</v>
      </c>
      <c r="B826" s="22" t="str">
        <f>"02191"</f>
        <v>02191</v>
      </c>
      <c r="C826" s="22" t="str">
        <f t="shared" si="12"/>
        <v>'2191.HK'</v>
      </c>
      <c r="D826" s="22" t="s">
        <v>2592</v>
      </c>
      <c r="F826" s="22">
        <v>2368000000</v>
      </c>
      <c r="G826" s="22">
        <v>9</v>
      </c>
      <c r="H826" s="22" t="s">
        <v>2593</v>
      </c>
    </row>
    <row r="827" spans="1:8" x14ac:dyDescent="0.35">
      <c r="A827" s="22" t="s">
        <v>851</v>
      </c>
      <c r="B827" s="22" t="str">
        <f>"00818"</f>
        <v>00818</v>
      </c>
      <c r="C827" s="22" t="str">
        <f t="shared" si="12"/>
        <v>'0818.HK'</v>
      </c>
      <c r="D827" s="22" t="s">
        <v>2594</v>
      </c>
      <c r="E827" s="22" t="s">
        <v>853</v>
      </c>
      <c r="F827" s="22">
        <v>2360308759.75</v>
      </c>
      <c r="G827" s="22">
        <v>14</v>
      </c>
      <c r="H827" s="22" t="s">
        <v>2595</v>
      </c>
    </row>
    <row r="828" spans="1:8" x14ac:dyDescent="0.35">
      <c r="A828" s="22" t="s">
        <v>851</v>
      </c>
      <c r="B828" s="22" t="str">
        <f>"02361"</f>
        <v>02361</v>
      </c>
      <c r="C828" s="22" t="str">
        <f t="shared" si="12"/>
        <v>'2361.HK'</v>
      </c>
      <c r="D828" s="22" t="s">
        <v>2596</v>
      </c>
      <c r="E828" s="22" t="s">
        <v>1202</v>
      </c>
      <c r="F828" s="22">
        <v>2349204000</v>
      </c>
      <c r="G828" s="22">
        <v>1</v>
      </c>
      <c r="H828" s="22" t="s">
        <v>2597</v>
      </c>
    </row>
    <row r="829" spans="1:8" x14ac:dyDescent="0.35">
      <c r="A829" s="22" t="s">
        <v>851</v>
      </c>
      <c r="B829" s="22" t="str">
        <f>"02130"</f>
        <v>02130</v>
      </c>
      <c r="C829" s="22" t="str">
        <f t="shared" si="12"/>
        <v>'2130.HK'</v>
      </c>
      <c r="D829" s="22" t="s">
        <v>2598</v>
      </c>
      <c r="E829" s="22" t="s">
        <v>974</v>
      </c>
      <c r="F829" s="22">
        <v>2341328000</v>
      </c>
      <c r="G829" s="22">
        <v>2</v>
      </c>
      <c r="H829" s="22" t="s">
        <v>2599</v>
      </c>
    </row>
    <row r="830" spans="1:8" x14ac:dyDescent="0.35">
      <c r="A830" s="22" t="s">
        <v>851</v>
      </c>
      <c r="B830" s="22" t="str">
        <f>"02142"</f>
        <v>02142</v>
      </c>
      <c r="C830" s="22" t="str">
        <f t="shared" si="12"/>
        <v>'2142.HK'</v>
      </c>
      <c r="D830" s="22" t="s">
        <v>2600</v>
      </c>
      <c r="E830" s="22" t="s">
        <v>941</v>
      </c>
      <c r="F830" s="22">
        <v>2334506926.4000001</v>
      </c>
      <c r="G830" s="22">
        <v>26</v>
      </c>
      <c r="H830" s="22" t="s">
        <v>2601</v>
      </c>
    </row>
    <row r="831" spans="1:8" x14ac:dyDescent="0.35">
      <c r="A831" s="22" t="s">
        <v>851</v>
      </c>
      <c r="B831" s="22" t="str">
        <f>"01061"</f>
        <v>01061</v>
      </c>
      <c r="C831" s="22" t="str">
        <f t="shared" si="12"/>
        <v>'1061.HK'</v>
      </c>
      <c r="D831" s="22" t="s">
        <v>2602</v>
      </c>
      <c r="E831" s="22" t="s">
        <v>969</v>
      </c>
      <c r="F831" s="22">
        <v>2333213280</v>
      </c>
      <c r="G831" s="22">
        <v>54</v>
      </c>
      <c r="H831" s="22" t="s">
        <v>2603</v>
      </c>
    </row>
    <row r="832" spans="1:8" x14ac:dyDescent="0.35">
      <c r="A832" s="22" t="s">
        <v>851</v>
      </c>
      <c r="B832" s="22" t="str">
        <f>"09616"</f>
        <v>09616</v>
      </c>
      <c r="C832" s="22" t="str">
        <f t="shared" si="12"/>
        <v>'9616.HK'</v>
      </c>
      <c r="D832" s="22" t="s">
        <v>2604</v>
      </c>
      <c r="E832" s="22" t="s">
        <v>1270</v>
      </c>
      <c r="F832" s="22">
        <v>2326332726</v>
      </c>
      <c r="G832" s="22">
        <v>7</v>
      </c>
      <c r="H832" s="22" t="s">
        <v>2605</v>
      </c>
    </row>
    <row r="833" spans="1:8" x14ac:dyDescent="0.35">
      <c r="A833" s="22" t="s">
        <v>851</v>
      </c>
      <c r="B833" s="22" t="str">
        <f>"00750"</f>
        <v>00750</v>
      </c>
      <c r="C833" s="22" t="str">
        <f t="shared" si="12"/>
        <v>'0750.HK'</v>
      </c>
      <c r="D833" s="22" t="s">
        <v>2606</v>
      </c>
      <c r="E833" s="22" t="s">
        <v>1634</v>
      </c>
      <c r="F833" s="22">
        <v>2319395237.5999999</v>
      </c>
      <c r="G833" s="22">
        <v>17</v>
      </c>
      <c r="H833" s="22" t="s">
        <v>2607</v>
      </c>
    </row>
    <row r="834" spans="1:8" x14ac:dyDescent="0.35">
      <c r="A834" s="22" t="s">
        <v>851</v>
      </c>
      <c r="B834" s="22" t="str">
        <f>"02019"</f>
        <v>02019</v>
      </c>
      <c r="C834" s="22" t="str">
        <f t="shared" si="12"/>
        <v>'2019.HK'</v>
      </c>
      <c r="D834" s="22" t="s">
        <v>2608</v>
      </c>
      <c r="E834" s="22" t="s">
        <v>924</v>
      </c>
      <c r="F834" s="22">
        <v>2316085980</v>
      </c>
      <c r="G834" s="22">
        <v>25</v>
      </c>
      <c r="H834" s="22" t="s">
        <v>2609</v>
      </c>
    </row>
    <row r="835" spans="1:8" x14ac:dyDescent="0.35">
      <c r="A835" s="22" t="s">
        <v>851</v>
      </c>
      <c r="B835" s="22" t="str">
        <f>"00975"</f>
        <v>00975</v>
      </c>
      <c r="C835" s="22" t="str">
        <f t="shared" ref="C835:C898" si="13">CONCATENATE("'",RIGHT(B835,4),".HK'")</f>
        <v>'0975.HK'</v>
      </c>
      <c r="D835" s="22" t="s">
        <v>2610</v>
      </c>
      <c r="E835" s="22" t="s">
        <v>904</v>
      </c>
      <c r="F835" s="22">
        <v>2314298464.9200001</v>
      </c>
      <c r="G835" s="22">
        <v>10</v>
      </c>
      <c r="H835" s="22" t="s">
        <v>2611</v>
      </c>
    </row>
    <row r="836" spans="1:8" x14ac:dyDescent="0.35">
      <c r="A836" s="22" t="s">
        <v>851</v>
      </c>
      <c r="B836" s="22" t="str">
        <f>"03718"</f>
        <v>03718</v>
      </c>
      <c r="C836" s="22" t="str">
        <f t="shared" si="13"/>
        <v>'3718.HK'</v>
      </c>
      <c r="D836" s="22" t="s">
        <v>2612</v>
      </c>
      <c r="E836" s="22" t="s">
        <v>1301</v>
      </c>
      <c r="F836" s="22">
        <v>2304000000</v>
      </c>
      <c r="G836" s="22">
        <v>17</v>
      </c>
      <c r="H836" s="22" t="s">
        <v>2613</v>
      </c>
    </row>
    <row r="837" spans="1:8" x14ac:dyDescent="0.35">
      <c r="A837" s="22" t="s">
        <v>851</v>
      </c>
      <c r="B837" s="22" t="str">
        <f>"00860"</f>
        <v>00860</v>
      </c>
      <c r="C837" s="22" t="str">
        <f t="shared" si="13"/>
        <v>'0860.HK'</v>
      </c>
      <c r="D837" s="22" t="s">
        <v>2614</v>
      </c>
      <c r="E837" s="22" t="s">
        <v>886</v>
      </c>
      <c r="F837" s="22">
        <v>2297530556.3179998</v>
      </c>
      <c r="G837" s="22">
        <v>6</v>
      </c>
      <c r="H837" s="22" t="s">
        <v>2615</v>
      </c>
    </row>
    <row r="838" spans="1:8" x14ac:dyDescent="0.35">
      <c r="A838" s="22" t="s">
        <v>851</v>
      </c>
      <c r="B838" s="22" t="str">
        <f>"03989"</f>
        <v>03989</v>
      </c>
      <c r="C838" s="22" t="str">
        <f t="shared" si="13"/>
        <v>'3989.HK'</v>
      </c>
      <c r="D838" s="22" t="s">
        <v>2616</v>
      </c>
      <c r="E838" s="22" t="s">
        <v>1127</v>
      </c>
      <c r="F838" s="22">
        <v>2287157306.7199998</v>
      </c>
      <c r="G838" s="22">
        <v>12</v>
      </c>
      <c r="H838" s="22" t="s">
        <v>2617</v>
      </c>
    </row>
    <row r="839" spans="1:8" x14ac:dyDescent="0.35">
      <c r="A839" s="22" t="s">
        <v>851</v>
      </c>
      <c r="B839" s="22" t="str">
        <f>"03600"</f>
        <v>03600</v>
      </c>
      <c r="C839" s="22" t="str">
        <f t="shared" si="13"/>
        <v>'3600.HK'</v>
      </c>
      <c r="D839" s="22" t="s">
        <v>2618</v>
      </c>
      <c r="E839" s="22" t="s">
        <v>1232</v>
      </c>
      <c r="F839" s="22">
        <v>2282428490</v>
      </c>
      <c r="G839" s="22">
        <v>24</v>
      </c>
      <c r="H839" s="22" t="s">
        <v>2619</v>
      </c>
    </row>
    <row r="840" spans="1:8" x14ac:dyDescent="0.35">
      <c r="A840" s="22" t="s">
        <v>851</v>
      </c>
      <c r="B840" s="22" t="str">
        <f>"01523"</f>
        <v>01523</v>
      </c>
      <c r="C840" s="22" t="str">
        <f t="shared" si="13"/>
        <v>'1523.HK'</v>
      </c>
      <c r="D840" s="22" t="s">
        <v>2620</v>
      </c>
      <c r="E840" s="22" t="s">
        <v>1152</v>
      </c>
      <c r="F840" s="22">
        <v>2281427200</v>
      </c>
      <c r="G840" s="22">
        <v>33</v>
      </c>
      <c r="H840" s="22" t="s">
        <v>2621</v>
      </c>
    </row>
    <row r="841" spans="1:8" x14ac:dyDescent="0.35">
      <c r="A841" s="22" t="s">
        <v>851</v>
      </c>
      <c r="B841" s="22" t="str">
        <f>"01503"</f>
        <v>01503</v>
      </c>
      <c r="C841" s="22" t="str">
        <f t="shared" si="13"/>
        <v>'1503.HK'</v>
      </c>
      <c r="D841" s="22" t="s">
        <v>2622</v>
      </c>
      <c r="F841" s="22">
        <v>2278195488.98</v>
      </c>
      <c r="G841" s="22">
        <v>24</v>
      </c>
      <c r="H841" s="22" t="s">
        <v>2623</v>
      </c>
    </row>
    <row r="842" spans="1:8" x14ac:dyDescent="0.35">
      <c r="A842" s="22" t="s">
        <v>851</v>
      </c>
      <c r="B842" s="22" t="str">
        <f>"09911"</f>
        <v>09911</v>
      </c>
      <c r="C842" s="22" t="str">
        <f t="shared" si="13"/>
        <v>'9911.HK'</v>
      </c>
      <c r="D842" s="22" t="s">
        <v>2624</v>
      </c>
      <c r="E842" s="22" t="s">
        <v>853</v>
      </c>
      <c r="F842" s="22">
        <v>2275222560</v>
      </c>
      <c r="G842" s="22">
        <v>23</v>
      </c>
      <c r="H842" s="22" t="s">
        <v>2625</v>
      </c>
    </row>
    <row r="843" spans="1:8" x14ac:dyDescent="0.35">
      <c r="A843" s="22" t="s">
        <v>851</v>
      </c>
      <c r="B843" s="22" t="str">
        <f>"01005"</f>
        <v>01005</v>
      </c>
      <c r="C843" s="22" t="str">
        <f t="shared" si="13"/>
        <v>'1005.HK'</v>
      </c>
      <c r="D843" s="22" t="s">
        <v>2626</v>
      </c>
      <c r="E843" s="22" t="s">
        <v>1446</v>
      </c>
      <c r="F843" s="22">
        <v>2268609939</v>
      </c>
      <c r="G843" s="22">
        <v>5</v>
      </c>
      <c r="H843" s="22" t="s">
        <v>2627</v>
      </c>
    </row>
    <row r="844" spans="1:8" x14ac:dyDescent="0.35">
      <c r="A844" s="22" t="s">
        <v>851</v>
      </c>
      <c r="B844" s="22" t="str">
        <f>"06819"</f>
        <v>06819</v>
      </c>
      <c r="C844" s="22" t="str">
        <f t="shared" si="13"/>
        <v>'6819.HK'</v>
      </c>
      <c r="D844" s="22" t="s">
        <v>2628</v>
      </c>
      <c r="E844" s="22" t="s">
        <v>1671</v>
      </c>
      <c r="F844" s="22">
        <v>2267248721.5500002</v>
      </c>
      <c r="G844" s="22">
        <v>2</v>
      </c>
      <c r="H844" s="22" t="s">
        <v>2629</v>
      </c>
    </row>
    <row r="845" spans="1:8" x14ac:dyDescent="0.35">
      <c r="A845" s="22" t="s">
        <v>851</v>
      </c>
      <c r="B845" s="22" t="str">
        <f>"00029"</f>
        <v>00029</v>
      </c>
      <c r="C845" s="22" t="str">
        <f t="shared" si="13"/>
        <v>'0029.HK'</v>
      </c>
      <c r="D845" s="22" t="s">
        <v>2630</v>
      </c>
      <c r="E845" s="22" t="s">
        <v>1028</v>
      </c>
      <c r="F845" s="22">
        <v>2258184969.5</v>
      </c>
      <c r="G845" s="22">
        <v>18</v>
      </c>
      <c r="H845" s="22" t="s">
        <v>2631</v>
      </c>
    </row>
    <row r="846" spans="1:8" x14ac:dyDescent="0.35">
      <c r="A846" s="22" t="s">
        <v>851</v>
      </c>
      <c r="B846" s="22" t="str">
        <f>"01571"</f>
        <v>01571</v>
      </c>
      <c r="C846" s="22" t="str">
        <f t="shared" si="13"/>
        <v>'1571.HK'</v>
      </c>
      <c r="D846" s="22" t="s">
        <v>2632</v>
      </c>
      <c r="E846" s="22" t="s">
        <v>1122</v>
      </c>
      <c r="F846" s="22">
        <v>2256536250</v>
      </c>
      <c r="G846" s="22">
        <v>11</v>
      </c>
      <c r="H846" s="22" t="s">
        <v>2633</v>
      </c>
    </row>
    <row r="847" spans="1:8" x14ac:dyDescent="0.35">
      <c r="A847" s="22" t="s">
        <v>851</v>
      </c>
      <c r="B847" s="22" t="str">
        <f>"01090"</f>
        <v>01090</v>
      </c>
      <c r="C847" s="22" t="str">
        <f t="shared" si="13"/>
        <v>'1090.HK'</v>
      </c>
      <c r="D847" s="22" t="s">
        <v>2634</v>
      </c>
      <c r="E847" s="22" t="s">
        <v>1579</v>
      </c>
      <c r="F847" s="22">
        <v>2255914560</v>
      </c>
      <c r="G847" s="22">
        <v>5</v>
      </c>
      <c r="H847" s="22" t="s">
        <v>2635</v>
      </c>
    </row>
    <row r="848" spans="1:8" x14ac:dyDescent="0.35">
      <c r="A848" s="22" t="s">
        <v>851</v>
      </c>
      <c r="B848" s="22" t="str">
        <f>"06928"</f>
        <v>06928</v>
      </c>
      <c r="C848" s="22" t="str">
        <f t="shared" si="13"/>
        <v>'6928.HK'</v>
      </c>
      <c r="D848" s="22" t="s">
        <v>2636</v>
      </c>
      <c r="E848" s="22" t="s">
        <v>1122</v>
      </c>
      <c r="F848" s="22">
        <v>2250000000</v>
      </c>
      <c r="G848" s="22">
        <v>1</v>
      </c>
      <c r="H848" s="22" t="s">
        <v>2637</v>
      </c>
    </row>
    <row r="849" spans="1:8" x14ac:dyDescent="0.35">
      <c r="A849" s="22" t="s">
        <v>851</v>
      </c>
      <c r="B849" s="22" t="str">
        <f>"02418"</f>
        <v>02418</v>
      </c>
      <c r="C849" s="22" t="str">
        <f t="shared" si="13"/>
        <v>'2418.HK'</v>
      </c>
      <c r="D849" s="22" t="s">
        <v>2638</v>
      </c>
      <c r="E849" s="22" t="s">
        <v>1086</v>
      </c>
      <c r="F849" s="22">
        <v>2236042500</v>
      </c>
      <c r="G849" s="22">
        <v>1</v>
      </c>
      <c r="H849" s="22" t="s">
        <v>2639</v>
      </c>
    </row>
    <row r="850" spans="1:8" x14ac:dyDescent="0.35">
      <c r="A850" s="22" t="s">
        <v>851</v>
      </c>
      <c r="B850" s="22" t="str">
        <f>"02218"</f>
        <v>02218</v>
      </c>
      <c r="C850" s="22" t="str">
        <f t="shared" si="13"/>
        <v>'2218.HK'</v>
      </c>
      <c r="D850" s="22" t="s">
        <v>2640</v>
      </c>
      <c r="E850" s="22" t="s">
        <v>892</v>
      </c>
      <c r="F850" s="22">
        <v>2235625000</v>
      </c>
      <c r="G850" s="22">
        <v>22</v>
      </c>
      <c r="H850" s="22" t="s">
        <v>2641</v>
      </c>
    </row>
    <row r="851" spans="1:8" x14ac:dyDescent="0.35">
      <c r="A851" s="22" t="s">
        <v>851</v>
      </c>
      <c r="B851" s="22" t="str">
        <f>"00568"</f>
        <v>00568</v>
      </c>
      <c r="C851" s="22" t="str">
        <f t="shared" si="13"/>
        <v>'0568.HK'</v>
      </c>
      <c r="D851" s="22" t="s">
        <v>2642</v>
      </c>
      <c r="E851" s="22" t="s">
        <v>1294</v>
      </c>
      <c r="F851" s="22">
        <v>2233975520</v>
      </c>
      <c r="G851" s="22">
        <v>34</v>
      </c>
      <c r="H851" s="22" t="s">
        <v>2643</v>
      </c>
    </row>
    <row r="852" spans="1:8" x14ac:dyDescent="0.35">
      <c r="A852" s="22" t="s">
        <v>851</v>
      </c>
      <c r="B852" s="22" t="str">
        <f>"03700"</f>
        <v>03700</v>
      </c>
      <c r="C852" s="22" t="str">
        <f t="shared" si="13"/>
        <v>'3700.HK'</v>
      </c>
      <c r="D852" s="22" t="s">
        <v>2644</v>
      </c>
      <c r="E852" s="22" t="s">
        <v>2645</v>
      </c>
      <c r="F852" s="22">
        <v>2229050750</v>
      </c>
      <c r="G852" s="22">
        <v>14</v>
      </c>
      <c r="H852" s="22" t="s">
        <v>2646</v>
      </c>
    </row>
    <row r="853" spans="1:8" x14ac:dyDescent="0.35">
      <c r="A853" s="22" t="s">
        <v>851</v>
      </c>
      <c r="B853" s="22" t="str">
        <f>"02167"</f>
        <v>02167</v>
      </c>
      <c r="C853" s="22" t="str">
        <f t="shared" si="13"/>
        <v>'2167.HK'</v>
      </c>
      <c r="D853" s="22" t="s">
        <v>2647</v>
      </c>
      <c r="E853" s="22" t="s">
        <v>1202</v>
      </c>
      <c r="F853" s="22">
        <v>2206325072</v>
      </c>
      <c r="G853" s="22">
        <v>2</v>
      </c>
      <c r="H853" s="22" t="s">
        <v>2648</v>
      </c>
    </row>
    <row r="854" spans="1:8" x14ac:dyDescent="0.35">
      <c r="A854" s="22" t="s">
        <v>851</v>
      </c>
      <c r="B854" s="22" t="str">
        <f>"09982"</f>
        <v>09982</v>
      </c>
      <c r="C854" s="22" t="str">
        <f t="shared" si="13"/>
        <v>'9982.HK'</v>
      </c>
      <c r="D854" s="22" t="s">
        <v>2649</v>
      </c>
      <c r="E854" s="22" t="s">
        <v>1634</v>
      </c>
      <c r="F854" s="22">
        <v>2204103100.4000001</v>
      </c>
      <c r="G854" s="22">
        <v>6</v>
      </c>
      <c r="H854" s="22" t="s">
        <v>2650</v>
      </c>
    </row>
    <row r="855" spans="1:8" x14ac:dyDescent="0.35">
      <c r="A855" s="22" t="s">
        <v>851</v>
      </c>
      <c r="B855" s="22" t="str">
        <f>"01593"</f>
        <v>01593</v>
      </c>
      <c r="C855" s="22" t="str">
        <f t="shared" si="13"/>
        <v>'1593.HK'</v>
      </c>
      <c r="D855" s="22" t="s">
        <v>2651</v>
      </c>
      <c r="E855" s="22" t="s">
        <v>1270</v>
      </c>
      <c r="F855" s="22">
        <v>2200000000</v>
      </c>
      <c r="G855" s="22">
        <v>5</v>
      </c>
      <c r="H855" s="22" t="s">
        <v>2652</v>
      </c>
    </row>
    <row r="856" spans="1:8" x14ac:dyDescent="0.35">
      <c r="A856" s="22" t="s">
        <v>851</v>
      </c>
      <c r="B856" s="22" t="str">
        <f>"00279"</f>
        <v>00279</v>
      </c>
      <c r="C856" s="22" t="str">
        <f t="shared" si="13"/>
        <v>'0279.HK'</v>
      </c>
      <c r="D856" s="22" t="s">
        <v>2653</v>
      </c>
      <c r="E856" s="22" t="s">
        <v>1130</v>
      </c>
      <c r="F856" s="22">
        <v>2196355354.0799999</v>
      </c>
      <c r="G856" s="22">
        <v>10</v>
      </c>
      <c r="H856" s="22" t="s">
        <v>2654</v>
      </c>
    </row>
    <row r="857" spans="1:8" x14ac:dyDescent="0.35">
      <c r="A857" s="22" t="s">
        <v>851</v>
      </c>
      <c r="B857" s="22" t="str">
        <f>"00895"</f>
        <v>00895</v>
      </c>
      <c r="C857" s="22" t="str">
        <f t="shared" si="13"/>
        <v>'0895.HK'</v>
      </c>
      <c r="D857" s="22" t="s">
        <v>2655</v>
      </c>
      <c r="E857" s="22" t="s">
        <v>1301</v>
      </c>
      <c r="F857" s="22">
        <v>2189375083.98</v>
      </c>
      <c r="G857" s="22">
        <v>79</v>
      </c>
      <c r="H857" s="22" t="s">
        <v>2656</v>
      </c>
    </row>
    <row r="858" spans="1:8" x14ac:dyDescent="0.35">
      <c r="A858" s="22" t="s">
        <v>851</v>
      </c>
      <c r="B858" s="22" t="str">
        <f>"01981"</f>
        <v>01981</v>
      </c>
      <c r="C858" s="22" t="str">
        <f t="shared" si="13"/>
        <v>'1981.HK'</v>
      </c>
      <c r="D858" s="22" t="s">
        <v>2657</v>
      </c>
      <c r="E858" s="22" t="s">
        <v>1185</v>
      </c>
      <c r="F858" s="22">
        <v>2184516840</v>
      </c>
      <c r="G858" s="22">
        <v>18</v>
      </c>
      <c r="H858" s="22" t="s">
        <v>2658</v>
      </c>
    </row>
    <row r="859" spans="1:8" x14ac:dyDescent="0.35">
      <c r="A859" s="22" t="s">
        <v>851</v>
      </c>
      <c r="B859" s="22" t="str">
        <f>"02002"</f>
        <v>02002</v>
      </c>
      <c r="C859" s="22" t="str">
        <f t="shared" si="13"/>
        <v>'2002.HK'</v>
      </c>
      <c r="D859" s="22" t="s">
        <v>2659</v>
      </c>
      <c r="E859" s="22" t="s">
        <v>1378</v>
      </c>
      <c r="F859" s="22">
        <v>2164130681.0799999</v>
      </c>
      <c r="G859" s="22">
        <v>120</v>
      </c>
      <c r="H859" s="22" t="s">
        <v>2660</v>
      </c>
    </row>
    <row r="860" spans="1:8" x14ac:dyDescent="0.35">
      <c r="A860" s="22" t="s">
        <v>851</v>
      </c>
      <c r="B860" s="22" t="str">
        <f>"02368"</f>
        <v>02368</v>
      </c>
      <c r="C860" s="22" t="str">
        <f t="shared" si="13"/>
        <v>'2368.HK'</v>
      </c>
      <c r="D860" s="22" t="s">
        <v>2661</v>
      </c>
      <c r="E860" s="22" t="s">
        <v>889</v>
      </c>
      <c r="F860" s="22">
        <v>2161890000</v>
      </c>
      <c r="G860" s="22">
        <v>12</v>
      </c>
      <c r="H860" s="22" t="s">
        <v>2662</v>
      </c>
    </row>
    <row r="861" spans="1:8" x14ac:dyDescent="0.35">
      <c r="A861" s="22" t="s">
        <v>851</v>
      </c>
      <c r="B861" s="22" t="str">
        <f>"01091"</f>
        <v>01091</v>
      </c>
      <c r="C861" s="22" t="str">
        <f t="shared" si="13"/>
        <v>'1091.HK'</v>
      </c>
      <c r="D861" s="22" t="s">
        <v>2663</v>
      </c>
      <c r="E861" s="22" t="s">
        <v>1060</v>
      </c>
      <c r="F861" s="22">
        <v>2159929170</v>
      </c>
      <c r="G861" s="22">
        <v>18</v>
      </c>
      <c r="H861" s="22" t="s">
        <v>2664</v>
      </c>
    </row>
    <row r="862" spans="1:8" x14ac:dyDescent="0.35">
      <c r="A862" s="22" t="s">
        <v>851</v>
      </c>
      <c r="B862" s="22" t="str">
        <f>"02246"</f>
        <v>02246</v>
      </c>
      <c r="C862" s="22" t="str">
        <f t="shared" si="13"/>
        <v>'2246.HK'</v>
      </c>
      <c r="D862" s="22" t="s">
        <v>2665</v>
      </c>
      <c r="E862" s="22" t="s">
        <v>974</v>
      </c>
      <c r="F862" s="22">
        <v>2148192674.6300001</v>
      </c>
      <c r="G862" s="22">
        <v>1</v>
      </c>
      <c r="H862" s="22" t="s">
        <v>2666</v>
      </c>
    </row>
    <row r="863" spans="1:8" x14ac:dyDescent="0.35">
      <c r="A863" s="22" t="s">
        <v>851</v>
      </c>
      <c r="B863" s="22" t="str">
        <f>"06913"</f>
        <v>06913</v>
      </c>
      <c r="C863" s="22" t="str">
        <f t="shared" si="13"/>
        <v>'6913.HK'</v>
      </c>
      <c r="D863" s="22" t="s">
        <v>2667</v>
      </c>
      <c r="E863" s="22" t="s">
        <v>1270</v>
      </c>
      <c r="F863" s="22">
        <v>2147740000</v>
      </c>
      <c r="G863" s="22">
        <v>1</v>
      </c>
      <c r="H863" s="22" t="s">
        <v>2668</v>
      </c>
    </row>
    <row r="864" spans="1:8" x14ac:dyDescent="0.35">
      <c r="A864" s="22" t="s">
        <v>851</v>
      </c>
      <c r="B864" s="22" t="str">
        <f>"00025"</f>
        <v>00025</v>
      </c>
      <c r="C864" s="22" t="str">
        <f t="shared" si="13"/>
        <v>'0025.HK'</v>
      </c>
      <c r="D864" s="22" t="s">
        <v>2669</v>
      </c>
      <c r="E864" s="22" t="s">
        <v>958</v>
      </c>
      <c r="F864" s="22">
        <v>2143691924</v>
      </c>
      <c r="G864" s="22">
        <v>10</v>
      </c>
      <c r="H864" s="22" t="s">
        <v>2670</v>
      </c>
    </row>
    <row r="865" spans="1:8" x14ac:dyDescent="0.35">
      <c r="A865" s="22" t="s">
        <v>851</v>
      </c>
      <c r="B865" s="22" t="str">
        <f>"06668"</f>
        <v>06668</v>
      </c>
      <c r="C865" s="22" t="str">
        <f t="shared" si="13"/>
        <v>'6668.HK'</v>
      </c>
      <c r="D865" s="22" t="s">
        <v>2671</v>
      </c>
      <c r="E865" s="22" t="s">
        <v>1104</v>
      </c>
      <c r="F865" s="22">
        <v>2142081900</v>
      </c>
      <c r="G865" s="22">
        <v>18</v>
      </c>
      <c r="H865" s="22" t="s">
        <v>2672</v>
      </c>
    </row>
    <row r="866" spans="1:8" x14ac:dyDescent="0.35">
      <c r="A866" s="22" t="s">
        <v>851</v>
      </c>
      <c r="B866" s="22" t="str">
        <f>"01373"</f>
        <v>01373</v>
      </c>
      <c r="C866" s="22" t="str">
        <f t="shared" si="13"/>
        <v>'1373.HK'</v>
      </c>
      <c r="D866" s="22" t="s">
        <v>2673</v>
      </c>
      <c r="E866" s="22" t="s">
        <v>2334</v>
      </c>
      <c r="F866" s="22">
        <v>2135867850</v>
      </c>
      <c r="G866" s="22">
        <v>13</v>
      </c>
      <c r="H866" s="22" t="s">
        <v>2674</v>
      </c>
    </row>
    <row r="867" spans="1:8" x14ac:dyDescent="0.35">
      <c r="A867" s="22" t="s">
        <v>851</v>
      </c>
      <c r="B867" s="22" t="str">
        <f>"02207"</f>
        <v>02207</v>
      </c>
      <c r="C867" s="22" t="str">
        <f t="shared" si="13"/>
        <v>'2207.HK'</v>
      </c>
      <c r="D867" s="22" t="s">
        <v>2675</v>
      </c>
      <c r="E867" s="22" t="s">
        <v>1104</v>
      </c>
      <c r="F867" s="22">
        <v>2134036800</v>
      </c>
      <c r="G867" s="22">
        <v>9</v>
      </c>
      <c r="H867" s="22" t="s">
        <v>2676</v>
      </c>
    </row>
    <row r="868" spans="1:8" x14ac:dyDescent="0.35">
      <c r="A868" s="22" t="s">
        <v>851</v>
      </c>
      <c r="B868" s="22" t="str">
        <f>"02256"</f>
        <v>02256</v>
      </c>
      <c r="C868" s="22" t="str">
        <f t="shared" si="13"/>
        <v>'2256.HK'</v>
      </c>
      <c r="D868" s="22" t="s">
        <v>2677</v>
      </c>
      <c r="E868" s="22" t="s">
        <v>941</v>
      </c>
      <c r="F868" s="22">
        <v>2133394024</v>
      </c>
      <c r="G868" s="22">
        <v>5</v>
      </c>
      <c r="H868" s="22" t="s">
        <v>2678</v>
      </c>
    </row>
    <row r="869" spans="1:8" x14ac:dyDescent="0.35">
      <c r="A869" s="22" t="s">
        <v>851</v>
      </c>
      <c r="B869" s="22" t="str">
        <f>"01321"</f>
        <v>01321</v>
      </c>
      <c r="C869" s="22" t="str">
        <f t="shared" si="13"/>
        <v>'1321.HK'</v>
      </c>
      <c r="D869" s="22" t="s">
        <v>2679</v>
      </c>
      <c r="E869" s="22" t="s">
        <v>924</v>
      </c>
      <c r="F869" s="22">
        <v>2131414080</v>
      </c>
      <c r="G869" s="22">
        <v>7</v>
      </c>
      <c r="H869" s="22" t="s">
        <v>2680</v>
      </c>
    </row>
    <row r="870" spans="1:8" x14ac:dyDescent="0.35">
      <c r="A870" s="22" t="s">
        <v>851</v>
      </c>
      <c r="B870" s="22" t="str">
        <f>"06909"</f>
        <v>06909</v>
      </c>
      <c r="C870" s="22" t="str">
        <f t="shared" si="13"/>
        <v>'6909.HK'</v>
      </c>
      <c r="D870" s="22" t="s">
        <v>2681</v>
      </c>
      <c r="E870" s="22" t="s">
        <v>1089</v>
      </c>
      <c r="F870" s="22">
        <v>2128950000</v>
      </c>
      <c r="G870" s="22">
        <v>5</v>
      </c>
      <c r="H870" s="22" t="s">
        <v>2682</v>
      </c>
    </row>
    <row r="871" spans="1:8" x14ac:dyDescent="0.35">
      <c r="A871" s="22" t="s">
        <v>851</v>
      </c>
      <c r="B871" s="22" t="str">
        <f>"02886"</f>
        <v>02886</v>
      </c>
      <c r="C871" s="22" t="str">
        <f t="shared" si="13"/>
        <v>'2886.HK'</v>
      </c>
      <c r="D871" s="22" t="s">
        <v>2683</v>
      </c>
      <c r="E871" s="22" t="s">
        <v>1031</v>
      </c>
      <c r="F871" s="22">
        <v>2122679458.8099999</v>
      </c>
      <c r="G871" s="22">
        <v>9</v>
      </c>
      <c r="H871" s="22" t="s">
        <v>2684</v>
      </c>
    </row>
    <row r="872" spans="1:8" x14ac:dyDescent="0.35">
      <c r="A872" s="22" t="s">
        <v>851</v>
      </c>
      <c r="B872" s="22" t="str">
        <f>"06820"</f>
        <v>06820</v>
      </c>
      <c r="C872" s="22" t="str">
        <f t="shared" si="13"/>
        <v>'6820.HK'</v>
      </c>
      <c r="D872" s="22" t="s">
        <v>2685</v>
      </c>
      <c r="E872" s="22" t="s">
        <v>910</v>
      </c>
      <c r="F872" s="22">
        <v>2115424500</v>
      </c>
      <c r="G872" s="22">
        <v>18</v>
      </c>
      <c r="H872" s="22" t="s">
        <v>2686</v>
      </c>
    </row>
    <row r="873" spans="1:8" x14ac:dyDescent="0.35">
      <c r="A873" s="22" t="s">
        <v>851</v>
      </c>
      <c r="B873" s="22" t="str">
        <f>"02360"</f>
        <v>02360</v>
      </c>
      <c r="C873" s="22" t="str">
        <f t="shared" si="13"/>
        <v>'2360.HK'</v>
      </c>
      <c r="D873" s="22" t="s">
        <v>2687</v>
      </c>
      <c r="E873" s="22" t="s">
        <v>1503</v>
      </c>
      <c r="F873" s="22">
        <v>2110000000</v>
      </c>
      <c r="G873" s="22">
        <v>19</v>
      </c>
      <c r="H873" s="22" t="s">
        <v>2688</v>
      </c>
    </row>
    <row r="874" spans="1:8" x14ac:dyDescent="0.35">
      <c r="A874" s="22" t="s">
        <v>851</v>
      </c>
      <c r="B874" s="22" t="str">
        <f>"01569"</f>
        <v>01569</v>
      </c>
      <c r="C874" s="22" t="str">
        <f t="shared" si="13"/>
        <v>'1569.HK'</v>
      </c>
      <c r="D874" s="22" t="s">
        <v>2689</v>
      </c>
      <c r="E874" s="22" t="s">
        <v>1270</v>
      </c>
      <c r="F874" s="22">
        <v>2108860000</v>
      </c>
      <c r="G874" s="22">
        <v>60</v>
      </c>
      <c r="H874" s="22" t="s">
        <v>2690</v>
      </c>
    </row>
    <row r="875" spans="1:8" x14ac:dyDescent="0.35">
      <c r="A875" s="22" t="s">
        <v>851</v>
      </c>
      <c r="B875" s="22" t="str">
        <f>"02355"</f>
        <v>02355</v>
      </c>
      <c r="C875" s="22" t="str">
        <f t="shared" si="13"/>
        <v>'2355.HK'</v>
      </c>
      <c r="D875" s="22" t="s">
        <v>2691</v>
      </c>
      <c r="E875" s="22" t="s">
        <v>1634</v>
      </c>
      <c r="F875" s="22">
        <v>2104619606.7</v>
      </c>
      <c r="G875" s="22">
        <v>30</v>
      </c>
      <c r="H875" s="22" t="s">
        <v>2692</v>
      </c>
    </row>
    <row r="876" spans="1:8" x14ac:dyDescent="0.35">
      <c r="A876" s="22" t="s">
        <v>851</v>
      </c>
      <c r="B876" s="22" t="str">
        <f>"09913"</f>
        <v>09913</v>
      </c>
      <c r="C876" s="22" t="str">
        <f t="shared" si="13"/>
        <v>'9913.HK'</v>
      </c>
      <c r="D876" s="22" t="s">
        <v>2693</v>
      </c>
      <c r="E876" s="22" t="s">
        <v>1634</v>
      </c>
      <c r="F876" s="22">
        <v>2100000000</v>
      </c>
      <c r="G876" s="22">
        <v>2</v>
      </c>
      <c r="H876" s="22" t="s">
        <v>2694</v>
      </c>
    </row>
    <row r="877" spans="1:8" x14ac:dyDescent="0.35">
      <c r="A877" s="22" t="s">
        <v>851</v>
      </c>
      <c r="B877" s="22" t="str">
        <f>"09977"</f>
        <v>09977</v>
      </c>
      <c r="C877" s="22" t="str">
        <f t="shared" si="13"/>
        <v>'9977.HK'</v>
      </c>
      <c r="D877" s="22" t="s">
        <v>2695</v>
      </c>
      <c r="E877" s="22" t="s">
        <v>1229</v>
      </c>
      <c r="F877" s="22">
        <v>2100000000</v>
      </c>
      <c r="G877" s="22">
        <v>13</v>
      </c>
      <c r="H877" s="22" t="s">
        <v>2696</v>
      </c>
    </row>
    <row r="878" spans="1:8" x14ac:dyDescent="0.35">
      <c r="A878" s="22" t="s">
        <v>851</v>
      </c>
      <c r="B878" s="22" t="str">
        <f>"01948"</f>
        <v>01948</v>
      </c>
      <c r="C878" s="22" t="str">
        <f t="shared" si="13"/>
        <v>'1948.HK'</v>
      </c>
      <c r="D878" s="22" t="s">
        <v>2697</v>
      </c>
      <c r="E878" s="22" t="s">
        <v>1627</v>
      </c>
      <c r="F878" s="22">
        <v>2094000000</v>
      </c>
      <c r="G878" s="22">
        <v>1</v>
      </c>
      <c r="H878" s="22" t="s">
        <v>2698</v>
      </c>
    </row>
    <row r="879" spans="1:8" x14ac:dyDescent="0.35">
      <c r="A879" s="22" t="s">
        <v>851</v>
      </c>
      <c r="B879" s="22" t="str">
        <f>"00337"</f>
        <v>00337</v>
      </c>
      <c r="C879" s="22" t="str">
        <f t="shared" si="13"/>
        <v>'0337.HK'</v>
      </c>
      <c r="D879" s="22" t="s">
        <v>2699</v>
      </c>
      <c r="E879" s="22" t="s">
        <v>924</v>
      </c>
      <c r="F879" s="22">
        <v>2093913512.25</v>
      </c>
      <c r="G879" s="22">
        <v>137</v>
      </c>
      <c r="H879" s="22" t="s">
        <v>2700</v>
      </c>
    </row>
    <row r="880" spans="1:8" x14ac:dyDescent="0.35">
      <c r="A880" s="22" t="s">
        <v>851</v>
      </c>
      <c r="B880" s="22" t="str">
        <f>"02101"</f>
        <v>02101</v>
      </c>
      <c r="C880" s="22" t="str">
        <f t="shared" si="13"/>
        <v>'2101.HK'</v>
      </c>
      <c r="D880" s="22" t="s">
        <v>2701</v>
      </c>
      <c r="E880" s="22" t="s">
        <v>853</v>
      </c>
      <c r="F880" s="22">
        <v>2093305276.5999999</v>
      </c>
      <c r="G880" s="22">
        <v>3</v>
      </c>
      <c r="H880" s="22" t="s">
        <v>2702</v>
      </c>
    </row>
    <row r="881" spans="1:8" x14ac:dyDescent="0.35">
      <c r="A881" s="22" t="s">
        <v>851</v>
      </c>
      <c r="B881" s="22" t="str">
        <f>"01221"</f>
        <v>01221</v>
      </c>
      <c r="C881" s="22" t="str">
        <f t="shared" si="13"/>
        <v>'1221.HK'</v>
      </c>
      <c r="D881" s="22" t="s">
        <v>2703</v>
      </c>
      <c r="E881" s="22" t="s">
        <v>1070</v>
      </c>
      <c r="F881" s="22">
        <v>2091071090.3399999</v>
      </c>
      <c r="G881" s="22">
        <v>6</v>
      </c>
      <c r="H881" s="22" t="s">
        <v>2704</v>
      </c>
    </row>
    <row r="882" spans="1:8" x14ac:dyDescent="0.35">
      <c r="A882" s="22" t="s">
        <v>851</v>
      </c>
      <c r="B882" s="22" t="str">
        <f>"00398"</f>
        <v>00398</v>
      </c>
      <c r="C882" s="22" t="str">
        <f t="shared" si="13"/>
        <v>'0398.HK'</v>
      </c>
      <c r="D882" s="22" t="s">
        <v>2705</v>
      </c>
      <c r="E882" s="22" t="s">
        <v>1002</v>
      </c>
      <c r="F882" s="22">
        <v>2090766780.96</v>
      </c>
      <c r="G882" s="22">
        <v>13</v>
      </c>
      <c r="H882" s="22" t="s">
        <v>2706</v>
      </c>
    </row>
    <row r="883" spans="1:8" x14ac:dyDescent="0.35">
      <c r="A883" s="22" t="s">
        <v>851</v>
      </c>
      <c r="B883" s="22" t="str">
        <f>"01341"</f>
        <v>01341</v>
      </c>
      <c r="C883" s="22" t="str">
        <f t="shared" si="13"/>
        <v>'1341.HK'</v>
      </c>
      <c r="D883" s="22" t="s">
        <v>2707</v>
      </c>
      <c r="E883" s="22" t="s">
        <v>1395</v>
      </c>
      <c r="F883" s="22">
        <v>2087785016.9000001</v>
      </c>
      <c r="G883" s="22">
        <v>1</v>
      </c>
      <c r="H883" s="22" t="s">
        <v>2708</v>
      </c>
    </row>
    <row r="884" spans="1:8" x14ac:dyDescent="0.35">
      <c r="A884" s="22" t="s">
        <v>851</v>
      </c>
      <c r="B884" s="22" t="str">
        <f>"00900"</f>
        <v>00900</v>
      </c>
      <c r="C884" s="22" t="str">
        <f t="shared" si="13"/>
        <v>'0900.HK'</v>
      </c>
      <c r="D884" s="22" t="s">
        <v>2709</v>
      </c>
      <c r="E884" s="22" t="s">
        <v>1498</v>
      </c>
      <c r="F884" s="22">
        <v>2072889720</v>
      </c>
      <c r="G884" s="22">
        <v>24</v>
      </c>
      <c r="H884" s="22" t="s">
        <v>2710</v>
      </c>
    </row>
    <row r="885" spans="1:8" x14ac:dyDescent="0.35">
      <c r="A885" s="22" t="s">
        <v>851</v>
      </c>
      <c r="B885" s="22" t="str">
        <f>"00617"</f>
        <v>00617</v>
      </c>
      <c r="C885" s="22" t="str">
        <f t="shared" si="13"/>
        <v>'0617.HK'</v>
      </c>
      <c r="D885" s="22" t="s">
        <v>2711</v>
      </c>
      <c r="E885" s="22" t="s">
        <v>1070</v>
      </c>
      <c r="F885" s="22">
        <v>2061983126.9000001</v>
      </c>
      <c r="G885" s="22">
        <v>7</v>
      </c>
      <c r="H885" s="22" t="s">
        <v>2712</v>
      </c>
    </row>
    <row r="886" spans="1:8" x14ac:dyDescent="0.35">
      <c r="A886" s="22" t="s">
        <v>851</v>
      </c>
      <c r="B886" s="22" t="str">
        <f>"00251"</f>
        <v>00251</v>
      </c>
      <c r="C886" s="22" t="str">
        <f t="shared" si="13"/>
        <v>'0251.HK'</v>
      </c>
      <c r="D886" s="22" t="s">
        <v>2713</v>
      </c>
      <c r="E886" s="22" t="s">
        <v>1028</v>
      </c>
      <c r="F886" s="22">
        <v>2053238495.6600001</v>
      </c>
      <c r="G886" s="22">
        <v>9</v>
      </c>
      <c r="H886" s="22" t="s">
        <v>2714</v>
      </c>
    </row>
    <row r="887" spans="1:8" x14ac:dyDescent="0.35">
      <c r="A887" s="22" t="s">
        <v>851</v>
      </c>
      <c r="B887" s="22" t="str">
        <f>"02231"</f>
        <v>02231</v>
      </c>
      <c r="C887" s="22" t="str">
        <f t="shared" si="13"/>
        <v>'2231.HK'</v>
      </c>
      <c r="D887" s="22" t="s">
        <v>2715</v>
      </c>
      <c r="E887" s="22" t="s">
        <v>924</v>
      </c>
      <c r="F887" s="22">
        <v>2041254520</v>
      </c>
      <c r="G887" s="22">
        <v>4</v>
      </c>
      <c r="H887" s="22" t="s">
        <v>2716</v>
      </c>
    </row>
    <row r="888" spans="1:8" x14ac:dyDescent="0.35">
      <c r="A888" s="22" t="s">
        <v>851</v>
      </c>
      <c r="B888" s="22" t="str">
        <f>"00776"</f>
        <v>00776</v>
      </c>
      <c r="C888" s="22" t="str">
        <f t="shared" si="13"/>
        <v>'0776.HK'</v>
      </c>
      <c r="D888" s="22" t="s">
        <v>2717</v>
      </c>
      <c r="E888" s="22" t="s">
        <v>1429</v>
      </c>
      <c r="F888" s="22">
        <v>2021734000</v>
      </c>
      <c r="G888" s="22">
        <v>2</v>
      </c>
      <c r="H888" s="22" t="s">
        <v>2718</v>
      </c>
    </row>
    <row r="889" spans="1:8" x14ac:dyDescent="0.35">
      <c r="A889" s="22" t="s">
        <v>851</v>
      </c>
      <c r="B889" s="22" t="str">
        <f>"00468"</f>
        <v>00468</v>
      </c>
      <c r="C889" s="22" t="str">
        <f t="shared" si="13"/>
        <v>'0468.HK'</v>
      </c>
      <c r="D889" s="22" t="s">
        <v>2719</v>
      </c>
      <c r="E889" s="22" t="s">
        <v>2259</v>
      </c>
      <c r="F889" s="22">
        <v>2018312810</v>
      </c>
      <c r="G889" s="22">
        <v>46</v>
      </c>
      <c r="H889" s="22" t="s">
        <v>2720</v>
      </c>
    </row>
    <row r="890" spans="1:8" x14ac:dyDescent="0.35">
      <c r="A890" s="22" t="s">
        <v>851</v>
      </c>
      <c r="B890" s="22" t="str">
        <f>"02276"</f>
        <v>02276</v>
      </c>
      <c r="C890" s="22" t="str">
        <f t="shared" si="13"/>
        <v>'2276.HK'</v>
      </c>
      <c r="D890" s="22" t="s">
        <v>2721</v>
      </c>
      <c r="E890" s="22" t="s">
        <v>1224</v>
      </c>
      <c r="F890" s="22">
        <v>2005020000</v>
      </c>
      <c r="G890" s="22">
        <v>3</v>
      </c>
      <c r="H890" s="22" t="s">
        <v>2722</v>
      </c>
    </row>
    <row r="891" spans="1:8" x14ac:dyDescent="0.35">
      <c r="A891" s="22" t="s">
        <v>851</v>
      </c>
      <c r="B891" s="22" t="str">
        <f>"06093"</f>
        <v>06093</v>
      </c>
      <c r="C891" s="22" t="str">
        <f t="shared" si="13"/>
        <v>'6093.HK'</v>
      </c>
      <c r="D891" s="22" t="s">
        <v>2723</v>
      </c>
      <c r="E891" s="22" t="s">
        <v>1104</v>
      </c>
      <c r="F891" s="22">
        <v>2004800000</v>
      </c>
      <c r="G891" s="22">
        <v>21</v>
      </c>
      <c r="H891" s="22" t="s">
        <v>2724</v>
      </c>
    </row>
    <row r="892" spans="1:8" x14ac:dyDescent="0.35">
      <c r="A892" s="22" t="s">
        <v>851</v>
      </c>
      <c r="B892" s="22" t="str">
        <f>"02422"</f>
        <v>02422</v>
      </c>
      <c r="C892" s="22" t="str">
        <f t="shared" si="13"/>
        <v>'2422.HK'</v>
      </c>
      <c r="D892" s="22" t="s">
        <v>2725</v>
      </c>
      <c r="E892" s="22" t="s">
        <v>1627</v>
      </c>
      <c r="F892" s="22">
        <v>1990000000</v>
      </c>
      <c r="H892" s="22" t="s">
        <v>2726</v>
      </c>
    </row>
    <row r="893" spans="1:8" x14ac:dyDescent="0.35">
      <c r="A893" s="22" t="s">
        <v>851</v>
      </c>
      <c r="B893" s="22" t="str">
        <f>"00878"</f>
        <v>00878</v>
      </c>
      <c r="C893" s="22" t="str">
        <f t="shared" si="13"/>
        <v>'0878.HK'</v>
      </c>
      <c r="D893" s="22" t="s">
        <v>2727</v>
      </c>
      <c r="E893" s="22" t="s">
        <v>1028</v>
      </c>
      <c r="F893" s="22">
        <v>1980327358.6500001</v>
      </c>
      <c r="G893" s="22">
        <v>34</v>
      </c>
      <c r="H893" s="22" t="s">
        <v>2728</v>
      </c>
    </row>
    <row r="894" spans="1:8" x14ac:dyDescent="0.35">
      <c r="A894" s="22" t="s">
        <v>851</v>
      </c>
      <c r="B894" s="22" t="str">
        <f>"00931"</f>
        <v>00931</v>
      </c>
      <c r="C894" s="22" t="str">
        <f t="shared" si="13"/>
        <v>'0931.HK'</v>
      </c>
      <c r="D894" s="22" t="s">
        <v>2729</v>
      </c>
      <c r="E894" s="22" t="s">
        <v>1127</v>
      </c>
      <c r="F894" s="22">
        <v>1975328981.5</v>
      </c>
      <c r="G894" s="22">
        <v>8</v>
      </c>
      <c r="H894" s="22" t="s">
        <v>2730</v>
      </c>
    </row>
    <row r="895" spans="1:8" x14ac:dyDescent="0.35">
      <c r="A895" s="22" t="s">
        <v>851</v>
      </c>
      <c r="B895" s="22" t="str">
        <f>"03818"</f>
        <v>03818</v>
      </c>
      <c r="C895" s="22" t="str">
        <f t="shared" si="13"/>
        <v>'3818.HK'</v>
      </c>
      <c r="D895" s="22" t="s">
        <v>2731</v>
      </c>
      <c r="E895" s="22" t="s">
        <v>889</v>
      </c>
      <c r="F895" s="22">
        <v>1972332943.375</v>
      </c>
      <c r="G895" s="22">
        <v>93</v>
      </c>
      <c r="H895" s="22" t="s">
        <v>2732</v>
      </c>
    </row>
    <row r="896" spans="1:8" x14ac:dyDescent="0.35">
      <c r="A896" s="22" t="s">
        <v>851</v>
      </c>
      <c r="B896" s="22" t="str">
        <f>"00419"</f>
        <v>00419</v>
      </c>
      <c r="C896" s="22" t="str">
        <f t="shared" si="13"/>
        <v>'0419.HK'</v>
      </c>
      <c r="D896" s="22" t="s">
        <v>2733</v>
      </c>
      <c r="E896" s="22" t="s">
        <v>1744</v>
      </c>
      <c r="F896" s="22">
        <v>1969874098.3050001</v>
      </c>
      <c r="G896" s="22">
        <v>17</v>
      </c>
      <c r="H896" s="22" t="s">
        <v>2734</v>
      </c>
    </row>
    <row r="897" spans="1:8" x14ac:dyDescent="0.35">
      <c r="A897" s="22" t="s">
        <v>851</v>
      </c>
      <c r="B897" s="22" t="str">
        <f>"01045"</f>
        <v>01045</v>
      </c>
      <c r="C897" s="22" t="str">
        <f t="shared" si="13"/>
        <v>'1045.HK'</v>
      </c>
      <c r="D897" s="22" t="s">
        <v>2735</v>
      </c>
      <c r="E897" s="22" t="s">
        <v>1013</v>
      </c>
      <c r="F897" s="22">
        <v>1968573700</v>
      </c>
      <c r="G897" s="22">
        <v>35</v>
      </c>
      <c r="H897" s="22" t="s">
        <v>2736</v>
      </c>
    </row>
    <row r="898" spans="1:8" x14ac:dyDescent="0.35">
      <c r="A898" s="22" t="s">
        <v>851</v>
      </c>
      <c r="B898" s="22" t="str">
        <f>"06858"</f>
        <v>06858</v>
      </c>
      <c r="C898" s="22" t="str">
        <f t="shared" si="13"/>
        <v>'6858.HK'</v>
      </c>
      <c r="D898" s="22" t="s">
        <v>2737</v>
      </c>
      <c r="E898" s="22" t="s">
        <v>1446</v>
      </c>
      <c r="F898" s="22">
        <v>1968338125</v>
      </c>
      <c r="G898" s="22">
        <v>7</v>
      </c>
      <c r="H898" s="22" t="s">
        <v>2738</v>
      </c>
    </row>
    <row r="899" spans="1:8" x14ac:dyDescent="0.35">
      <c r="A899" s="22" t="s">
        <v>851</v>
      </c>
      <c r="B899" s="22" t="str">
        <f>"01725"</f>
        <v>01725</v>
      </c>
      <c r="C899" s="22" t="str">
        <f t="shared" ref="C899:C962" si="14">CONCATENATE("'",RIGHT(B899,4),".HK'")</f>
        <v>'1725.HK'</v>
      </c>
      <c r="D899" s="22" t="s">
        <v>2739</v>
      </c>
      <c r="E899" s="22" t="s">
        <v>1224</v>
      </c>
      <c r="F899" s="22">
        <v>1968330000</v>
      </c>
      <c r="G899" s="22">
        <v>2</v>
      </c>
      <c r="H899" s="22" t="s">
        <v>2740</v>
      </c>
    </row>
    <row r="900" spans="1:8" x14ac:dyDescent="0.35">
      <c r="A900" s="22" t="s">
        <v>851</v>
      </c>
      <c r="B900" s="22" t="str">
        <f>"02698"</f>
        <v>02698</v>
      </c>
      <c r="C900" s="22" t="str">
        <f t="shared" si="14"/>
        <v>'2698.HK'</v>
      </c>
      <c r="D900" s="22" t="s">
        <v>2741</v>
      </c>
      <c r="E900" s="22" t="s">
        <v>1914</v>
      </c>
      <c r="F900" s="22">
        <v>1958797960</v>
      </c>
      <c r="G900" s="22">
        <v>56</v>
      </c>
      <c r="H900" s="22" t="s">
        <v>2742</v>
      </c>
    </row>
    <row r="901" spans="1:8" x14ac:dyDescent="0.35">
      <c r="A901" s="22" t="s">
        <v>851</v>
      </c>
      <c r="B901" s="22" t="str">
        <f>"02392"</f>
        <v>02392</v>
      </c>
      <c r="C901" s="22" t="str">
        <f t="shared" si="14"/>
        <v>'2392.HK'</v>
      </c>
      <c r="D901" s="22" t="s">
        <v>2743</v>
      </c>
      <c r="E901" s="22" t="s">
        <v>910</v>
      </c>
      <c r="F901" s="22">
        <v>1955518545</v>
      </c>
      <c r="G901" s="22">
        <v>2</v>
      </c>
      <c r="H901" s="22" t="s">
        <v>2744</v>
      </c>
    </row>
    <row r="902" spans="1:8" x14ac:dyDescent="0.35">
      <c r="A902" s="22" t="s">
        <v>851</v>
      </c>
      <c r="B902" s="22" t="str">
        <f>"00842"</f>
        <v>00842</v>
      </c>
      <c r="C902" s="22" t="str">
        <f t="shared" si="14"/>
        <v>'0842.HK'</v>
      </c>
      <c r="D902" s="22" t="s">
        <v>2745</v>
      </c>
      <c r="E902" s="22" t="s">
        <v>1145</v>
      </c>
      <c r="F902" s="22">
        <v>1955310719.04</v>
      </c>
      <c r="G902" s="22">
        <v>11</v>
      </c>
      <c r="H902" s="22" t="s">
        <v>2746</v>
      </c>
    </row>
    <row r="903" spans="1:8" x14ac:dyDescent="0.35">
      <c r="A903" s="22" t="s">
        <v>851</v>
      </c>
      <c r="B903" s="22" t="str">
        <f>"03390"</f>
        <v>03390</v>
      </c>
      <c r="C903" s="22" t="str">
        <f t="shared" si="14"/>
        <v>'3390.HK'</v>
      </c>
      <c r="D903" s="22" t="s">
        <v>2747</v>
      </c>
      <c r="E903" s="22" t="s">
        <v>969</v>
      </c>
      <c r="F903" s="22">
        <v>1952000000</v>
      </c>
      <c r="G903" s="22">
        <v>3</v>
      </c>
      <c r="H903" s="22" t="s">
        <v>2748</v>
      </c>
    </row>
    <row r="904" spans="1:8" x14ac:dyDescent="0.35">
      <c r="A904" s="22" t="s">
        <v>851</v>
      </c>
      <c r="B904" s="22" t="str">
        <f>"01085"</f>
        <v>01085</v>
      </c>
      <c r="C904" s="22" t="str">
        <f t="shared" si="14"/>
        <v>'1085.HK'</v>
      </c>
      <c r="D904" s="22" t="s">
        <v>2749</v>
      </c>
      <c r="E904" s="22" t="s">
        <v>938</v>
      </c>
      <c r="F904" s="22">
        <v>1940000000</v>
      </c>
      <c r="G904" s="22">
        <v>3</v>
      </c>
      <c r="H904" s="22" t="s">
        <v>2750</v>
      </c>
    </row>
    <row r="905" spans="1:8" x14ac:dyDescent="0.35">
      <c r="A905" s="22" t="s">
        <v>851</v>
      </c>
      <c r="B905" s="22" t="str">
        <f>"02187"</f>
        <v>02187</v>
      </c>
      <c r="C905" s="22" t="str">
        <f t="shared" si="14"/>
        <v>'2187.HK'</v>
      </c>
      <c r="D905" s="22" t="s">
        <v>2751</v>
      </c>
      <c r="E905" s="22" t="s">
        <v>1016</v>
      </c>
      <c r="F905" s="22">
        <v>1937320000</v>
      </c>
      <c r="G905" s="22">
        <v>3</v>
      </c>
      <c r="H905" s="22" t="s">
        <v>2752</v>
      </c>
    </row>
    <row r="906" spans="1:8" x14ac:dyDescent="0.35">
      <c r="A906" s="22" t="s">
        <v>851</v>
      </c>
      <c r="B906" s="22" t="str">
        <f>"06158"</f>
        <v>06158</v>
      </c>
      <c r="C906" s="22" t="str">
        <f t="shared" si="14"/>
        <v>'6158.HK'</v>
      </c>
      <c r="D906" s="22" t="s">
        <v>2753</v>
      </c>
      <c r="E906" s="22" t="s">
        <v>924</v>
      </c>
      <c r="F906" s="22">
        <v>1921812640</v>
      </c>
      <c r="G906" s="22">
        <v>40</v>
      </c>
      <c r="H906" s="22" t="s">
        <v>2754</v>
      </c>
    </row>
    <row r="907" spans="1:8" x14ac:dyDescent="0.35">
      <c r="A907" s="22" t="s">
        <v>851</v>
      </c>
      <c r="B907" s="22" t="str">
        <f>"00408"</f>
        <v>00408</v>
      </c>
      <c r="C907" s="22" t="str">
        <f t="shared" si="14"/>
        <v>'0408.HK'</v>
      </c>
      <c r="D907" s="22" t="s">
        <v>2755</v>
      </c>
      <c r="E907" s="22" t="s">
        <v>1600</v>
      </c>
      <c r="F907" s="22">
        <v>1921476244.48</v>
      </c>
      <c r="G907" s="22">
        <v>16</v>
      </c>
      <c r="H907" s="22" t="s">
        <v>2756</v>
      </c>
    </row>
    <row r="908" spans="1:8" x14ac:dyDescent="0.35">
      <c r="A908" s="22" t="s">
        <v>851</v>
      </c>
      <c r="B908" s="22" t="str">
        <f>"00329"</f>
        <v>00329</v>
      </c>
      <c r="C908" s="22" t="str">
        <f t="shared" si="14"/>
        <v>'0329.HK'</v>
      </c>
      <c r="D908" s="22" t="s">
        <v>2757</v>
      </c>
      <c r="E908" s="22" t="s">
        <v>1130</v>
      </c>
      <c r="F908" s="22">
        <v>1919679897.5999999</v>
      </c>
      <c r="G908" s="22">
        <v>3</v>
      </c>
      <c r="H908" s="22" t="s">
        <v>2758</v>
      </c>
    </row>
    <row r="909" spans="1:8" x14ac:dyDescent="0.35">
      <c r="A909" s="22" t="s">
        <v>851</v>
      </c>
      <c r="B909" s="22" t="str">
        <f>"02348"</f>
        <v>02348</v>
      </c>
      <c r="C909" s="22" t="str">
        <f t="shared" si="14"/>
        <v>'2348.HK'</v>
      </c>
      <c r="D909" s="22" t="s">
        <v>2759</v>
      </c>
      <c r="E909" s="22" t="s">
        <v>969</v>
      </c>
      <c r="F909" s="22">
        <v>1918255360</v>
      </c>
      <c r="G909" s="22">
        <v>23</v>
      </c>
      <c r="H909" s="22" t="s">
        <v>2760</v>
      </c>
    </row>
    <row r="910" spans="1:8" x14ac:dyDescent="0.35">
      <c r="A910" s="22" t="s">
        <v>851</v>
      </c>
      <c r="B910" s="22" t="str">
        <f>"00951"</f>
        <v>00951</v>
      </c>
      <c r="C910" s="22" t="str">
        <f t="shared" si="14"/>
        <v>'0951.HK'</v>
      </c>
      <c r="D910" s="22" t="s">
        <v>2761</v>
      </c>
      <c r="E910" s="22" t="s">
        <v>1145</v>
      </c>
      <c r="F910" s="22">
        <v>1899098403.8800001</v>
      </c>
      <c r="G910" s="22">
        <v>62</v>
      </c>
      <c r="H910" s="22" t="s">
        <v>2762</v>
      </c>
    </row>
    <row r="911" spans="1:8" x14ac:dyDescent="0.35">
      <c r="A911" s="22" t="s">
        <v>851</v>
      </c>
      <c r="B911" s="22" t="str">
        <f>"01665"</f>
        <v>01665</v>
      </c>
      <c r="C911" s="22" t="str">
        <f t="shared" si="14"/>
        <v>'1665.HK'</v>
      </c>
      <c r="D911" s="22" t="s">
        <v>2763</v>
      </c>
      <c r="E911" s="22" t="s">
        <v>1202</v>
      </c>
      <c r="F911" s="22">
        <v>1896000000</v>
      </c>
      <c r="G911" s="22">
        <v>19</v>
      </c>
      <c r="H911" s="22" t="s">
        <v>2764</v>
      </c>
    </row>
    <row r="912" spans="1:8" x14ac:dyDescent="0.35">
      <c r="A912" s="22" t="s">
        <v>851</v>
      </c>
      <c r="B912" s="22" t="str">
        <f>"01728"</f>
        <v>01728</v>
      </c>
      <c r="C912" s="22" t="str">
        <f t="shared" si="14"/>
        <v>'1728.HK'</v>
      </c>
      <c r="D912" s="22" t="s">
        <v>2765</v>
      </c>
      <c r="E912" s="22" t="s">
        <v>1089</v>
      </c>
      <c r="F912" s="22">
        <v>1893734269.8</v>
      </c>
      <c r="G912" s="22">
        <v>45</v>
      </c>
      <c r="H912" s="22" t="s">
        <v>2766</v>
      </c>
    </row>
    <row r="913" spans="1:8" x14ac:dyDescent="0.35">
      <c r="A913" s="22" t="s">
        <v>851</v>
      </c>
      <c r="B913" s="22" t="str">
        <f>"03301"</f>
        <v>03301</v>
      </c>
      <c r="C913" s="22" t="str">
        <f t="shared" si="14"/>
        <v>'3301.HK'</v>
      </c>
      <c r="D913" s="22" t="s">
        <v>2767</v>
      </c>
      <c r="E913" s="22" t="s">
        <v>924</v>
      </c>
      <c r="F913" s="22">
        <v>1885443187.04</v>
      </c>
      <c r="G913" s="22">
        <v>105</v>
      </c>
      <c r="H913" s="22" t="s">
        <v>2768</v>
      </c>
    </row>
    <row r="914" spans="1:8" x14ac:dyDescent="0.35">
      <c r="A914" s="22" t="s">
        <v>851</v>
      </c>
      <c r="B914" s="22" t="str">
        <f>"01263"</f>
        <v>01263</v>
      </c>
      <c r="C914" s="22" t="str">
        <f t="shared" si="14"/>
        <v>'1263.HK'</v>
      </c>
      <c r="D914" s="22" t="s">
        <v>2769</v>
      </c>
      <c r="E914" s="22" t="s">
        <v>1152</v>
      </c>
      <c r="F914" s="22">
        <v>1880265789.8</v>
      </c>
      <c r="G914" s="22">
        <v>16</v>
      </c>
      <c r="H914" s="22" t="s">
        <v>2770</v>
      </c>
    </row>
    <row r="915" spans="1:8" x14ac:dyDescent="0.35">
      <c r="A915" s="22" t="s">
        <v>851</v>
      </c>
      <c r="B915" s="22" t="str">
        <f>"00609"</f>
        <v>00609</v>
      </c>
      <c r="C915" s="22" t="str">
        <f t="shared" si="14"/>
        <v>'0609.HK'</v>
      </c>
      <c r="D915" s="22" t="s">
        <v>2771</v>
      </c>
      <c r="E915" s="22" t="s">
        <v>1600</v>
      </c>
      <c r="F915" s="22">
        <v>1877942880</v>
      </c>
      <c r="G915" s="22">
        <v>21</v>
      </c>
      <c r="H915" s="22" t="s">
        <v>2772</v>
      </c>
    </row>
    <row r="916" spans="1:8" x14ac:dyDescent="0.35">
      <c r="A916" s="22" t="s">
        <v>851</v>
      </c>
      <c r="B916" s="22" t="str">
        <f>"01141"</f>
        <v>01141</v>
      </c>
      <c r="C916" s="22" t="str">
        <f t="shared" si="14"/>
        <v>'1141.HK'</v>
      </c>
      <c r="D916" s="22" t="s">
        <v>2773</v>
      </c>
      <c r="E916" s="22" t="s">
        <v>1130</v>
      </c>
      <c r="F916" s="22">
        <v>1865283390.3800001</v>
      </c>
      <c r="G916" s="22">
        <v>16</v>
      </c>
      <c r="H916" s="22" t="s">
        <v>2774</v>
      </c>
    </row>
    <row r="917" spans="1:8" x14ac:dyDescent="0.35">
      <c r="A917" s="22" t="s">
        <v>851</v>
      </c>
      <c r="B917" s="22" t="str">
        <f>"03681"</f>
        <v>03681</v>
      </c>
      <c r="C917" s="22" t="str">
        <f t="shared" si="14"/>
        <v>'3681.HK'</v>
      </c>
      <c r="D917" s="22" t="s">
        <v>2775</v>
      </c>
      <c r="E917" s="22" t="s">
        <v>941</v>
      </c>
      <c r="F917" s="22">
        <v>1862856720</v>
      </c>
      <c r="G917" s="22">
        <v>8</v>
      </c>
      <c r="H917" s="22" t="s">
        <v>2776</v>
      </c>
    </row>
    <row r="918" spans="1:8" x14ac:dyDescent="0.35">
      <c r="A918" s="22" t="s">
        <v>851</v>
      </c>
      <c r="B918" s="22" t="str">
        <f>"01820"</f>
        <v>01820</v>
      </c>
      <c r="C918" s="22" t="str">
        <f t="shared" si="14"/>
        <v>'1820.HK'</v>
      </c>
      <c r="D918" s="22" t="s">
        <v>2777</v>
      </c>
      <c r="E918" s="22" t="s">
        <v>2259</v>
      </c>
      <c r="F918" s="22">
        <v>1860912080</v>
      </c>
      <c r="G918" s="22">
        <v>2</v>
      </c>
      <c r="H918" s="22" t="s">
        <v>2778</v>
      </c>
    </row>
    <row r="919" spans="1:8" x14ac:dyDescent="0.35">
      <c r="A919" s="22" t="s">
        <v>851</v>
      </c>
      <c r="B919" s="22" t="str">
        <f>"03836"</f>
        <v>03836</v>
      </c>
      <c r="C919" s="22" t="str">
        <f t="shared" si="14"/>
        <v>'3836.HK'</v>
      </c>
      <c r="D919" s="22" t="s">
        <v>2779</v>
      </c>
      <c r="E919" s="22" t="s">
        <v>1089</v>
      </c>
      <c r="F919" s="22">
        <v>1856396012.4000001</v>
      </c>
      <c r="G919" s="22">
        <v>35</v>
      </c>
      <c r="H919" s="22" t="s">
        <v>2780</v>
      </c>
    </row>
    <row r="920" spans="1:8" x14ac:dyDescent="0.35">
      <c r="A920" s="22" t="s">
        <v>851</v>
      </c>
      <c r="B920" s="22" t="str">
        <f>"02126"</f>
        <v>02126</v>
      </c>
      <c r="C920" s="22" t="str">
        <f t="shared" si="14"/>
        <v>'2126.HK'</v>
      </c>
      <c r="D920" s="22" t="s">
        <v>2781</v>
      </c>
      <c r="E920" s="22" t="s">
        <v>941</v>
      </c>
      <c r="F920" s="22">
        <v>1853765549.9000001</v>
      </c>
      <c r="G920" s="22">
        <v>35</v>
      </c>
      <c r="H920" s="22" t="s">
        <v>2782</v>
      </c>
    </row>
    <row r="921" spans="1:8" x14ac:dyDescent="0.35">
      <c r="A921" s="22" t="s">
        <v>851</v>
      </c>
      <c r="B921" s="22" t="str">
        <f>"02633"</f>
        <v>02633</v>
      </c>
      <c r="C921" s="22" t="str">
        <f t="shared" si="14"/>
        <v>'2633.HK'</v>
      </c>
      <c r="D921" s="22" t="s">
        <v>2783</v>
      </c>
      <c r="E921" s="22" t="s">
        <v>969</v>
      </c>
      <c r="F921" s="22">
        <v>1837509950</v>
      </c>
      <c r="G921" s="22">
        <v>10</v>
      </c>
      <c r="H921" s="22" t="s">
        <v>2784</v>
      </c>
    </row>
    <row r="922" spans="1:8" x14ac:dyDescent="0.35">
      <c r="A922" s="22" t="s">
        <v>851</v>
      </c>
      <c r="B922" s="22" t="str">
        <f>"01846"</f>
        <v>01846</v>
      </c>
      <c r="C922" s="22" t="str">
        <f t="shared" si="14"/>
        <v>'1846.HK'</v>
      </c>
      <c r="D922" s="22" t="s">
        <v>2785</v>
      </c>
      <c r="E922" s="22" t="s">
        <v>1362</v>
      </c>
      <c r="F922" s="22">
        <v>1829487600</v>
      </c>
      <c r="G922" s="22">
        <v>15</v>
      </c>
      <c r="H922" s="22" t="s">
        <v>2786</v>
      </c>
    </row>
    <row r="923" spans="1:8" x14ac:dyDescent="0.35">
      <c r="A923" s="22" t="s">
        <v>851</v>
      </c>
      <c r="B923" s="22" t="str">
        <f>"00286"</f>
        <v>00286</v>
      </c>
      <c r="C923" s="22" t="str">
        <f t="shared" si="14"/>
        <v>'0286.HK'</v>
      </c>
      <c r="D923" s="22" t="s">
        <v>2787</v>
      </c>
      <c r="E923" s="22" t="s">
        <v>1362</v>
      </c>
      <c r="F923" s="22">
        <v>1824906289.0799999</v>
      </c>
      <c r="G923" s="22">
        <v>10</v>
      </c>
      <c r="H923" s="22" t="s">
        <v>2788</v>
      </c>
    </row>
    <row r="924" spans="1:8" x14ac:dyDescent="0.35">
      <c r="A924" s="22" t="s">
        <v>851</v>
      </c>
      <c r="B924" s="22" t="str">
        <f>"01697"</f>
        <v>01697</v>
      </c>
      <c r="C924" s="22" t="str">
        <f t="shared" si="14"/>
        <v>'1697.HK'</v>
      </c>
      <c r="D924" s="22" t="s">
        <v>2789</v>
      </c>
      <c r="E924" s="22" t="s">
        <v>964</v>
      </c>
      <c r="F924" s="22">
        <v>1816951500</v>
      </c>
      <c r="G924" s="22">
        <v>20</v>
      </c>
      <c r="H924" s="22" t="s">
        <v>2790</v>
      </c>
    </row>
    <row r="925" spans="1:8" x14ac:dyDescent="0.35">
      <c r="A925" s="22" t="s">
        <v>851</v>
      </c>
      <c r="B925" s="22" t="str">
        <f>"02297"</f>
        <v>02297</v>
      </c>
      <c r="C925" s="22" t="str">
        <f t="shared" si="14"/>
        <v>'2297.HK'</v>
      </c>
      <c r="D925" s="22" t="s">
        <v>2791</v>
      </c>
      <c r="E925" s="22" t="s">
        <v>1232</v>
      </c>
      <c r="F925" s="22">
        <v>1810088450</v>
      </c>
      <c r="G925" s="22">
        <v>1</v>
      </c>
      <c r="H925" s="22" t="s">
        <v>2792</v>
      </c>
    </row>
    <row r="926" spans="1:8" x14ac:dyDescent="0.35">
      <c r="A926" s="22" t="s">
        <v>851</v>
      </c>
      <c r="B926" s="22" t="str">
        <f>"00695"</f>
        <v>00695</v>
      </c>
      <c r="C926" s="22" t="str">
        <f t="shared" si="14"/>
        <v>'0695.HK'</v>
      </c>
      <c r="D926" s="22" t="s">
        <v>2793</v>
      </c>
      <c r="E926" s="22" t="s">
        <v>1016</v>
      </c>
      <c r="F926" s="22">
        <v>1805040000</v>
      </c>
      <c r="G926" s="22">
        <v>5</v>
      </c>
      <c r="H926" s="22" t="s">
        <v>2794</v>
      </c>
    </row>
    <row r="927" spans="1:8" x14ac:dyDescent="0.35">
      <c r="A927" s="22" t="s">
        <v>851</v>
      </c>
      <c r="B927" s="22" t="str">
        <f>"01126"</f>
        <v>01126</v>
      </c>
      <c r="C927" s="22" t="str">
        <f t="shared" si="14"/>
        <v>'1126.HK'</v>
      </c>
      <c r="D927" s="22" t="s">
        <v>2795</v>
      </c>
      <c r="E927" s="22" t="s">
        <v>1446</v>
      </c>
      <c r="F927" s="22">
        <v>1800460900</v>
      </c>
      <c r="G927" s="22">
        <v>15</v>
      </c>
      <c r="H927" s="22" t="s">
        <v>2796</v>
      </c>
    </row>
    <row r="928" spans="1:8" x14ac:dyDescent="0.35">
      <c r="A928" s="22" t="s">
        <v>851</v>
      </c>
      <c r="B928" s="22" t="str">
        <f>"00321"</f>
        <v>00321</v>
      </c>
      <c r="C928" s="22" t="str">
        <f t="shared" si="14"/>
        <v>'0321.HK'</v>
      </c>
      <c r="D928" s="22" t="s">
        <v>2797</v>
      </c>
      <c r="E928" s="22" t="s">
        <v>1914</v>
      </c>
      <c r="F928" s="22">
        <v>1796204935.2</v>
      </c>
      <c r="G928" s="22">
        <v>38</v>
      </c>
      <c r="H928" s="22" t="s">
        <v>2798</v>
      </c>
    </row>
    <row r="929" spans="1:8" x14ac:dyDescent="0.35">
      <c r="A929" s="22" t="s">
        <v>851</v>
      </c>
      <c r="B929" s="22" t="str">
        <f>"02181"</f>
        <v>02181</v>
      </c>
      <c r="C929" s="22" t="str">
        <f t="shared" si="14"/>
        <v>'2181.HK'</v>
      </c>
      <c r="D929" s="22" t="s">
        <v>2799</v>
      </c>
      <c r="E929" s="22" t="s">
        <v>941</v>
      </c>
      <c r="F929" s="22">
        <v>1793974800</v>
      </c>
      <c r="G929" s="22">
        <v>7</v>
      </c>
      <c r="H929" s="22" t="s">
        <v>2800</v>
      </c>
    </row>
    <row r="930" spans="1:8" x14ac:dyDescent="0.35">
      <c r="A930" s="22" t="s">
        <v>851</v>
      </c>
      <c r="B930" s="22" t="str">
        <f>"00052"</f>
        <v>00052</v>
      </c>
      <c r="C930" s="22" t="str">
        <f t="shared" si="14"/>
        <v>'0052.HK'</v>
      </c>
      <c r="D930" s="22" t="s">
        <v>2801</v>
      </c>
      <c r="E930" s="22" t="s">
        <v>981</v>
      </c>
      <c r="F930" s="22">
        <v>1785237308.4000001</v>
      </c>
      <c r="G930" s="22">
        <v>27</v>
      </c>
      <c r="H930" s="22" t="s">
        <v>2802</v>
      </c>
    </row>
    <row r="931" spans="1:8" x14ac:dyDescent="0.35">
      <c r="A931" s="22" t="s">
        <v>851</v>
      </c>
      <c r="B931" s="22" t="str">
        <f>"03639"</f>
        <v>03639</v>
      </c>
      <c r="C931" s="22" t="str">
        <f t="shared" si="14"/>
        <v>'3639.HK'</v>
      </c>
      <c r="D931" s="22" t="s">
        <v>2803</v>
      </c>
      <c r="E931" s="22" t="s">
        <v>924</v>
      </c>
      <c r="F931" s="22">
        <v>1782939300</v>
      </c>
      <c r="G931" s="22">
        <v>15</v>
      </c>
      <c r="H931" s="22" t="s">
        <v>2804</v>
      </c>
    </row>
    <row r="932" spans="1:8" x14ac:dyDescent="0.35">
      <c r="A932" s="22" t="s">
        <v>851</v>
      </c>
      <c r="B932" s="22" t="str">
        <f>"02250"</f>
        <v>02250</v>
      </c>
      <c r="C932" s="22" t="str">
        <f t="shared" si="14"/>
        <v>'2250.HK'</v>
      </c>
      <c r="D932" s="22" t="s">
        <v>2805</v>
      </c>
      <c r="E932" s="22" t="s">
        <v>853</v>
      </c>
      <c r="F932" s="22">
        <v>1780000000</v>
      </c>
      <c r="G932" s="22">
        <v>1</v>
      </c>
      <c r="H932" s="22" t="s">
        <v>2806</v>
      </c>
    </row>
    <row r="933" spans="1:8" x14ac:dyDescent="0.35">
      <c r="A933" s="22" t="s">
        <v>851</v>
      </c>
      <c r="B933" s="22" t="str">
        <f>"02768"</f>
        <v>02768</v>
      </c>
      <c r="C933" s="22" t="str">
        <f t="shared" si="14"/>
        <v>'2768.HK'</v>
      </c>
      <c r="D933" s="22" t="s">
        <v>2807</v>
      </c>
      <c r="E933" s="22" t="s">
        <v>924</v>
      </c>
      <c r="F933" s="22">
        <v>1779970650.3800001</v>
      </c>
      <c r="G933" s="22">
        <v>45</v>
      </c>
      <c r="H933" s="22" t="s">
        <v>2808</v>
      </c>
    </row>
    <row r="934" spans="1:8" x14ac:dyDescent="0.35">
      <c r="A934" s="22" t="s">
        <v>851</v>
      </c>
      <c r="B934" s="22" t="str">
        <f>"01935"</f>
        <v>01935</v>
      </c>
      <c r="C934" s="22" t="str">
        <f t="shared" si="14"/>
        <v>'1935.HK'</v>
      </c>
      <c r="D934" s="22" t="s">
        <v>2809</v>
      </c>
      <c r="E934" s="22" t="s">
        <v>1270</v>
      </c>
      <c r="F934" s="22">
        <v>1776921300</v>
      </c>
      <c r="G934" s="22">
        <v>11</v>
      </c>
      <c r="H934" s="22" t="s">
        <v>2810</v>
      </c>
    </row>
    <row r="935" spans="1:8" x14ac:dyDescent="0.35">
      <c r="A935" s="22" t="s">
        <v>851</v>
      </c>
      <c r="B935" s="22" t="str">
        <f>"00139"</f>
        <v>00139</v>
      </c>
      <c r="C935" s="22" t="str">
        <f t="shared" si="14"/>
        <v>'0139.HK'</v>
      </c>
      <c r="D935" s="22" t="s">
        <v>2811</v>
      </c>
      <c r="E935" s="22" t="s">
        <v>1130</v>
      </c>
      <c r="F935" s="22">
        <v>1773186201.171</v>
      </c>
      <c r="G935" s="22">
        <v>3</v>
      </c>
      <c r="H935" s="22" t="s">
        <v>2812</v>
      </c>
    </row>
    <row r="936" spans="1:8" x14ac:dyDescent="0.35">
      <c r="A936" s="22" t="s">
        <v>851</v>
      </c>
      <c r="B936" s="22" t="str">
        <f>"03798"</f>
        <v>03798</v>
      </c>
      <c r="C936" s="22" t="str">
        <f t="shared" si="14"/>
        <v>'3798.HK'</v>
      </c>
      <c r="D936" s="22" t="s">
        <v>2813</v>
      </c>
      <c r="E936" s="22" t="s">
        <v>910</v>
      </c>
      <c r="F936" s="22">
        <v>1771096830</v>
      </c>
      <c r="G936" s="22">
        <v>16</v>
      </c>
      <c r="H936" s="22" t="s">
        <v>2814</v>
      </c>
    </row>
    <row r="937" spans="1:8" x14ac:dyDescent="0.35">
      <c r="A937" s="22" t="s">
        <v>851</v>
      </c>
      <c r="B937" s="22" t="str">
        <f>"02779"</f>
        <v>02779</v>
      </c>
      <c r="C937" s="22" t="str">
        <f t="shared" si="14"/>
        <v>'2779.HK'</v>
      </c>
      <c r="D937" s="22" t="s">
        <v>2815</v>
      </c>
      <c r="E937" s="22" t="s">
        <v>1270</v>
      </c>
      <c r="F937" s="22">
        <v>1769441300</v>
      </c>
      <c r="G937" s="22">
        <v>26</v>
      </c>
      <c r="H937" s="22" t="s">
        <v>2816</v>
      </c>
    </row>
    <row r="938" spans="1:8" x14ac:dyDescent="0.35">
      <c r="A938" s="22" t="s">
        <v>851</v>
      </c>
      <c r="B938" s="22" t="str">
        <f>"01469"</f>
        <v>01469</v>
      </c>
      <c r="C938" s="22" t="str">
        <f t="shared" si="14"/>
        <v>'1469.HK'</v>
      </c>
      <c r="D938" s="22" t="s">
        <v>2817</v>
      </c>
      <c r="E938" s="22" t="s">
        <v>1130</v>
      </c>
      <c r="F938" s="22">
        <v>1750000000</v>
      </c>
      <c r="G938" s="22">
        <v>3</v>
      </c>
      <c r="H938" s="22" t="s">
        <v>2818</v>
      </c>
    </row>
    <row r="939" spans="1:8" x14ac:dyDescent="0.35">
      <c r="A939" s="22" t="s">
        <v>851</v>
      </c>
      <c r="B939" s="22" t="str">
        <f>"00222"</f>
        <v>00222</v>
      </c>
      <c r="C939" s="22" t="str">
        <f t="shared" si="14"/>
        <v>'0222.HK'</v>
      </c>
      <c r="D939" s="22" t="s">
        <v>2819</v>
      </c>
      <c r="E939" s="22" t="s">
        <v>870</v>
      </c>
      <c r="F939" s="22">
        <v>1749963748.3599999</v>
      </c>
      <c r="G939" s="22">
        <v>17</v>
      </c>
      <c r="H939" s="22" t="s">
        <v>2820</v>
      </c>
    </row>
    <row r="940" spans="1:8" x14ac:dyDescent="0.35">
      <c r="A940" s="22" t="s">
        <v>851</v>
      </c>
      <c r="B940" s="22" t="str">
        <f>"02008"</f>
        <v>02008</v>
      </c>
      <c r="C940" s="22" t="str">
        <f t="shared" si="14"/>
        <v>'2008.HK'</v>
      </c>
      <c r="D940" s="22" t="s">
        <v>2821</v>
      </c>
      <c r="E940" s="22" t="s">
        <v>2645</v>
      </c>
      <c r="F940" s="22">
        <v>1747780825</v>
      </c>
      <c r="G940" s="22">
        <v>19</v>
      </c>
      <c r="H940" s="22" t="s">
        <v>2822</v>
      </c>
    </row>
    <row r="941" spans="1:8" x14ac:dyDescent="0.35">
      <c r="A941" s="22" t="s">
        <v>851</v>
      </c>
      <c r="B941" s="22" t="str">
        <f>"00438"</f>
        <v>00438</v>
      </c>
      <c r="C941" s="22" t="str">
        <f t="shared" si="14"/>
        <v>'0438.HK'</v>
      </c>
      <c r="D941" s="22" t="s">
        <v>2823</v>
      </c>
      <c r="E941" s="22" t="s">
        <v>1145</v>
      </c>
      <c r="F941" s="22">
        <v>1743825272.3</v>
      </c>
      <c r="G941" s="22">
        <v>18</v>
      </c>
      <c r="H941" s="22" t="s">
        <v>2824</v>
      </c>
    </row>
    <row r="942" spans="1:8" x14ac:dyDescent="0.35">
      <c r="A942" s="22" t="s">
        <v>851</v>
      </c>
      <c r="B942" s="22" t="str">
        <f>"02660"</f>
        <v>02660</v>
      </c>
      <c r="C942" s="22" t="str">
        <f t="shared" si="14"/>
        <v>'2660.HK'</v>
      </c>
      <c r="D942" s="22" t="s">
        <v>2825</v>
      </c>
      <c r="E942" s="22" t="s">
        <v>910</v>
      </c>
      <c r="F942" s="22">
        <v>1737660851.03</v>
      </c>
      <c r="G942" s="22">
        <v>15</v>
      </c>
      <c r="H942" s="22" t="s">
        <v>2826</v>
      </c>
    </row>
    <row r="943" spans="1:8" x14ac:dyDescent="0.35">
      <c r="A943" s="22" t="s">
        <v>851</v>
      </c>
      <c r="B943" s="22" t="str">
        <f>"06638"</f>
        <v>06638</v>
      </c>
      <c r="C943" s="22" t="str">
        <f t="shared" si="14"/>
        <v>'6638.HK'</v>
      </c>
      <c r="D943" s="22" t="s">
        <v>2827</v>
      </c>
      <c r="E943" s="22" t="s">
        <v>910</v>
      </c>
      <c r="F943" s="22">
        <v>1719871559.9100001</v>
      </c>
      <c r="G943" s="22">
        <v>2</v>
      </c>
      <c r="H943" s="22" t="s">
        <v>2828</v>
      </c>
    </row>
    <row r="944" spans="1:8" x14ac:dyDescent="0.35">
      <c r="A944" s="22" t="s">
        <v>851</v>
      </c>
      <c r="B944" s="22" t="str">
        <f>"00716"</f>
        <v>00716</v>
      </c>
      <c r="C944" s="22" t="str">
        <f t="shared" si="14"/>
        <v>'0716.HK'</v>
      </c>
      <c r="D944" s="22" t="s">
        <v>2829</v>
      </c>
      <c r="E944" s="22" t="s">
        <v>1109</v>
      </c>
      <c r="F944" s="22">
        <v>1715188260.96</v>
      </c>
      <c r="G944" s="22">
        <v>40</v>
      </c>
      <c r="H944" s="22" t="s">
        <v>2830</v>
      </c>
    </row>
    <row r="945" spans="1:8" x14ac:dyDescent="0.35">
      <c r="A945" s="22" t="s">
        <v>851</v>
      </c>
      <c r="B945" s="22" t="str">
        <f>"00187"</f>
        <v>00187</v>
      </c>
      <c r="C945" s="22" t="str">
        <f t="shared" si="14"/>
        <v>'0187.HK'</v>
      </c>
      <c r="D945" s="22" t="s">
        <v>2831</v>
      </c>
      <c r="E945" s="22" t="s">
        <v>1224</v>
      </c>
      <c r="F945" s="22">
        <v>1708137862.2</v>
      </c>
      <c r="G945" s="22">
        <v>17</v>
      </c>
      <c r="H945" s="22" t="s">
        <v>2832</v>
      </c>
    </row>
    <row r="946" spans="1:8" x14ac:dyDescent="0.35">
      <c r="A946" s="22" t="s">
        <v>851</v>
      </c>
      <c r="B946" s="22" t="str">
        <f>"00230"</f>
        <v>00230</v>
      </c>
      <c r="C946" s="22" t="str">
        <f t="shared" si="14"/>
        <v>'0230.HK'</v>
      </c>
      <c r="D946" s="22" t="s">
        <v>2833</v>
      </c>
      <c r="E946" s="22" t="s">
        <v>924</v>
      </c>
      <c r="F946" s="22">
        <v>1706923098.8699999</v>
      </c>
      <c r="G946" s="22">
        <v>40</v>
      </c>
      <c r="H946" s="22" t="s">
        <v>2834</v>
      </c>
    </row>
    <row r="947" spans="1:8" x14ac:dyDescent="0.35">
      <c r="A947" s="22" t="s">
        <v>851</v>
      </c>
      <c r="B947" s="22" t="str">
        <f>"00838"</f>
        <v>00838</v>
      </c>
      <c r="C947" s="22" t="str">
        <f t="shared" si="14"/>
        <v>'0838.HK'</v>
      </c>
      <c r="D947" s="22" t="s">
        <v>2835</v>
      </c>
      <c r="E947" s="22" t="s">
        <v>1224</v>
      </c>
      <c r="F947" s="22">
        <v>1706101404</v>
      </c>
      <c r="G947" s="22">
        <v>10</v>
      </c>
      <c r="H947" s="22" t="s">
        <v>2836</v>
      </c>
    </row>
    <row r="948" spans="1:8" x14ac:dyDescent="0.35">
      <c r="A948" s="22" t="s">
        <v>851</v>
      </c>
      <c r="B948" s="22" t="str">
        <f>"00255"</f>
        <v>00255</v>
      </c>
      <c r="C948" s="22" t="str">
        <f t="shared" si="14"/>
        <v>'0255.HK'</v>
      </c>
      <c r="D948" s="22" t="s">
        <v>2837</v>
      </c>
      <c r="E948" s="22" t="s">
        <v>1224</v>
      </c>
      <c r="F948" s="22">
        <v>1705528718.0999999</v>
      </c>
      <c r="G948" s="22">
        <v>37</v>
      </c>
      <c r="H948" s="22" t="s">
        <v>2838</v>
      </c>
    </row>
    <row r="949" spans="1:8" x14ac:dyDescent="0.35">
      <c r="A949" s="22" t="s">
        <v>851</v>
      </c>
      <c r="B949" s="22" t="str">
        <f>"01996"</f>
        <v>01996</v>
      </c>
      <c r="C949" s="22" t="str">
        <f t="shared" si="14"/>
        <v>'1996.HK'</v>
      </c>
      <c r="D949" s="22" t="s">
        <v>2839</v>
      </c>
      <c r="E949" s="22" t="s">
        <v>924</v>
      </c>
      <c r="F949" s="22">
        <v>1702837980</v>
      </c>
      <c r="G949" s="22">
        <v>24</v>
      </c>
      <c r="H949" s="22" t="s">
        <v>2840</v>
      </c>
    </row>
    <row r="950" spans="1:8" x14ac:dyDescent="0.35">
      <c r="A950" s="22" t="s">
        <v>851</v>
      </c>
      <c r="B950" s="22" t="str">
        <f>"00610"</f>
        <v>00610</v>
      </c>
      <c r="C950" s="22" t="str">
        <f t="shared" si="14"/>
        <v>'0610.HK'</v>
      </c>
      <c r="D950" s="22" t="s">
        <v>2841</v>
      </c>
      <c r="E950" s="22" t="s">
        <v>1078</v>
      </c>
      <c r="F950" s="22">
        <v>1697285432.76</v>
      </c>
      <c r="G950" s="22">
        <v>35</v>
      </c>
      <c r="H950" s="22" t="s">
        <v>2842</v>
      </c>
    </row>
    <row r="951" spans="1:8" x14ac:dyDescent="0.35">
      <c r="A951" s="22" t="s">
        <v>851</v>
      </c>
      <c r="B951" s="22" t="str">
        <f>"06908"</f>
        <v>06908</v>
      </c>
      <c r="C951" s="22" t="str">
        <f t="shared" si="14"/>
        <v>'6908.HK'</v>
      </c>
      <c r="D951" s="22" t="s">
        <v>2843</v>
      </c>
      <c r="E951" s="22" t="s">
        <v>1040</v>
      </c>
      <c r="F951" s="22">
        <v>1686642900</v>
      </c>
      <c r="G951" s="22">
        <v>1</v>
      </c>
      <c r="H951" s="22" t="s">
        <v>2844</v>
      </c>
    </row>
    <row r="952" spans="1:8" x14ac:dyDescent="0.35">
      <c r="A952" s="22" t="s">
        <v>851</v>
      </c>
      <c r="B952" s="22" t="str">
        <f>"00542"</f>
        <v>00542</v>
      </c>
      <c r="C952" s="22" t="str">
        <f t="shared" si="14"/>
        <v>'0542.HK'</v>
      </c>
      <c r="D952" s="22" t="s">
        <v>2845</v>
      </c>
      <c r="E952" s="22" t="s">
        <v>1070</v>
      </c>
      <c r="F952" s="22">
        <v>1681016709.6800001</v>
      </c>
      <c r="G952" s="22">
        <v>1</v>
      </c>
      <c r="H952" s="22" t="s">
        <v>2846</v>
      </c>
    </row>
    <row r="953" spans="1:8" x14ac:dyDescent="0.35">
      <c r="A953" s="22" t="s">
        <v>851</v>
      </c>
      <c r="B953" s="22" t="str">
        <f>"00622"</f>
        <v>00622</v>
      </c>
      <c r="C953" s="22" t="str">
        <f t="shared" si="14"/>
        <v>'0622.HK'</v>
      </c>
      <c r="D953" s="22" t="s">
        <v>2847</v>
      </c>
      <c r="E953" s="22" t="s">
        <v>1130</v>
      </c>
      <c r="F953" s="22">
        <v>1680046263.2249999</v>
      </c>
      <c r="G953" s="22">
        <v>5</v>
      </c>
      <c r="H953" s="22" t="s">
        <v>2848</v>
      </c>
    </row>
    <row r="954" spans="1:8" x14ac:dyDescent="0.35">
      <c r="A954" s="22" t="s">
        <v>851</v>
      </c>
      <c r="B954" s="22" t="str">
        <f>"01719"</f>
        <v>01719</v>
      </c>
      <c r="C954" s="22" t="str">
        <f t="shared" si="14"/>
        <v>'1719.HK'</v>
      </c>
      <c r="D954" s="22" t="s">
        <v>2849</v>
      </c>
      <c r="E954" s="22" t="s">
        <v>1047</v>
      </c>
      <c r="F954" s="22">
        <v>1673314688.3299999</v>
      </c>
      <c r="G954" s="22">
        <v>3</v>
      </c>
      <c r="H954" s="22" t="s">
        <v>2850</v>
      </c>
    </row>
    <row r="955" spans="1:8" x14ac:dyDescent="0.35">
      <c r="A955" s="22" t="s">
        <v>851</v>
      </c>
      <c r="B955" s="22" t="str">
        <f>"00266"</f>
        <v>00266</v>
      </c>
      <c r="C955" s="22" t="str">
        <f t="shared" si="14"/>
        <v>'0266.HK'</v>
      </c>
      <c r="D955" s="22" t="s">
        <v>2851</v>
      </c>
      <c r="E955" s="22" t="s">
        <v>1028</v>
      </c>
      <c r="F955" s="22">
        <v>1666308702.24</v>
      </c>
      <c r="G955" s="22">
        <v>14</v>
      </c>
      <c r="H955" s="22" t="s">
        <v>2852</v>
      </c>
    </row>
    <row r="956" spans="1:8" x14ac:dyDescent="0.35">
      <c r="A956" s="22" t="s">
        <v>851</v>
      </c>
      <c r="B956" s="22" t="str">
        <f>"02198"</f>
        <v>02198</v>
      </c>
      <c r="C956" s="22" t="str">
        <f t="shared" si="14"/>
        <v>'2198.HK'</v>
      </c>
      <c r="D956" s="22" t="s">
        <v>2853</v>
      </c>
      <c r="E956" s="22" t="s">
        <v>1600</v>
      </c>
      <c r="F956" s="22">
        <v>1666000000</v>
      </c>
      <c r="G956" s="22">
        <v>49</v>
      </c>
      <c r="H956" s="22" t="s">
        <v>2854</v>
      </c>
    </row>
    <row r="957" spans="1:8" x14ac:dyDescent="0.35">
      <c r="A957" s="22" t="s">
        <v>851</v>
      </c>
      <c r="B957" s="22" t="str">
        <f>"03903"</f>
        <v>03903</v>
      </c>
      <c r="C957" s="22" t="str">
        <f t="shared" si="14"/>
        <v>'3903.HK'</v>
      </c>
      <c r="D957" s="22" t="s">
        <v>2855</v>
      </c>
      <c r="E957" s="22" t="s">
        <v>1498</v>
      </c>
      <c r="F957" s="22">
        <v>1656000000</v>
      </c>
      <c r="G957" s="22">
        <v>14</v>
      </c>
      <c r="H957" s="22" t="s">
        <v>2856</v>
      </c>
    </row>
    <row r="958" spans="1:8" x14ac:dyDescent="0.35">
      <c r="A958" s="22" t="s">
        <v>851</v>
      </c>
      <c r="B958" s="22" t="str">
        <f>"01875"</f>
        <v>01875</v>
      </c>
      <c r="C958" s="22" t="str">
        <f t="shared" si="14"/>
        <v>'1875.HK'</v>
      </c>
      <c r="D958" s="22" t="s">
        <v>2857</v>
      </c>
      <c r="E958" s="22" t="s">
        <v>941</v>
      </c>
      <c r="F958" s="22">
        <v>1637591123.5799999</v>
      </c>
      <c r="G958" s="22">
        <v>11</v>
      </c>
      <c r="H958" s="22" t="s">
        <v>2858</v>
      </c>
    </row>
    <row r="959" spans="1:8" x14ac:dyDescent="0.35">
      <c r="A959" s="22" t="s">
        <v>851</v>
      </c>
      <c r="B959" s="22" t="str">
        <f>"00511"</f>
        <v>00511</v>
      </c>
      <c r="C959" s="22" t="str">
        <f t="shared" si="14"/>
        <v>'0511.HK'</v>
      </c>
      <c r="D959" s="22" t="s">
        <v>2859</v>
      </c>
      <c r="E959" s="22" t="s">
        <v>2645</v>
      </c>
      <c r="F959" s="22">
        <v>1633740000</v>
      </c>
      <c r="G959" s="22">
        <v>18</v>
      </c>
      <c r="H959" s="22" t="s">
        <v>2860</v>
      </c>
    </row>
    <row r="960" spans="1:8" x14ac:dyDescent="0.35">
      <c r="A960" s="22" t="s">
        <v>851</v>
      </c>
      <c r="B960" s="22" t="str">
        <f>"01713"</f>
        <v>01713</v>
      </c>
      <c r="C960" s="22" t="str">
        <f t="shared" si="14"/>
        <v>'1713.HK'</v>
      </c>
      <c r="D960" s="22" t="s">
        <v>2861</v>
      </c>
      <c r="E960" s="22" t="s">
        <v>1022</v>
      </c>
      <c r="F960" s="22">
        <v>1633023704</v>
      </c>
      <c r="G960" s="22">
        <v>11</v>
      </c>
      <c r="H960" s="22" t="s">
        <v>2862</v>
      </c>
    </row>
    <row r="961" spans="1:8" x14ac:dyDescent="0.35">
      <c r="A961" s="22" t="s">
        <v>851</v>
      </c>
      <c r="B961" s="22" t="str">
        <f>"01588"</f>
        <v>01588</v>
      </c>
      <c r="C961" s="22" t="str">
        <f t="shared" si="14"/>
        <v>'1588.HK'</v>
      </c>
      <c r="D961" s="22" t="s">
        <v>2863</v>
      </c>
      <c r="E961" s="22" t="s">
        <v>910</v>
      </c>
      <c r="F961" s="22">
        <v>1632120219.99</v>
      </c>
      <c r="G961" s="22">
        <v>15</v>
      </c>
      <c r="H961" s="22" t="s">
        <v>2864</v>
      </c>
    </row>
    <row r="962" spans="1:8" x14ac:dyDescent="0.35">
      <c r="A962" s="22" t="s">
        <v>851</v>
      </c>
      <c r="B962" s="22" t="str">
        <f>"01795"</f>
        <v>01795</v>
      </c>
      <c r="C962" s="22" t="str">
        <f t="shared" si="14"/>
        <v>'1795.HK'</v>
      </c>
      <c r="D962" s="22" t="s">
        <v>2865</v>
      </c>
      <c r="E962" s="22" t="s">
        <v>1914</v>
      </c>
      <c r="F962" s="22">
        <v>1632000000</v>
      </c>
      <c r="G962" s="22">
        <v>2</v>
      </c>
      <c r="H962" s="22" t="s">
        <v>2866</v>
      </c>
    </row>
    <row r="963" spans="1:8" x14ac:dyDescent="0.35">
      <c r="A963" s="22" t="s">
        <v>851</v>
      </c>
      <c r="B963" s="22" t="str">
        <f>"06622"</f>
        <v>06622</v>
      </c>
      <c r="C963" s="22" t="str">
        <f t="shared" ref="C963:C1026" si="15">CONCATENATE("'",RIGHT(B963,4),".HK'")</f>
        <v>'6622.HK'</v>
      </c>
      <c r="D963" s="22" t="s">
        <v>2867</v>
      </c>
      <c r="E963" s="22" t="s">
        <v>969</v>
      </c>
      <c r="F963" s="22">
        <v>1631531976</v>
      </c>
      <c r="G963" s="22">
        <v>14</v>
      </c>
      <c r="H963" s="22" t="s">
        <v>2868</v>
      </c>
    </row>
    <row r="964" spans="1:8" x14ac:dyDescent="0.35">
      <c r="A964" s="22" t="s">
        <v>851</v>
      </c>
      <c r="B964" s="22" t="str">
        <f>"00882"</f>
        <v>00882</v>
      </c>
      <c r="C964" s="22" t="str">
        <f t="shared" si="15"/>
        <v>'0882.HK'</v>
      </c>
      <c r="D964" s="22" t="s">
        <v>2869</v>
      </c>
      <c r="E964" s="22" t="s">
        <v>958</v>
      </c>
      <c r="F964" s="22">
        <v>1630610590</v>
      </c>
      <c r="G964" s="22">
        <v>30</v>
      </c>
      <c r="H964" s="22" t="s">
        <v>2870</v>
      </c>
    </row>
    <row r="965" spans="1:8" x14ac:dyDescent="0.35">
      <c r="A965" s="22" t="s">
        <v>851</v>
      </c>
      <c r="B965" s="22" t="str">
        <f>"00875"</f>
        <v>00875</v>
      </c>
      <c r="C965" s="22" t="str">
        <f t="shared" si="15"/>
        <v>'0875.HK'</v>
      </c>
      <c r="D965" s="22" t="s">
        <v>2871</v>
      </c>
      <c r="E965" s="22" t="s">
        <v>1329</v>
      </c>
      <c r="F965" s="22">
        <v>1627012693.02</v>
      </c>
      <c r="G965" s="22">
        <v>1</v>
      </c>
      <c r="H965" s="22" t="s">
        <v>2872</v>
      </c>
    </row>
    <row r="966" spans="1:8" x14ac:dyDescent="0.35">
      <c r="A966" s="22" t="s">
        <v>851</v>
      </c>
      <c r="B966" s="22" t="str">
        <f>"01702"</f>
        <v>01702</v>
      </c>
      <c r="C966" s="22" t="str">
        <f t="shared" si="15"/>
        <v>'1702.HK'</v>
      </c>
      <c r="D966" s="22" t="s">
        <v>2873</v>
      </c>
      <c r="E966" s="22" t="s">
        <v>1903</v>
      </c>
      <c r="F966" s="22">
        <v>1626873280</v>
      </c>
      <c r="G966" s="22">
        <v>9</v>
      </c>
      <c r="H966" s="22" t="s">
        <v>2874</v>
      </c>
    </row>
    <row r="967" spans="1:8" x14ac:dyDescent="0.35">
      <c r="A967" s="22" t="s">
        <v>851</v>
      </c>
      <c r="B967" s="22" t="str">
        <f>"01977"</f>
        <v>01977</v>
      </c>
      <c r="C967" s="22" t="str">
        <f t="shared" si="15"/>
        <v>'1977.HK'</v>
      </c>
      <c r="D967" s="22" t="s">
        <v>2875</v>
      </c>
      <c r="E967" s="22" t="s">
        <v>1634</v>
      </c>
      <c r="F967" s="22">
        <v>1624000000</v>
      </c>
      <c r="G967" s="22">
        <v>4</v>
      </c>
      <c r="H967" s="22" t="s">
        <v>2876</v>
      </c>
    </row>
    <row r="968" spans="1:8" x14ac:dyDescent="0.35">
      <c r="A968" s="22" t="s">
        <v>851</v>
      </c>
      <c r="B968" s="22" t="str">
        <f>"03939"</f>
        <v>03939</v>
      </c>
      <c r="C968" s="22" t="str">
        <f t="shared" si="15"/>
        <v>'3939.HK'</v>
      </c>
      <c r="D968" s="22" t="s">
        <v>2877</v>
      </c>
      <c r="E968" s="22" t="s">
        <v>1316</v>
      </c>
      <c r="F968" s="22">
        <v>1622880000</v>
      </c>
      <c r="G968" s="22">
        <v>2</v>
      </c>
      <c r="H968" s="22" t="s">
        <v>2878</v>
      </c>
    </row>
    <row r="969" spans="1:8" x14ac:dyDescent="0.35">
      <c r="A969" s="22" t="s">
        <v>851</v>
      </c>
      <c r="B969" s="22" t="str">
        <f>"01525"</f>
        <v>01525</v>
      </c>
      <c r="C969" s="22" t="str">
        <f t="shared" si="15"/>
        <v>'1525.HK'</v>
      </c>
      <c r="D969" s="22" t="s">
        <v>2879</v>
      </c>
      <c r="E969" s="22" t="s">
        <v>1270</v>
      </c>
      <c r="F969" s="22">
        <v>1610200000</v>
      </c>
      <c r="G969" s="22">
        <v>21</v>
      </c>
      <c r="H969" s="22" t="s">
        <v>2880</v>
      </c>
    </row>
    <row r="970" spans="1:8" x14ac:dyDescent="0.35">
      <c r="A970" s="22" t="s">
        <v>851</v>
      </c>
      <c r="B970" s="22" t="str">
        <f>"00982"</f>
        <v>00982</v>
      </c>
      <c r="C970" s="22" t="str">
        <f t="shared" si="15"/>
        <v>'0982.HK'</v>
      </c>
      <c r="D970" s="22" t="s">
        <v>2881</v>
      </c>
      <c r="E970" s="22" t="s">
        <v>1104</v>
      </c>
      <c r="F970" s="22">
        <v>1609747200</v>
      </c>
      <c r="G970" s="22">
        <v>17</v>
      </c>
      <c r="H970" s="22" t="s">
        <v>2882</v>
      </c>
    </row>
    <row r="971" spans="1:8" x14ac:dyDescent="0.35">
      <c r="A971" s="22" t="s">
        <v>851</v>
      </c>
      <c r="B971" s="22" t="str">
        <f>"00335"</f>
        <v>00335</v>
      </c>
      <c r="C971" s="22" t="str">
        <f t="shared" si="15"/>
        <v>'0335.HK'</v>
      </c>
      <c r="D971" s="22" t="s">
        <v>2883</v>
      </c>
      <c r="E971" s="22" t="s">
        <v>1498</v>
      </c>
      <c r="F971" s="22">
        <v>1609390054.8</v>
      </c>
      <c r="G971" s="22">
        <v>3</v>
      </c>
      <c r="H971" s="22" t="s">
        <v>2884</v>
      </c>
    </row>
    <row r="972" spans="1:8" x14ac:dyDescent="0.35">
      <c r="A972" s="22" t="s">
        <v>851</v>
      </c>
      <c r="B972" s="22" t="str">
        <f>"00603"</f>
        <v>00603</v>
      </c>
      <c r="C972" s="22" t="str">
        <f t="shared" si="15"/>
        <v>'0603.HK'</v>
      </c>
      <c r="D972" s="22" t="s">
        <v>2885</v>
      </c>
      <c r="E972" s="22" t="s">
        <v>1031</v>
      </c>
      <c r="F972" s="22">
        <v>1606489092.6900001</v>
      </c>
      <c r="G972" s="22">
        <v>13</v>
      </c>
      <c r="H972" s="22" t="s">
        <v>2886</v>
      </c>
    </row>
    <row r="973" spans="1:8" x14ac:dyDescent="0.35">
      <c r="A973" s="22" t="s">
        <v>851</v>
      </c>
      <c r="B973" s="22" t="str">
        <f>"00113"</f>
        <v>00113</v>
      </c>
      <c r="C973" s="22" t="str">
        <f t="shared" si="15"/>
        <v>'0113.HK'</v>
      </c>
      <c r="D973" s="22" t="s">
        <v>2887</v>
      </c>
      <c r="E973" s="22" t="s">
        <v>1065</v>
      </c>
      <c r="F973" s="22">
        <v>1596521372.4000001</v>
      </c>
      <c r="G973" s="22">
        <v>20</v>
      </c>
      <c r="H973" s="22" t="s">
        <v>2888</v>
      </c>
    </row>
    <row r="974" spans="1:8" x14ac:dyDescent="0.35">
      <c r="A974" s="22" t="s">
        <v>851</v>
      </c>
      <c r="B974" s="22" t="str">
        <f>"03336"</f>
        <v>03336</v>
      </c>
      <c r="C974" s="22" t="str">
        <f t="shared" si="15"/>
        <v>'3336.HK'</v>
      </c>
      <c r="D974" s="22" t="s">
        <v>2889</v>
      </c>
      <c r="E974" s="22" t="s">
        <v>1152</v>
      </c>
      <c r="F974" s="22">
        <v>1596011231.8499999</v>
      </c>
      <c r="G974" s="22">
        <v>24</v>
      </c>
      <c r="H974" s="22" t="s">
        <v>2890</v>
      </c>
    </row>
    <row r="975" spans="1:8" x14ac:dyDescent="0.35">
      <c r="A975" s="22" t="s">
        <v>851</v>
      </c>
      <c r="B975" s="22" t="str">
        <f>"06885"</f>
        <v>06885</v>
      </c>
      <c r="C975" s="22" t="str">
        <f t="shared" si="15"/>
        <v>'6885.HK'</v>
      </c>
      <c r="D975" s="22" t="s">
        <v>2891</v>
      </c>
      <c r="E975" s="22" t="s">
        <v>904</v>
      </c>
      <c r="F975" s="22">
        <v>1595554580</v>
      </c>
      <c r="G975" s="22">
        <v>27</v>
      </c>
      <c r="H975" s="22" t="s">
        <v>2892</v>
      </c>
    </row>
    <row r="976" spans="1:8" x14ac:dyDescent="0.35">
      <c r="A976" s="22" t="s">
        <v>851</v>
      </c>
      <c r="B976" s="22" t="str">
        <f>"00752"</f>
        <v>00752</v>
      </c>
      <c r="C976" s="22" t="str">
        <f t="shared" si="15"/>
        <v>'0752.HK'</v>
      </c>
      <c r="D976" s="22" t="s">
        <v>2893</v>
      </c>
      <c r="E976" s="22" t="s">
        <v>1627</v>
      </c>
      <c r="F976" s="22">
        <v>1584970373.1199999</v>
      </c>
      <c r="G976" s="22">
        <v>21</v>
      </c>
      <c r="H976" s="22" t="s">
        <v>2894</v>
      </c>
    </row>
    <row r="977" spans="1:8" x14ac:dyDescent="0.35">
      <c r="A977" s="22" t="s">
        <v>851</v>
      </c>
      <c r="B977" s="22" t="str">
        <f>"00488"</f>
        <v>00488</v>
      </c>
      <c r="C977" s="22" t="str">
        <f t="shared" si="15"/>
        <v>'0488.HK'</v>
      </c>
      <c r="D977" s="22" t="s">
        <v>2895</v>
      </c>
      <c r="E977" s="22" t="s">
        <v>958</v>
      </c>
      <c r="F977" s="22">
        <v>1579283995.8099999</v>
      </c>
      <c r="G977" s="22">
        <v>18</v>
      </c>
      <c r="H977" s="22" t="s">
        <v>2896</v>
      </c>
    </row>
    <row r="978" spans="1:8" x14ac:dyDescent="0.35">
      <c r="A978" s="22" t="s">
        <v>851</v>
      </c>
      <c r="B978" s="22" t="str">
        <f>"00451"</f>
        <v>00451</v>
      </c>
      <c r="C978" s="22" t="str">
        <f t="shared" si="15"/>
        <v>'0451.HK'</v>
      </c>
      <c r="D978" s="22" t="s">
        <v>2897</v>
      </c>
      <c r="E978" s="22" t="s">
        <v>1127</v>
      </c>
      <c r="F978" s="22">
        <v>1564363934.48</v>
      </c>
      <c r="G978" s="22">
        <v>38</v>
      </c>
      <c r="H978" s="22" t="s">
        <v>2898</v>
      </c>
    </row>
    <row r="979" spans="1:8" x14ac:dyDescent="0.35">
      <c r="A979" s="22" t="s">
        <v>851</v>
      </c>
      <c r="B979" s="22" t="str">
        <f>"06090"</f>
        <v>06090</v>
      </c>
      <c r="C979" s="22" t="str">
        <f t="shared" si="15"/>
        <v>'6090.HK'</v>
      </c>
      <c r="D979" s="22" t="s">
        <v>2899</v>
      </c>
      <c r="E979" s="22" t="s">
        <v>1028</v>
      </c>
      <c r="F979" s="22">
        <v>1563848240.6400001</v>
      </c>
      <c r="G979" s="22">
        <v>5</v>
      </c>
      <c r="H979" s="22" t="s">
        <v>2900</v>
      </c>
    </row>
    <row r="980" spans="1:8" x14ac:dyDescent="0.35">
      <c r="A980" s="22" t="s">
        <v>851</v>
      </c>
      <c r="B980" s="22" t="str">
        <f>"02878"</f>
        <v>02878</v>
      </c>
      <c r="C980" s="22" t="str">
        <f t="shared" si="15"/>
        <v>'2878.HK'</v>
      </c>
      <c r="D980" s="22" t="s">
        <v>2901</v>
      </c>
      <c r="E980" s="22" t="s">
        <v>1040</v>
      </c>
      <c r="F980" s="22">
        <v>1546498457.6199999</v>
      </c>
      <c r="G980" s="22">
        <v>12</v>
      </c>
      <c r="H980" s="22" t="s">
        <v>2902</v>
      </c>
    </row>
    <row r="981" spans="1:8" x14ac:dyDescent="0.35">
      <c r="A981" s="22" t="s">
        <v>851</v>
      </c>
      <c r="B981" s="22" t="str">
        <f>"06878"</f>
        <v>06878</v>
      </c>
      <c r="C981" s="22" t="str">
        <f t="shared" si="15"/>
        <v>'6878.HK'</v>
      </c>
      <c r="D981" s="22" t="s">
        <v>2903</v>
      </c>
      <c r="E981" s="22" t="s">
        <v>924</v>
      </c>
      <c r="F981" s="22">
        <v>1542595006.3199999</v>
      </c>
      <c r="G981" s="22">
        <v>10</v>
      </c>
      <c r="H981" s="22" t="s">
        <v>2904</v>
      </c>
    </row>
    <row r="982" spans="1:8" x14ac:dyDescent="0.35">
      <c r="A982" s="22" t="s">
        <v>851</v>
      </c>
      <c r="B982" s="22" t="str">
        <f>"01727"</f>
        <v>01727</v>
      </c>
      <c r="C982" s="22" t="str">
        <f t="shared" si="15"/>
        <v>'1727.HK'</v>
      </c>
      <c r="D982" s="22" t="s">
        <v>2905</v>
      </c>
      <c r="E982" s="22" t="s">
        <v>1634</v>
      </c>
      <c r="F982" s="22">
        <v>1532403645</v>
      </c>
      <c r="G982" s="22">
        <v>9</v>
      </c>
      <c r="H982" s="22" t="s">
        <v>2906</v>
      </c>
    </row>
    <row r="983" spans="1:8" x14ac:dyDescent="0.35">
      <c r="A983" s="22" t="s">
        <v>851</v>
      </c>
      <c r="B983" s="22" t="str">
        <f>"03788"</f>
        <v>03788</v>
      </c>
      <c r="C983" s="22" t="str">
        <f t="shared" si="15"/>
        <v>'3788.HK'</v>
      </c>
      <c r="D983" s="22" t="s">
        <v>2907</v>
      </c>
      <c r="E983" s="22" t="s">
        <v>1579</v>
      </c>
      <c r="F983" s="22">
        <v>1528800000</v>
      </c>
      <c r="G983" s="22">
        <v>15</v>
      </c>
      <c r="H983" s="22" t="s">
        <v>2908</v>
      </c>
    </row>
    <row r="984" spans="1:8" x14ac:dyDescent="0.35">
      <c r="A984" s="22" t="s">
        <v>851</v>
      </c>
      <c r="B984" s="22" t="str">
        <f>"03300"</f>
        <v>03300</v>
      </c>
      <c r="C984" s="22" t="str">
        <f t="shared" si="15"/>
        <v>'3300.HK'</v>
      </c>
      <c r="D984" s="22" t="s">
        <v>2909</v>
      </c>
      <c r="E984" s="22" t="s">
        <v>1224</v>
      </c>
      <c r="F984" s="22">
        <v>1524061154.1400001</v>
      </c>
      <c r="G984" s="22">
        <v>14</v>
      </c>
      <c r="H984" s="22" t="s">
        <v>2910</v>
      </c>
    </row>
    <row r="985" spans="1:8" x14ac:dyDescent="0.35">
      <c r="A985" s="22" t="s">
        <v>851</v>
      </c>
      <c r="B985" s="22" t="str">
        <f>"01104"</f>
        <v>01104</v>
      </c>
      <c r="C985" s="22" t="str">
        <f t="shared" si="15"/>
        <v>'1104.HK'</v>
      </c>
      <c r="D985" s="22" t="s">
        <v>2911</v>
      </c>
      <c r="E985" s="22" t="s">
        <v>1579</v>
      </c>
      <c r="F985" s="22">
        <v>1523908059.5699999</v>
      </c>
      <c r="G985" s="22">
        <v>6</v>
      </c>
      <c r="H985" s="22" t="s">
        <v>2912</v>
      </c>
    </row>
    <row r="986" spans="1:8" x14ac:dyDescent="0.35">
      <c r="A986" s="22" t="s">
        <v>851</v>
      </c>
      <c r="B986" s="22" t="str">
        <f>"02237"</f>
        <v>02237</v>
      </c>
      <c r="C986" s="22" t="str">
        <f t="shared" si="15"/>
        <v>'2237.HK'</v>
      </c>
      <c r="D986" s="22" t="s">
        <v>2913</v>
      </c>
      <c r="E986" s="22" t="s">
        <v>1060</v>
      </c>
      <c r="F986" s="22">
        <v>1504000000</v>
      </c>
      <c r="G986" s="22">
        <v>3</v>
      </c>
      <c r="H986" s="22" t="s">
        <v>2914</v>
      </c>
    </row>
    <row r="987" spans="1:8" x14ac:dyDescent="0.35">
      <c r="A987" s="22" t="s">
        <v>851</v>
      </c>
      <c r="B987" s="22" t="str">
        <f>"03329"</f>
        <v>03329</v>
      </c>
      <c r="C987" s="22" t="str">
        <f t="shared" si="15"/>
        <v>'3329.HK'</v>
      </c>
      <c r="D987" s="22" t="s">
        <v>2915</v>
      </c>
      <c r="E987" s="22" t="s">
        <v>1498</v>
      </c>
      <c r="F987" s="22">
        <v>1503915600</v>
      </c>
      <c r="G987" s="22">
        <v>31</v>
      </c>
      <c r="H987" s="22" t="s">
        <v>2916</v>
      </c>
    </row>
    <row r="988" spans="1:8" x14ac:dyDescent="0.35">
      <c r="A988" s="22" t="s">
        <v>851</v>
      </c>
      <c r="B988" s="22" t="str">
        <f>"00169"</f>
        <v>00169</v>
      </c>
      <c r="C988" s="22" t="str">
        <f t="shared" si="15"/>
        <v>'0169.HK'</v>
      </c>
      <c r="D988" s="22" t="s">
        <v>2917</v>
      </c>
      <c r="E988" s="22" t="s">
        <v>1070</v>
      </c>
      <c r="F988" s="22">
        <v>1503150876.1600001</v>
      </c>
      <c r="G988" s="22">
        <v>17</v>
      </c>
      <c r="H988" s="22" t="s">
        <v>2918</v>
      </c>
    </row>
    <row r="989" spans="1:8" x14ac:dyDescent="0.35">
      <c r="A989" s="22" t="s">
        <v>851</v>
      </c>
      <c r="B989" s="22" t="str">
        <f>"06609"</f>
        <v>06609</v>
      </c>
      <c r="C989" s="22" t="str">
        <f t="shared" si="15"/>
        <v>'6609.HK'</v>
      </c>
      <c r="D989" s="22" t="s">
        <v>2919</v>
      </c>
      <c r="E989" s="22" t="s">
        <v>1232</v>
      </c>
      <c r="F989" s="22">
        <v>1493182987.5999999</v>
      </c>
      <c r="G989" s="22">
        <v>11</v>
      </c>
      <c r="H989" s="22" t="s">
        <v>2920</v>
      </c>
    </row>
    <row r="990" spans="1:8" x14ac:dyDescent="0.35">
      <c r="A990" s="22" t="s">
        <v>851</v>
      </c>
      <c r="B990" s="22" t="str">
        <f>"00064"</f>
        <v>00064</v>
      </c>
      <c r="C990" s="22" t="str">
        <f t="shared" si="15"/>
        <v>'0064.HK'</v>
      </c>
      <c r="D990" s="22" t="s">
        <v>2921</v>
      </c>
      <c r="E990" s="22" t="s">
        <v>1130</v>
      </c>
      <c r="F990" s="22">
        <v>1478394008.5139999</v>
      </c>
      <c r="G990" s="22">
        <v>10</v>
      </c>
      <c r="H990" s="22" t="s">
        <v>2922</v>
      </c>
    </row>
    <row r="991" spans="1:8" x14ac:dyDescent="0.35">
      <c r="A991" s="22" t="s">
        <v>851</v>
      </c>
      <c r="B991" s="22" t="str">
        <f>"00326"</f>
        <v>00326</v>
      </c>
      <c r="C991" s="22" t="str">
        <f t="shared" si="15"/>
        <v>'0326.HK'</v>
      </c>
      <c r="D991" s="22" t="s">
        <v>2923</v>
      </c>
      <c r="E991" s="22" t="s">
        <v>1185</v>
      </c>
      <c r="F991" s="22">
        <v>1476510287.4000001</v>
      </c>
      <c r="G991" s="22">
        <v>4</v>
      </c>
      <c r="H991" s="22" t="s">
        <v>2924</v>
      </c>
    </row>
    <row r="992" spans="1:8" x14ac:dyDescent="0.35">
      <c r="A992" s="22" t="s">
        <v>851</v>
      </c>
      <c r="B992" s="22" t="str">
        <f>"00159"</f>
        <v>00159</v>
      </c>
      <c r="C992" s="22" t="str">
        <f t="shared" si="15"/>
        <v>'0159.HK'</v>
      </c>
      <c r="D992" s="22" t="s">
        <v>2925</v>
      </c>
      <c r="E992" s="22" t="s">
        <v>1579</v>
      </c>
      <c r="F992" s="22">
        <v>1475556908.829</v>
      </c>
      <c r="G992" s="22">
        <v>4</v>
      </c>
      <c r="H992" s="22" t="s">
        <v>2926</v>
      </c>
    </row>
    <row r="993" spans="1:8" x14ac:dyDescent="0.35">
      <c r="A993" s="22" t="s">
        <v>851</v>
      </c>
      <c r="B993" s="22" t="str">
        <f>"02251"</f>
        <v>02251</v>
      </c>
      <c r="C993" s="22" t="str">
        <f t="shared" si="15"/>
        <v>'2251.HK'</v>
      </c>
      <c r="D993" s="22" t="s">
        <v>2927</v>
      </c>
      <c r="E993" s="22" t="s">
        <v>1232</v>
      </c>
      <c r="F993" s="22">
        <v>1472737144.8599999</v>
      </c>
      <c r="G993" s="22">
        <v>5</v>
      </c>
      <c r="H993" s="22" t="s">
        <v>2928</v>
      </c>
    </row>
    <row r="994" spans="1:8" x14ac:dyDescent="0.35">
      <c r="A994" s="22" t="s">
        <v>851</v>
      </c>
      <c r="B994" s="22" t="str">
        <f>"09936"</f>
        <v>09936</v>
      </c>
      <c r="C994" s="22" t="str">
        <f t="shared" si="15"/>
        <v>'9936.HK'</v>
      </c>
      <c r="D994" s="22" t="s">
        <v>2929</v>
      </c>
      <c r="E994" s="22" t="s">
        <v>1600</v>
      </c>
      <c r="F994" s="22">
        <v>1465200000</v>
      </c>
      <c r="G994" s="22">
        <v>5</v>
      </c>
      <c r="H994" s="22" t="s">
        <v>2930</v>
      </c>
    </row>
    <row r="995" spans="1:8" x14ac:dyDescent="0.35">
      <c r="A995" s="22" t="s">
        <v>851</v>
      </c>
      <c r="B995" s="22" t="str">
        <f>"09906"</f>
        <v>09906</v>
      </c>
      <c r="C995" s="22" t="str">
        <f t="shared" si="15"/>
        <v>'9906.HK'</v>
      </c>
      <c r="D995" s="22" t="s">
        <v>2931</v>
      </c>
      <c r="E995" s="22" t="s">
        <v>1362</v>
      </c>
      <c r="F995" s="22">
        <v>1464000000</v>
      </c>
      <c r="G995" s="22">
        <v>4</v>
      </c>
      <c r="H995" s="22" t="s">
        <v>2932</v>
      </c>
    </row>
    <row r="996" spans="1:8" x14ac:dyDescent="0.35">
      <c r="A996" s="22" t="s">
        <v>851</v>
      </c>
      <c r="B996" s="22" t="str">
        <f>"00147"</f>
        <v>00147</v>
      </c>
      <c r="C996" s="22" t="str">
        <f t="shared" si="15"/>
        <v>'0147.HK'</v>
      </c>
      <c r="D996" s="22" t="s">
        <v>2933</v>
      </c>
      <c r="E996" s="22" t="s">
        <v>924</v>
      </c>
      <c r="F996" s="22">
        <v>1462973207.04</v>
      </c>
      <c r="G996" s="22">
        <v>5</v>
      </c>
      <c r="H996" s="22" t="s">
        <v>2934</v>
      </c>
    </row>
    <row r="997" spans="1:8" x14ac:dyDescent="0.35">
      <c r="A997" s="22" t="s">
        <v>851</v>
      </c>
      <c r="B997" s="22" t="str">
        <f>"00547"</f>
        <v>00547</v>
      </c>
      <c r="C997" s="22" t="str">
        <f t="shared" si="15"/>
        <v>'0547.HK'</v>
      </c>
      <c r="D997" s="22" t="s">
        <v>2935</v>
      </c>
      <c r="E997" s="22" t="s">
        <v>1185</v>
      </c>
      <c r="F997" s="22">
        <v>1450224254.375</v>
      </c>
      <c r="G997" s="22">
        <v>12</v>
      </c>
      <c r="H997" s="22" t="s">
        <v>2936</v>
      </c>
    </row>
    <row r="998" spans="1:8" x14ac:dyDescent="0.35">
      <c r="A998" s="22" t="s">
        <v>851</v>
      </c>
      <c r="B998" s="22" t="str">
        <f>"02153"</f>
        <v>02153</v>
      </c>
      <c r="C998" s="22" t="str">
        <f t="shared" si="15"/>
        <v>'2153.HK'</v>
      </c>
      <c r="D998" s="22" t="s">
        <v>2937</v>
      </c>
      <c r="E998" s="22" t="s">
        <v>1395</v>
      </c>
      <c r="F998" s="22">
        <v>1446920350</v>
      </c>
      <c r="G998" s="22">
        <v>2</v>
      </c>
      <c r="H998" s="22" t="s">
        <v>2938</v>
      </c>
    </row>
    <row r="999" spans="1:8" x14ac:dyDescent="0.35">
      <c r="A999" s="22" t="s">
        <v>851</v>
      </c>
      <c r="B999" s="22" t="str">
        <f>"03768"</f>
        <v>03768</v>
      </c>
      <c r="C999" s="22" t="str">
        <f t="shared" si="15"/>
        <v>'3768.HK'</v>
      </c>
      <c r="D999" s="22" t="s">
        <v>2939</v>
      </c>
      <c r="E999" s="22" t="s">
        <v>1255</v>
      </c>
      <c r="F999" s="22">
        <v>1440755400</v>
      </c>
      <c r="G999" s="22">
        <v>31</v>
      </c>
      <c r="H999" s="22" t="s">
        <v>2940</v>
      </c>
    </row>
    <row r="1000" spans="1:8" x14ac:dyDescent="0.35">
      <c r="A1000" s="22" t="s">
        <v>851</v>
      </c>
      <c r="B1000" s="22" t="str">
        <f>"02185"</f>
        <v>02185</v>
      </c>
      <c r="C1000" s="22" t="str">
        <f t="shared" si="15"/>
        <v>'2185.HK'</v>
      </c>
      <c r="D1000" s="22" t="s">
        <v>2941</v>
      </c>
      <c r="E1000" s="22" t="s">
        <v>1232</v>
      </c>
      <c r="F1000" s="22">
        <v>1434349560</v>
      </c>
      <c r="G1000" s="22">
        <v>4</v>
      </c>
      <c r="H1000" s="22" t="s">
        <v>2942</v>
      </c>
    </row>
    <row r="1001" spans="1:8" x14ac:dyDescent="0.35">
      <c r="A1001" s="22" t="s">
        <v>851</v>
      </c>
      <c r="B1001" s="22" t="str">
        <f>"00825"</f>
        <v>00825</v>
      </c>
      <c r="C1001" s="22" t="str">
        <f t="shared" si="15"/>
        <v>'0825.HK'</v>
      </c>
      <c r="D1001" s="22" t="s">
        <v>2943</v>
      </c>
      <c r="E1001" s="22" t="s">
        <v>1485</v>
      </c>
      <c r="F1001" s="22">
        <v>1433223250</v>
      </c>
      <c r="G1001" s="22">
        <v>15</v>
      </c>
      <c r="H1001" s="22" t="s">
        <v>2944</v>
      </c>
    </row>
    <row r="1002" spans="1:8" x14ac:dyDescent="0.35">
      <c r="A1002" s="22" t="s">
        <v>851</v>
      </c>
      <c r="B1002" s="22" t="str">
        <f>"09600"</f>
        <v>09600</v>
      </c>
      <c r="C1002" s="22" t="str">
        <f t="shared" si="15"/>
        <v>'9600.HK'</v>
      </c>
      <c r="D1002" s="22" t="s">
        <v>2945</v>
      </c>
      <c r="E1002" s="22" t="s">
        <v>910</v>
      </c>
      <c r="F1002" s="22">
        <v>1431456208</v>
      </c>
      <c r="G1002" s="22">
        <v>6</v>
      </c>
      <c r="H1002" s="22" t="s">
        <v>2946</v>
      </c>
    </row>
    <row r="1003" spans="1:8" x14ac:dyDescent="0.35">
      <c r="A1003" s="22" t="s">
        <v>851</v>
      </c>
      <c r="B1003" s="22" t="str">
        <f>"09986"</f>
        <v>09986</v>
      </c>
      <c r="C1003" s="22" t="str">
        <f t="shared" si="15"/>
        <v>'9986.HK'</v>
      </c>
      <c r="D1003" s="22" t="s">
        <v>2947</v>
      </c>
      <c r="E1003" s="22" t="s">
        <v>1270</v>
      </c>
      <c r="F1003" s="22">
        <v>1424000000</v>
      </c>
      <c r="G1003" s="22">
        <v>5</v>
      </c>
      <c r="H1003" s="22" t="s">
        <v>2948</v>
      </c>
    </row>
    <row r="1004" spans="1:8" x14ac:dyDescent="0.35">
      <c r="A1004" s="22" t="s">
        <v>851</v>
      </c>
      <c r="B1004" s="22" t="str">
        <f>"01979"</f>
        <v>01979</v>
      </c>
      <c r="C1004" s="22" t="str">
        <f t="shared" si="15"/>
        <v>'1979.HK'</v>
      </c>
      <c r="D1004" s="22" t="s">
        <v>2949</v>
      </c>
      <c r="E1004" s="22" t="s">
        <v>1075</v>
      </c>
      <c r="F1004" s="22">
        <v>1421936771.7</v>
      </c>
      <c r="G1004" s="22">
        <v>11</v>
      </c>
      <c r="H1004" s="22" t="s">
        <v>2950</v>
      </c>
    </row>
    <row r="1005" spans="1:8" x14ac:dyDescent="0.35">
      <c r="A1005" s="22" t="s">
        <v>851</v>
      </c>
      <c r="B1005" s="22" t="str">
        <f>"06896"</f>
        <v>06896</v>
      </c>
      <c r="C1005" s="22" t="str">
        <f t="shared" si="15"/>
        <v>'6896.HK'</v>
      </c>
      <c r="D1005" s="22" t="s">
        <v>2951</v>
      </c>
      <c r="E1005" s="22" t="s">
        <v>969</v>
      </c>
      <c r="F1005" s="22">
        <v>1412066820</v>
      </c>
      <c r="G1005" s="22">
        <v>17</v>
      </c>
      <c r="H1005" s="22" t="s">
        <v>2952</v>
      </c>
    </row>
    <row r="1006" spans="1:8" x14ac:dyDescent="0.35">
      <c r="A1006" s="22" t="s">
        <v>851</v>
      </c>
      <c r="B1006" s="22" t="str">
        <f>"02180"</f>
        <v>02180</v>
      </c>
      <c r="C1006" s="22" t="str">
        <f t="shared" si="15"/>
        <v>'2180.HK'</v>
      </c>
      <c r="D1006" s="22" t="s">
        <v>2953</v>
      </c>
      <c r="E1006" s="22" t="s">
        <v>1671</v>
      </c>
      <c r="F1006" s="22">
        <v>1406883900</v>
      </c>
      <c r="G1006" s="22">
        <v>13</v>
      </c>
      <c r="H1006" s="22" t="s">
        <v>2954</v>
      </c>
    </row>
    <row r="1007" spans="1:8" x14ac:dyDescent="0.35">
      <c r="A1007" s="22" t="s">
        <v>851</v>
      </c>
      <c r="B1007" s="22" t="str">
        <f>"08053"</f>
        <v>08053</v>
      </c>
      <c r="C1007" s="22" t="str">
        <f t="shared" si="15"/>
        <v>'8053.HK'</v>
      </c>
      <c r="D1007" s="22" t="s">
        <v>2955</v>
      </c>
      <c r="E1007" s="22" t="s">
        <v>1634</v>
      </c>
      <c r="F1007" s="22">
        <v>1405696316.54</v>
      </c>
      <c r="G1007" s="22">
        <v>6</v>
      </c>
      <c r="H1007" s="22" t="s">
        <v>2956</v>
      </c>
    </row>
    <row r="1008" spans="1:8" x14ac:dyDescent="0.35">
      <c r="A1008" s="22" t="s">
        <v>851</v>
      </c>
      <c r="B1008" s="22" t="str">
        <f>"00160"</f>
        <v>00160</v>
      </c>
      <c r="C1008" s="22" t="str">
        <f t="shared" si="15"/>
        <v>'0160.HK'</v>
      </c>
      <c r="D1008" s="22" t="s">
        <v>2957</v>
      </c>
      <c r="E1008" s="22" t="s">
        <v>1028</v>
      </c>
      <c r="F1008" s="22">
        <v>1404837136.95</v>
      </c>
      <c r="G1008" s="22">
        <v>14</v>
      </c>
      <c r="H1008" s="22" t="s">
        <v>2958</v>
      </c>
    </row>
    <row r="1009" spans="1:8" x14ac:dyDescent="0.35">
      <c r="A1009" s="22" t="s">
        <v>851</v>
      </c>
      <c r="B1009" s="22" t="str">
        <f>"00672"</f>
        <v>00672</v>
      </c>
      <c r="C1009" s="22" t="str">
        <f t="shared" si="15"/>
        <v>'0672.HK'</v>
      </c>
      <c r="D1009" s="22" t="s">
        <v>2959</v>
      </c>
      <c r="E1009" s="22" t="s">
        <v>924</v>
      </c>
      <c r="F1009" s="22">
        <v>1403316640.2</v>
      </c>
      <c r="G1009" s="22">
        <v>16</v>
      </c>
      <c r="H1009" s="22" t="s">
        <v>2960</v>
      </c>
    </row>
    <row r="1010" spans="1:8" x14ac:dyDescent="0.35">
      <c r="A1010" s="22" t="s">
        <v>851</v>
      </c>
      <c r="B1010" s="22" t="str">
        <f>"03678"</f>
        <v>03678</v>
      </c>
      <c r="C1010" s="22" t="str">
        <f t="shared" si="15"/>
        <v>'3678.HK'</v>
      </c>
      <c r="D1010" s="22" t="s">
        <v>2961</v>
      </c>
      <c r="E1010" s="22" t="s">
        <v>1130</v>
      </c>
      <c r="F1010" s="22">
        <v>1400811111.4200001</v>
      </c>
      <c r="G1010" s="22">
        <v>22</v>
      </c>
      <c r="H1010" s="22" t="s">
        <v>2962</v>
      </c>
    </row>
    <row r="1011" spans="1:8" x14ac:dyDescent="0.35">
      <c r="A1011" s="22" t="s">
        <v>851</v>
      </c>
      <c r="B1011" s="22" t="str">
        <f>"00809"</f>
        <v>00809</v>
      </c>
      <c r="C1011" s="22" t="str">
        <f t="shared" si="15"/>
        <v>'0809.HK'</v>
      </c>
      <c r="D1011" s="22" t="s">
        <v>2963</v>
      </c>
      <c r="E1011" s="22" t="s">
        <v>1903</v>
      </c>
      <c r="F1011" s="22">
        <v>1389555291.852</v>
      </c>
      <c r="G1011" s="22">
        <v>6</v>
      </c>
      <c r="H1011" s="22" t="s">
        <v>2964</v>
      </c>
    </row>
    <row r="1012" spans="1:8" x14ac:dyDescent="0.35">
      <c r="A1012" s="22" t="s">
        <v>851</v>
      </c>
      <c r="B1012" s="22" t="str">
        <f>"01656"</f>
        <v>01656</v>
      </c>
      <c r="C1012" s="22" t="str">
        <f t="shared" si="15"/>
        <v>'1656.HK'</v>
      </c>
      <c r="D1012" s="22" t="s">
        <v>2965</v>
      </c>
      <c r="E1012" s="22" t="s">
        <v>1224</v>
      </c>
      <c r="F1012" s="22">
        <v>1386097764.28</v>
      </c>
      <c r="G1012" s="22">
        <v>5</v>
      </c>
      <c r="H1012" s="22" t="s">
        <v>2966</v>
      </c>
    </row>
    <row r="1013" spans="1:8" x14ac:dyDescent="0.35">
      <c r="A1013" s="22" t="s">
        <v>851</v>
      </c>
      <c r="B1013" s="22" t="str">
        <f>"00131"</f>
        <v>00131</v>
      </c>
      <c r="C1013" s="22" t="str">
        <f t="shared" si="15"/>
        <v>'0131.HK'</v>
      </c>
      <c r="D1013" s="22" t="s">
        <v>2967</v>
      </c>
      <c r="E1013" s="22" t="s">
        <v>924</v>
      </c>
      <c r="F1013" s="22">
        <v>1383674775.72</v>
      </c>
      <c r="G1013" s="22">
        <v>9</v>
      </c>
      <c r="H1013" s="22" t="s">
        <v>2968</v>
      </c>
    </row>
    <row r="1014" spans="1:8" x14ac:dyDescent="0.35">
      <c r="A1014" s="22" t="s">
        <v>851</v>
      </c>
      <c r="B1014" s="22" t="str">
        <f>"06998"</f>
        <v>06998</v>
      </c>
      <c r="C1014" s="22" t="str">
        <f t="shared" si="15"/>
        <v>'6998.HK'</v>
      </c>
      <c r="D1014" s="22" t="s">
        <v>2969</v>
      </c>
      <c r="E1014" s="22" t="s">
        <v>941</v>
      </c>
      <c r="F1014" s="22">
        <v>1379291817.54</v>
      </c>
      <c r="G1014" s="22">
        <v>16</v>
      </c>
      <c r="H1014" s="22" t="s">
        <v>2970</v>
      </c>
    </row>
    <row r="1015" spans="1:8" x14ac:dyDescent="0.35">
      <c r="A1015" s="22" t="s">
        <v>851</v>
      </c>
      <c r="B1015" s="22" t="str">
        <f>"00202"</f>
        <v>00202</v>
      </c>
      <c r="C1015" s="22" t="str">
        <f t="shared" si="15"/>
        <v>'0202.HK'</v>
      </c>
      <c r="D1015" s="22" t="s">
        <v>2971</v>
      </c>
      <c r="E1015" s="22" t="s">
        <v>958</v>
      </c>
      <c r="F1015" s="22">
        <v>1371341440.244</v>
      </c>
      <c r="G1015" s="22">
        <v>3</v>
      </c>
      <c r="H1015" s="22" t="s">
        <v>2972</v>
      </c>
    </row>
    <row r="1016" spans="1:8" x14ac:dyDescent="0.35">
      <c r="A1016" s="22" t="s">
        <v>851</v>
      </c>
      <c r="B1016" s="22" t="str">
        <f>"00533"</f>
        <v>00533</v>
      </c>
      <c r="C1016" s="22" t="str">
        <f t="shared" si="15"/>
        <v>'0533.HK'</v>
      </c>
      <c r="D1016" s="22" t="s">
        <v>2973</v>
      </c>
      <c r="E1016" s="22" t="s">
        <v>889</v>
      </c>
      <c r="F1016" s="22">
        <v>1369810449</v>
      </c>
      <c r="G1016" s="22">
        <v>17</v>
      </c>
      <c r="H1016" s="22" t="s">
        <v>2974</v>
      </c>
    </row>
    <row r="1017" spans="1:8" x14ac:dyDescent="0.35">
      <c r="A1017" s="22" t="s">
        <v>851</v>
      </c>
      <c r="B1017" s="22" t="str">
        <f>"00018"</f>
        <v>00018</v>
      </c>
      <c r="C1017" s="22" t="str">
        <f t="shared" si="15"/>
        <v>'0018.HK'</v>
      </c>
      <c r="D1017" s="22" t="s">
        <v>2975</v>
      </c>
      <c r="E1017" s="22" t="s">
        <v>1400</v>
      </c>
      <c r="F1017" s="22">
        <v>1366813201.8599999</v>
      </c>
      <c r="G1017" s="22">
        <v>7</v>
      </c>
      <c r="H1017" s="22" t="s">
        <v>2976</v>
      </c>
    </row>
    <row r="1018" spans="1:8" x14ac:dyDescent="0.35">
      <c r="A1018" s="22" t="s">
        <v>851</v>
      </c>
      <c r="B1018" s="22" t="str">
        <f>"02427"</f>
        <v>02427</v>
      </c>
      <c r="C1018" s="22" t="str">
        <f t="shared" si="15"/>
        <v>'2427.HK'</v>
      </c>
      <c r="D1018" s="22" t="s">
        <v>2977</v>
      </c>
      <c r="F1018" s="22">
        <v>1358500000</v>
      </c>
      <c r="H1018" s="22" t="s">
        <v>2978</v>
      </c>
    </row>
    <row r="1019" spans="1:8" x14ac:dyDescent="0.35">
      <c r="A1019" s="22" t="s">
        <v>851</v>
      </c>
      <c r="B1019" s="22" t="str">
        <f>"06628"</f>
        <v>06628</v>
      </c>
      <c r="C1019" s="22" t="str">
        <f t="shared" si="15"/>
        <v>'6628.HK'</v>
      </c>
      <c r="D1019" s="22" t="s">
        <v>2979</v>
      </c>
      <c r="E1019" s="22" t="s">
        <v>941</v>
      </c>
      <c r="F1019" s="22">
        <v>1353987512.5999999</v>
      </c>
      <c r="G1019" s="22">
        <v>5</v>
      </c>
      <c r="H1019" s="22" t="s">
        <v>2980</v>
      </c>
    </row>
    <row r="1020" spans="1:8" x14ac:dyDescent="0.35">
      <c r="A1020" s="22" t="s">
        <v>851</v>
      </c>
      <c r="B1020" s="22" t="str">
        <f>"00226"</f>
        <v>00226</v>
      </c>
      <c r="C1020" s="22" t="str">
        <f t="shared" si="15"/>
        <v>'0226.HK'</v>
      </c>
      <c r="D1020" s="22" t="s">
        <v>2981</v>
      </c>
      <c r="E1020" s="22" t="s">
        <v>981</v>
      </c>
      <c r="F1020" s="22">
        <v>1351242047.6800001</v>
      </c>
      <c r="G1020" s="22">
        <v>14</v>
      </c>
      <c r="H1020" s="22" t="s">
        <v>2982</v>
      </c>
    </row>
    <row r="1021" spans="1:8" x14ac:dyDescent="0.35">
      <c r="A1021" s="22" t="s">
        <v>851</v>
      </c>
      <c r="B1021" s="22" t="str">
        <f>"03838"</f>
        <v>03838</v>
      </c>
      <c r="C1021" s="22" t="str">
        <f t="shared" si="15"/>
        <v>'3838.HK'</v>
      </c>
      <c r="D1021" s="22" t="s">
        <v>2983</v>
      </c>
      <c r="E1021" s="22" t="s">
        <v>1329</v>
      </c>
      <c r="F1021" s="22">
        <v>1348679709.675</v>
      </c>
      <c r="G1021" s="22">
        <v>16</v>
      </c>
      <c r="H1021" s="22" t="s">
        <v>2984</v>
      </c>
    </row>
    <row r="1022" spans="1:8" x14ac:dyDescent="0.35">
      <c r="A1022" s="22" t="s">
        <v>851</v>
      </c>
      <c r="B1022" s="22" t="str">
        <f>"00863"</f>
        <v>00863</v>
      </c>
      <c r="C1022" s="22" t="str">
        <f t="shared" si="15"/>
        <v>'0863.HK'</v>
      </c>
      <c r="D1022" s="22" t="s">
        <v>2985</v>
      </c>
      <c r="E1022" s="22" t="s">
        <v>1202</v>
      </c>
      <c r="F1022" s="22">
        <v>1346051274.8800001</v>
      </c>
      <c r="G1022" s="22">
        <v>3</v>
      </c>
      <c r="H1022" s="22" t="s">
        <v>2986</v>
      </c>
    </row>
    <row r="1023" spans="1:8" x14ac:dyDescent="0.35">
      <c r="A1023" s="22" t="s">
        <v>851</v>
      </c>
      <c r="B1023" s="22" t="str">
        <f>"03882"</f>
        <v>03882</v>
      </c>
      <c r="C1023" s="22" t="str">
        <f t="shared" si="15"/>
        <v>'3882.HK'</v>
      </c>
      <c r="D1023" s="22" t="s">
        <v>2987</v>
      </c>
      <c r="E1023" s="22" t="s">
        <v>1167</v>
      </c>
      <c r="F1023" s="22">
        <v>1344558311.55</v>
      </c>
      <c r="G1023" s="22">
        <v>9</v>
      </c>
      <c r="H1023" s="22" t="s">
        <v>2988</v>
      </c>
    </row>
    <row r="1024" spans="1:8" x14ac:dyDescent="0.35">
      <c r="A1024" s="22" t="s">
        <v>851</v>
      </c>
      <c r="B1024" s="22" t="str">
        <f>"00093"</f>
        <v>00093</v>
      </c>
      <c r="C1024" s="22" t="str">
        <f t="shared" si="15"/>
        <v>'0093.HK'</v>
      </c>
      <c r="D1024" s="22" t="s">
        <v>2989</v>
      </c>
      <c r="E1024" s="22" t="s">
        <v>1498</v>
      </c>
      <c r="F1024" s="22">
        <v>1333821525</v>
      </c>
      <c r="G1024" s="22">
        <v>5</v>
      </c>
      <c r="H1024" s="22" t="s">
        <v>2990</v>
      </c>
    </row>
    <row r="1025" spans="1:8" x14ac:dyDescent="0.35">
      <c r="A1025" s="22" t="s">
        <v>851</v>
      </c>
      <c r="B1025" s="22" t="str">
        <f>"00273"</f>
        <v>00273</v>
      </c>
      <c r="C1025" s="22" t="str">
        <f t="shared" si="15"/>
        <v>'0273.HK'</v>
      </c>
      <c r="D1025" s="22" t="s">
        <v>2991</v>
      </c>
      <c r="E1025" s="22" t="s">
        <v>964</v>
      </c>
      <c r="F1025" s="22">
        <v>1330946566.71</v>
      </c>
      <c r="G1025" s="22">
        <v>1</v>
      </c>
      <c r="H1025" s="22" t="s">
        <v>2992</v>
      </c>
    </row>
    <row r="1026" spans="1:8" x14ac:dyDescent="0.35">
      <c r="A1026" s="22" t="s">
        <v>851</v>
      </c>
      <c r="B1026" s="22" t="str">
        <f>"02003"</f>
        <v>02003</v>
      </c>
      <c r="C1026" s="22" t="str">
        <f t="shared" si="15"/>
        <v>'2003.HK'</v>
      </c>
      <c r="D1026" s="22" t="s">
        <v>2993</v>
      </c>
      <c r="E1026" s="22" t="s">
        <v>1498</v>
      </c>
      <c r="F1026" s="22">
        <v>1326436028.1900001</v>
      </c>
      <c r="G1026" s="22">
        <v>9</v>
      </c>
      <c r="H1026" s="22" t="s">
        <v>2994</v>
      </c>
    </row>
    <row r="1027" spans="1:8" x14ac:dyDescent="0.35">
      <c r="A1027" s="22" t="s">
        <v>851</v>
      </c>
      <c r="B1027" s="22" t="str">
        <f>"06828"</f>
        <v>06828</v>
      </c>
      <c r="C1027" s="22" t="str">
        <f t="shared" ref="C1027:C1090" si="16">CONCATENATE("'",RIGHT(B1027,4),".HK'")</f>
        <v>'6828.HK'</v>
      </c>
      <c r="D1027" s="22" t="s">
        <v>2995</v>
      </c>
      <c r="E1027" s="22" t="s">
        <v>1031</v>
      </c>
      <c r="F1027" s="22">
        <v>1324583700.9300001</v>
      </c>
      <c r="G1027" s="22">
        <v>11</v>
      </c>
      <c r="H1027" s="22" t="s">
        <v>2996</v>
      </c>
    </row>
    <row r="1028" spans="1:8" x14ac:dyDescent="0.35">
      <c r="A1028" s="22" t="s">
        <v>851</v>
      </c>
      <c r="B1028" s="22" t="str">
        <f>"02136"</f>
        <v>02136</v>
      </c>
      <c r="C1028" s="22" t="str">
        <f t="shared" si="16"/>
        <v>'2136.HK'</v>
      </c>
      <c r="D1028" s="22" t="s">
        <v>2997</v>
      </c>
      <c r="E1028" s="22" t="s">
        <v>1485</v>
      </c>
      <c r="F1028" s="22">
        <v>1318003650</v>
      </c>
      <c r="G1028" s="22">
        <v>16</v>
      </c>
      <c r="H1028" s="22" t="s">
        <v>2998</v>
      </c>
    </row>
    <row r="1029" spans="1:8" x14ac:dyDescent="0.35">
      <c r="A1029" s="22" t="s">
        <v>851</v>
      </c>
      <c r="B1029" s="22" t="str">
        <f>"00124"</f>
        <v>00124</v>
      </c>
      <c r="C1029" s="22" t="str">
        <f t="shared" si="16"/>
        <v>'0124.HK'</v>
      </c>
      <c r="D1029" s="22" t="s">
        <v>2999</v>
      </c>
      <c r="E1029" s="22" t="s">
        <v>924</v>
      </c>
      <c r="F1029" s="22">
        <v>1317883374.5</v>
      </c>
      <c r="G1029" s="22">
        <v>12</v>
      </c>
      <c r="H1029" s="22" t="s">
        <v>3000</v>
      </c>
    </row>
    <row r="1030" spans="1:8" x14ac:dyDescent="0.35">
      <c r="A1030" s="22" t="s">
        <v>851</v>
      </c>
      <c r="B1030" s="22" t="str">
        <f>"02283"</f>
        <v>02283</v>
      </c>
      <c r="C1030" s="22" t="str">
        <f t="shared" si="16"/>
        <v>'2283.HK'</v>
      </c>
      <c r="D1030" s="22" t="s">
        <v>3001</v>
      </c>
      <c r="E1030" s="22" t="s">
        <v>1224</v>
      </c>
      <c r="F1030" s="22">
        <v>1316550800</v>
      </c>
      <c r="G1030" s="22">
        <v>21</v>
      </c>
      <c r="H1030" s="22" t="s">
        <v>3002</v>
      </c>
    </row>
    <row r="1031" spans="1:8" x14ac:dyDescent="0.35">
      <c r="A1031" s="22" t="s">
        <v>851</v>
      </c>
      <c r="B1031" s="22" t="str">
        <f>"01986"</f>
        <v>01986</v>
      </c>
      <c r="C1031" s="22" t="str">
        <f t="shared" si="16"/>
        <v>'1986.HK'</v>
      </c>
      <c r="D1031" s="22" t="s">
        <v>3003</v>
      </c>
      <c r="E1031" s="22" t="s">
        <v>1600</v>
      </c>
      <c r="F1031" s="22">
        <v>1314680925</v>
      </c>
      <c r="G1031" s="22">
        <v>16</v>
      </c>
      <c r="H1031" s="22" t="s">
        <v>3004</v>
      </c>
    </row>
    <row r="1032" spans="1:8" x14ac:dyDescent="0.35">
      <c r="A1032" s="22" t="s">
        <v>851</v>
      </c>
      <c r="B1032" s="22" t="str">
        <f>"01370"</f>
        <v>01370</v>
      </c>
      <c r="C1032" s="22" t="str">
        <f t="shared" si="16"/>
        <v>'1370.HK'</v>
      </c>
      <c r="D1032" s="22" t="s">
        <v>3005</v>
      </c>
      <c r="E1032" s="22" t="s">
        <v>1579</v>
      </c>
      <c r="F1032" s="22">
        <v>1308263913.5999999</v>
      </c>
      <c r="G1032" s="22">
        <v>2</v>
      </c>
      <c r="H1032" s="22" t="s">
        <v>3006</v>
      </c>
    </row>
    <row r="1033" spans="1:8" x14ac:dyDescent="0.35">
      <c r="A1033" s="22" t="s">
        <v>851</v>
      </c>
      <c r="B1033" s="22" t="str">
        <f>"00661"</f>
        <v>00661</v>
      </c>
      <c r="C1033" s="22" t="str">
        <f t="shared" si="16"/>
        <v>'0661.HK'</v>
      </c>
      <c r="D1033" s="22" t="s">
        <v>3007</v>
      </c>
      <c r="E1033" s="22" t="s">
        <v>1316</v>
      </c>
      <c r="F1033" s="22">
        <v>1306377318.5380001</v>
      </c>
      <c r="G1033" s="22">
        <v>12</v>
      </c>
      <c r="H1033" s="22" t="s">
        <v>3008</v>
      </c>
    </row>
    <row r="1034" spans="1:8" x14ac:dyDescent="0.35">
      <c r="A1034" s="22" t="s">
        <v>851</v>
      </c>
      <c r="B1034" s="22" t="str">
        <f>"00896"</f>
        <v>00896</v>
      </c>
      <c r="C1034" s="22" t="str">
        <f t="shared" si="16"/>
        <v>'0896.HK'</v>
      </c>
      <c r="D1034" s="22" t="s">
        <v>3009</v>
      </c>
      <c r="E1034" s="22" t="s">
        <v>1634</v>
      </c>
      <c r="F1034" s="22">
        <v>1285677504.1600001</v>
      </c>
      <c r="G1034" s="22">
        <v>16</v>
      </c>
      <c r="H1034" s="22" t="s">
        <v>3010</v>
      </c>
    </row>
    <row r="1035" spans="1:8" x14ac:dyDescent="0.35">
      <c r="A1035" s="22" t="s">
        <v>851</v>
      </c>
      <c r="B1035" s="22" t="str">
        <f>"00592"</f>
        <v>00592</v>
      </c>
      <c r="C1035" s="22" t="str">
        <f t="shared" si="16"/>
        <v>'0592.HK'</v>
      </c>
      <c r="D1035" s="22" t="s">
        <v>3011</v>
      </c>
      <c r="E1035" s="22" t="s">
        <v>889</v>
      </c>
      <c r="F1035" s="22">
        <v>1283754207.3199999</v>
      </c>
      <c r="G1035" s="22">
        <v>9</v>
      </c>
      <c r="H1035" s="22" t="s">
        <v>3012</v>
      </c>
    </row>
    <row r="1036" spans="1:8" x14ac:dyDescent="0.35">
      <c r="A1036" s="22" t="s">
        <v>851</v>
      </c>
      <c r="B1036" s="22" t="str">
        <f>"08395"</f>
        <v>08395</v>
      </c>
      <c r="C1036" s="22" t="str">
        <f t="shared" si="16"/>
        <v>'8395.HK'</v>
      </c>
      <c r="D1036" s="22" t="s">
        <v>3013</v>
      </c>
      <c r="E1036" s="22" t="s">
        <v>1429</v>
      </c>
      <c r="F1036" s="22">
        <v>1283040000</v>
      </c>
      <c r="G1036" s="22">
        <v>4</v>
      </c>
      <c r="H1036" s="22" t="s">
        <v>3014</v>
      </c>
    </row>
    <row r="1037" spans="1:8" x14ac:dyDescent="0.35">
      <c r="A1037" s="22" t="s">
        <v>851</v>
      </c>
      <c r="B1037" s="22" t="str">
        <f>"00196"</f>
        <v>00196</v>
      </c>
      <c r="C1037" s="22" t="str">
        <f t="shared" si="16"/>
        <v>'0196.HK'</v>
      </c>
      <c r="D1037" s="22" t="s">
        <v>3015</v>
      </c>
      <c r="E1037" s="22" t="s">
        <v>1294</v>
      </c>
      <c r="F1037" s="22">
        <v>1280082781.0999999</v>
      </c>
      <c r="G1037" s="22">
        <v>17</v>
      </c>
      <c r="H1037" s="22" t="s">
        <v>3016</v>
      </c>
    </row>
    <row r="1038" spans="1:8" x14ac:dyDescent="0.35">
      <c r="A1038" s="22" t="s">
        <v>851</v>
      </c>
      <c r="B1038" s="22" t="str">
        <f>"01057"</f>
        <v>01057</v>
      </c>
      <c r="C1038" s="22" t="str">
        <f t="shared" si="16"/>
        <v>'1057.HK'</v>
      </c>
      <c r="D1038" s="22" t="s">
        <v>3017</v>
      </c>
      <c r="E1038" s="22" t="s">
        <v>1122</v>
      </c>
      <c r="F1038" s="22">
        <v>1279224311.9400001</v>
      </c>
      <c r="G1038" s="22">
        <v>28</v>
      </c>
      <c r="H1038" s="22" t="s">
        <v>3018</v>
      </c>
    </row>
    <row r="1039" spans="1:8" x14ac:dyDescent="0.35">
      <c r="A1039" s="22" t="s">
        <v>851</v>
      </c>
      <c r="B1039" s="22" t="str">
        <f>"03315"</f>
        <v>03315</v>
      </c>
      <c r="C1039" s="22" t="str">
        <f t="shared" si="16"/>
        <v>'3315.HK'</v>
      </c>
      <c r="D1039" s="22" t="s">
        <v>3019</v>
      </c>
      <c r="E1039" s="22" t="s">
        <v>910</v>
      </c>
      <c r="F1039" s="22">
        <v>1278540120</v>
      </c>
      <c r="G1039" s="22">
        <v>24</v>
      </c>
      <c r="H1039" s="22" t="s">
        <v>3020</v>
      </c>
    </row>
    <row r="1040" spans="1:8" x14ac:dyDescent="0.35">
      <c r="A1040" s="22" t="s">
        <v>851</v>
      </c>
      <c r="B1040" s="22" t="str">
        <f>"01366"</f>
        <v>01366</v>
      </c>
      <c r="C1040" s="22" t="str">
        <f t="shared" si="16"/>
        <v>'1366.HK'</v>
      </c>
      <c r="D1040" s="22" t="s">
        <v>3021</v>
      </c>
      <c r="E1040" s="22" t="s">
        <v>1224</v>
      </c>
      <c r="F1040" s="22">
        <v>1272606192</v>
      </c>
      <c r="G1040" s="22">
        <v>62</v>
      </c>
      <c r="H1040" s="22" t="s">
        <v>3022</v>
      </c>
    </row>
    <row r="1041" spans="1:8" x14ac:dyDescent="0.35">
      <c r="A1041" s="22" t="s">
        <v>851</v>
      </c>
      <c r="B1041" s="22" t="str">
        <f>"00832"</f>
        <v>00832</v>
      </c>
      <c r="C1041" s="22" t="str">
        <f t="shared" si="16"/>
        <v>'0832.HK'</v>
      </c>
      <c r="D1041" s="22" t="s">
        <v>3023</v>
      </c>
      <c r="E1041" s="22" t="s">
        <v>924</v>
      </c>
      <c r="F1041" s="22">
        <v>1265950897.3499999</v>
      </c>
      <c r="G1041" s="22">
        <v>78</v>
      </c>
      <c r="H1041" s="22" t="s">
        <v>3024</v>
      </c>
    </row>
    <row r="1042" spans="1:8" x14ac:dyDescent="0.35">
      <c r="A1042" s="22" t="s">
        <v>851</v>
      </c>
      <c r="B1042" s="22" t="str">
        <f>"00031"</f>
        <v>00031</v>
      </c>
      <c r="C1042" s="22" t="str">
        <f t="shared" si="16"/>
        <v>'0031.HK'</v>
      </c>
      <c r="D1042" s="22" t="s">
        <v>3025</v>
      </c>
      <c r="E1042" s="22" t="s">
        <v>1474</v>
      </c>
      <c r="F1042" s="22">
        <v>1264858971.6199999</v>
      </c>
      <c r="G1042" s="22">
        <v>25</v>
      </c>
      <c r="H1042" s="22" t="s">
        <v>3026</v>
      </c>
    </row>
    <row r="1043" spans="1:8" x14ac:dyDescent="0.35">
      <c r="A1043" s="22" t="s">
        <v>851</v>
      </c>
      <c r="B1043" s="22" t="str">
        <f>"01293"</f>
        <v>01293</v>
      </c>
      <c r="C1043" s="22" t="str">
        <f t="shared" si="16"/>
        <v>'1293.HK'</v>
      </c>
      <c r="D1043" s="22" t="s">
        <v>3027</v>
      </c>
      <c r="E1043" s="22" t="s">
        <v>1089</v>
      </c>
      <c r="F1043" s="22">
        <v>1262692585.905</v>
      </c>
      <c r="G1043" s="22">
        <v>35</v>
      </c>
      <c r="H1043" s="22" t="s">
        <v>3028</v>
      </c>
    </row>
    <row r="1044" spans="1:8" x14ac:dyDescent="0.35">
      <c r="A1044" s="22" t="s">
        <v>851</v>
      </c>
      <c r="B1044" s="22" t="str">
        <f>"01029"</f>
        <v>01029</v>
      </c>
      <c r="C1044" s="22" t="str">
        <f t="shared" si="16"/>
        <v>'1029.HK'</v>
      </c>
      <c r="D1044" s="22" t="s">
        <v>3029</v>
      </c>
      <c r="E1044" s="22" t="s">
        <v>1579</v>
      </c>
      <c r="F1044" s="22">
        <v>1260909274.036</v>
      </c>
      <c r="G1044" s="22">
        <v>10</v>
      </c>
      <c r="H1044" s="22" t="s">
        <v>3030</v>
      </c>
    </row>
    <row r="1045" spans="1:8" x14ac:dyDescent="0.35">
      <c r="A1045" s="22" t="s">
        <v>851</v>
      </c>
      <c r="B1045" s="22" t="str">
        <f>"00360"</f>
        <v>00360</v>
      </c>
      <c r="C1045" s="22" t="str">
        <f t="shared" si="16"/>
        <v>'0360.HK'</v>
      </c>
      <c r="D1045" s="22" t="s">
        <v>3031</v>
      </c>
      <c r="E1045" s="22" t="s">
        <v>1122</v>
      </c>
      <c r="F1045" s="22">
        <v>1256837229.477</v>
      </c>
      <c r="G1045" s="22">
        <v>5</v>
      </c>
      <c r="H1045" s="22" t="s">
        <v>3032</v>
      </c>
    </row>
    <row r="1046" spans="1:8" x14ac:dyDescent="0.35">
      <c r="A1046" s="22" t="s">
        <v>851</v>
      </c>
      <c r="B1046" s="22" t="str">
        <f>"01915"</f>
        <v>01915</v>
      </c>
      <c r="C1046" s="22" t="str">
        <f t="shared" si="16"/>
        <v>'1915.HK'</v>
      </c>
      <c r="D1046" s="22" t="s">
        <v>3033</v>
      </c>
      <c r="E1046" s="22" t="s">
        <v>1498</v>
      </c>
      <c r="F1046" s="22">
        <v>1248000000</v>
      </c>
      <c r="G1046" s="22">
        <v>4</v>
      </c>
      <c r="H1046" s="22" t="s">
        <v>3034</v>
      </c>
    </row>
    <row r="1047" spans="1:8" x14ac:dyDescent="0.35">
      <c r="A1047" s="22" t="s">
        <v>851</v>
      </c>
      <c r="B1047" s="22" t="str">
        <f>"00133"</f>
        <v>00133</v>
      </c>
      <c r="C1047" s="22" t="str">
        <f t="shared" si="16"/>
        <v>'0133.HK'</v>
      </c>
      <c r="D1047" s="22" t="s">
        <v>3035</v>
      </c>
      <c r="E1047" s="22" t="s">
        <v>964</v>
      </c>
      <c r="F1047" s="22">
        <v>1244560716.21</v>
      </c>
      <c r="G1047" s="22">
        <v>37</v>
      </c>
      <c r="H1047" s="22" t="s">
        <v>3036</v>
      </c>
    </row>
    <row r="1048" spans="1:8" x14ac:dyDescent="0.35">
      <c r="A1048" s="22" t="s">
        <v>851</v>
      </c>
      <c r="B1048" s="22" t="str">
        <f>"06661"</f>
        <v>06661</v>
      </c>
      <c r="C1048" s="22" t="str">
        <f t="shared" si="16"/>
        <v>'6661.HK'</v>
      </c>
      <c r="D1048" s="22" t="s">
        <v>3037</v>
      </c>
      <c r="E1048" s="22" t="s">
        <v>1031</v>
      </c>
      <c r="F1048" s="22">
        <v>1240612740</v>
      </c>
      <c r="G1048" s="22">
        <v>1</v>
      </c>
      <c r="H1048" s="22" t="s">
        <v>3038</v>
      </c>
    </row>
    <row r="1049" spans="1:8" x14ac:dyDescent="0.35">
      <c r="A1049" s="22" t="s">
        <v>851</v>
      </c>
      <c r="B1049" s="22" t="str">
        <f>"01561"</f>
        <v>01561</v>
      </c>
      <c r="C1049" s="22" t="str">
        <f t="shared" si="16"/>
        <v>'1561.HK'</v>
      </c>
      <c r="D1049" s="22" t="s">
        <v>3039</v>
      </c>
      <c r="E1049" s="22" t="s">
        <v>1600</v>
      </c>
      <c r="F1049" s="22">
        <v>1238759622.45</v>
      </c>
      <c r="G1049" s="22">
        <v>3</v>
      </c>
      <c r="H1049" s="22" t="s">
        <v>3040</v>
      </c>
    </row>
    <row r="1050" spans="1:8" x14ac:dyDescent="0.35">
      <c r="A1050" s="22" t="s">
        <v>851</v>
      </c>
      <c r="B1050" s="22" t="str">
        <f>"00340"</f>
        <v>00340</v>
      </c>
      <c r="C1050" s="22" t="str">
        <f t="shared" si="16"/>
        <v>'0340.HK'</v>
      </c>
      <c r="D1050" s="22" t="s">
        <v>3041</v>
      </c>
      <c r="E1050" s="22" t="s">
        <v>929</v>
      </c>
      <c r="F1050" s="22">
        <v>1238179360.665</v>
      </c>
      <c r="G1050" s="22">
        <v>7</v>
      </c>
      <c r="H1050" s="22" t="s">
        <v>3042</v>
      </c>
    </row>
    <row r="1051" spans="1:8" x14ac:dyDescent="0.35">
      <c r="A1051" s="22" t="s">
        <v>851</v>
      </c>
      <c r="B1051" s="22" t="str">
        <f>"03389"</f>
        <v>03389</v>
      </c>
      <c r="C1051" s="22" t="str">
        <f t="shared" si="16"/>
        <v>'3389.HK'</v>
      </c>
      <c r="D1051" s="22" t="s">
        <v>3043</v>
      </c>
      <c r="E1051" s="22" t="s">
        <v>1002</v>
      </c>
      <c r="F1051" s="22">
        <v>1233125308.52</v>
      </c>
      <c r="G1051" s="22">
        <v>21</v>
      </c>
      <c r="H1051" s="22" t="s">
        <v>3044</v>
      </c>
    </row>
    <row r="1052" spans="1:8" x14ac:dyDescent="0.35">
      <c r="A1052" s="22" t="s">
        <v>851</v>
      </c>
      <c r="B1052" s="22" t="str">
        <f>"02599"</f>
        <v>02599</v>
      </c>
      <c r="C1052" s="22" t="str">
        <f t="shared" si="16"/>
        <v>'2599.HK'</v>
      </c>
      <c r="D1052" s="22" t="s">
        <v>3045</v>
      </c>
      <c r="E1052" s="22" t="s">
        <v>924</v>
      </c>
      <c r="F1052" s="22">
        <v>1232578215</v>
      </c>
      <c r="G1052" s="22">
        <v>6</v>
      </c>
      <c r="H1052" s="22" t="s">
        <v>3046</v>
      </c>
    </row>
    <row r="1053" spans="1:8" x14ac:dyDescent="0.35">
      <c r="A1053" s="22" t="s">
        <v>851</v>
      </c>
      <c r="B1053" s="22" t="str">
        <f>"01745"</f>
        <v>01745</v>
      </c>
      <c r="C1053" s="22" t="str">
        <f t="shared" si="16"/>
        <v>'1745.HK'</v>
      </c>
      <c r="D1053" s="22" t="s">
        <v>3047</v>
      </c>
      <c r="E1053" s="22" t="s">
        <v>910</v>
      </c>
      <c r="F1053" s="22">
        <v>1228880540</v>
      </c>
      <c r="G1053" s="22">
        <v>4</v>
      </c>
      <c r="H1053" s="22" t="s">
        <v>3048</v>
      </c>
    </row>
    <row r="1054" spans="1:8" x14ac:dyDescent="0.35">
      <c r="A1054" s="22" t="s">
        <v>851</v>
      </c>
      <c r="B1054" s="22" t="str">
        <f>"06811"</f>
        <v>06811</v>
      </c>
      <c r="C1054" s="22" t="str">
        <f t="shared" si="16"/>
        <v>'6811.HK'</v>
      </c>
      <c r="D1054" s="22" t="s">
        <v>3049</v>
      </c>
      <c r="E1054" s="22" t="s">
        <v>981</v>
      </c>
      <c r="F1054" s="22">
        <v>1226586780</v>
      </c>
      <c r="G1054" s="22">
        <v>7</v>
      </c>
      <c r="H1054" s="22" t="s">
        <v>3050</v>
      </c>
    </row>
    <row r="1055" spans="1:8" x14ac:dyDescent="0.35">
      <c r="A1055" s="22" t="s">
        <v>851</v>
      </c>
      <c r="B1055" s="22" t="str">
        <f>"01583"</f>
        <v>01583</v>
      </c>
      <c r="C1055" s="22" t="str">
        <f t="shared" si="16"/>
        <v>'1583.HK'</v>
      </c>
      <c r="D1055" s="22" t="s">
        <v>3051</v>
      </c>
      <c r="E1055" s="22" t="s">
        <v>1205</v>
      </c>
      <c r="F1055" s="22">
        <v>1223256422.3399999</v>
      </c>
      <c r="G1055" s="22">
        <v>12</v>
      </c>
      <c r="H1055" s="22" t="s">
        <v>3052</v>
      </c>
    </row>
    <row r="1056" spans="1:8" x14ac:dyDescent="0.35">
      <c r="A1056" s="22" t="s">
        <v>851</v>
      </c>
      <c r="B1056" s="22" t="str">
        <f>"00497"</f>
        <v>00497</v>
      </c>
      <c r="C1056" s="22" t="str">
        <f t="shared" si="16"/>
        <v>'0497.HK'</v>
      </c>
      <c r="D1056" s="22" t="s">
        <v>3053</v>
      </c>
      <c r="E1056" s="22" t="s">
        <v>924</v>
      </c>
      <c r="F1056" s="22">
        <v>1217962157.8800001</v>
      </c>
      <c r="G1056" s="22">
        <v>10</v>
      </c>
      <c r="H1056" s="22" t="s">
        <v>3054</v>
      </c>
    </row>
    <row r="1057" spans="1:8" x14ac:dyDescent="0.35">
      <c r="A1057" s="22" t="s">
        <v>851</v>
      </c>
      <c r="B1057" s="22" t="str">
        <f>"06968"</f>
        <v>06968</v>
      </c>
      <c r="C1057" s="22" t="str">
        <f t="shared" si="16"/>
        <v>'6968.HK'</v>
      </c>
      <c r="D1057" s="22" t="s">
        <v>3055</v>
      </c>
      <c r="E1057" s="22" t="s">
        <v>924</v>
      </c>
      <c r="F1057" s="22">
        <v>1216349250</v>
      </c>
      <c r="G1057" s="22">
        <v>4</v>
      </c>
      <c r="H1057" s="22" t="s">
        <v>3056</v>
      </c>
    </row>
    <row r="1058" spans="1:8" x14ac:dyDescent="0.35">
      <c r="A1058" s="22" t="s">
        <v>851</v>
      </c>
      <c r="B1058" s="22" t="str">
        <f>"01608"</f>
        <v>01608</v>
      </c>
      <c r="C1058" s="22" t="str">
        <f t="shared" si="16"/>
        <v>'1608.HK'</v>
      </c>
      <c r="D1058" s="22" t="s">
        <v>3057</v>
      </c>
      <c r="E1058" s="22" t="s">
        <v>1022</v>
      </c>
      <c r="F1058" s="22">
        <v>1215761855.8499999</v>
      </c>
      <c r="G1058" s="22">
        <v>14</v>
      </c>
      <c r="H1058" s="22" t="s">
        <v>3058</v>
      </c>
    </row>
    <row r="1059" spans="1:8" x14ac:dyDescent="0.35">
      <c r="A1059" s="22" t="s">
        <v>851</v>
      </c>
      <c r="B1059" s="22" t="str">
        <f>"02100"</f>
        <v>02100</v>
      </c>
      <c r="C1059" s="22" t="str">
        <f t="shared" si="16"/>
        <v>'2100.HK'</v>
      </c>
      <c r="D1059" s="22" t="s">
        <v>3059</v>
      </c>
      <c r="E1059" s="22" t="s">
        <v>910</v>
      </c>
      <c r="F1059" s="22">
        <v>1213822920</v>
      </c>
      <c r="G1059" s="22">
        <v>16</v>
      </c>
      <c r="H1059" s="22" t="s">
        <v>3060</v>
      </c>
    </row>
    <row r="1060" spans="1:8" x14ac:dyDescent="0.35">
      <c r="A1060" s="22" t="s">
        <v>851</v>
      </c>
      <c r="B1060" s="22" t="str">
        <f>"00887"</f>
        <v>00887</v>
      </c>
      <c r="C1060" s="22" t="str">
        <f t="shared" si="16"/>
        <v>'0887.HK'</v>
      </c>
      <c r="D1060" s="22" t="s">
        <v>3061</v>
      </c>
      <c r="E1060" s="22" t="s">
        <v>1002</v>
      </c>
      <c r="F1060" s="22">
        <v>1213523005.0910001</v>
      </c>
      <c r="G1060" s="22">
        <v>9</v>
      </c>
      <c r="H1060" s="22" t="s">
        <v>3062</v>
      </c>
    </row>
    <row r="1061" spans="1:8" x14ac:dyDescent="0.35">
      <c r="A1061" s="22" t="s">
        <v>851</v>
      </c>
      <c r="B1061" s="22" t="str">
        <f>"02216"</f>
        <v>02216</v>
      </c>
      <c r="C1061" s="22" t="str">
        <f t="shared" si="16"/>
        <v>'2216.HK'</v>
      </c>
      <c r="D1061" s="22" t="s">
        <v>3063</v>
      </c>
      <c r="E1061" s="22" t="s">
        <v>1232</v>
      </c>
      <c r="F1061" s="22">
        <v>1211578074.8</v>
      </c>
      <c r="G1061" s="22">
        <v>10</v>
      </c>
      <c r="H1061" s="22" t="s">
        <v>3064</v>
      </c>
    </row>
    <row r="1062" spans="1:8" x14ac:dyDescent="0.35">
      <c r="A1062" s="22" t="s">
        <v>851</v>
      </c>
      <c r="B1062" s="22" t="str">
        <f>"00560"</f>
        <v>00560</v>
      </c>
      <c r="C1062" s="22" t="str">
        <f t="shared" si="16"/>
        <v>'0560.HK'</v>
      </c>
      <c r="D1062" s="22" t="s">
        <v>3065</v>
      </c>
      <c r="E1062" s="22" t="s">
        <v>1047</v>
      </c>
      <c r="F1062" s="22">
        <v>1210860235.8</v>
      </c>
      <c r="G1062" s="22">
        <v>18</v>
      </c>
      <c r="H1062" s="22" t="s">
        <v>3066</v>
      </c>
    </row>
    <row r="1063" spans="1:8" x14ac:dyDescent="0.35">
      <c r="A1063" s="22" t="s">
        <v>851</v>
      </c>
      <c r="B1063" s="22" t="str">
        <f>"00726"</f>
        <v>00726</v>
      </c>
      <c r="C1063" s="22" t="str">
        <f t="shared" si="16"/>
        <v>'0726.HK'</v>
      </c>
      <c r="D1063" s="22" t="s">
        <v>3067</v>
      </c>
      <c r="E1063" s="22" t="s">
        <v>924</v>
      </c>
      <c r="F1063" s="22">
        <v>1209936284.7</v>
      </c>
      <c r="G1063" s="22">
        <v>13</v>
      </c>
      <c r="H1063" s="22" t="s">
        <v>3068</v>
      </c>
    </row>
    <row r="1064" spans="1:8" x14ac:dyDescent="0.35">
      <c r="A1064" s="22" t="s">
        <v>851</v>
      </c>
      <c r="B1064" s="22" t="str">
        <f>"02327"</f>
        <v>02327</v>
      </c>
      <c r="C1064" s="22" t="str">
        <f t="shared" si="16"/>
        <v>'2327.HK'</v>
      </c>
      <c r="D1064" s="22" t="s">
        <v>3069</v>
      </c>
      <c r="E1064" s="22" t="s">
        <v>958</v>
      </c>
      <c r="F1064" s="22">
        <v>1207891847.6199999</v>
      </c>
      <c r="G1064" s="22">
        <v>3</v>
      </c>
      <c r="H1064" s="22" t="s">
        <v>3070</v>
      </c>
    </row>
    <row r="1065" spans="1:8" x14ac:dyDescent="0.35">
      <c r="A1065" s="22" t="s">
        <v>851</v>
      </c>
      <c r="B1065" s="22" t="str">
        <f>"01332"</f>
        <v>01332</v>
      </c>
      <c r="C1065" s="22" t="str">
        <f t="shared" si="16"/>
        <v>'1332.HK'</v>
      </c>
      <c r="D1065" s="22" t="s">
        <v>3071</v>
      </c>
      <c r="E1065" s="22" t="s">
        <v>2259</v>
      </c>
      <c r="F1065" s="22">
        <v>1206559424.0699999</v>
      </c>
      <c r="G1065" s="22">
        <v>2</v>
      </c>
      <c r="H1065" s="22" t="s">
        <v>3072</v>
      </c>
    </row>
    <row r="1066" spans="1:8" x14ac:dyDescent="0.35">
      <c r="A1066" s="22" t="s">
        <v>851</v>
      </c>
      <c r="B1066" s="22" t="str">
        <f>"02111"</f>
        <v>02111</v>
      </c>
      <c r="C1066" s="22" t="str">
        <f t="shared" si="16"/>
        <v>'2111.HK'</v>
      </c>
      <c r="D1066" s="22" t="s">
        <v>3073</v>
      </c>
      <c r="E1066" s="22" t="s">
        <v>1914</v>
      </c>
      <c r="F1066" s="22">
        <v>1206177280</v>
      </c>
      <c r="G1066" s="22">
        <v>23</v>
      </c>
      <c r="H1066" s="22" t="s">
        <v>3074</v>
      </c>
    </row>
    <row r="1067" spans="1:8" x14ac:dyDescent="0.35">
      <c r="A1067" s="22" t="s">
        <v>851</v>
      </c>
      <c r="B1067" s="22" t="str">
        <f>"00698"</f>
        <v>00698</v>
      </c>
      <c r="C1067" s="22" t="str">
        <f t="shared" si="16"/>
        <v>'0698.HK'</v>
      </c>
      <c r="D1067" s="22" t="s">
        <v>3075</v>
      </c>
      <c r="E1067" s="22" t="s">
        <v>1075</v>
      </c>
      <c r="F1067" s="22">
        <v>1205187947.98</v>
      </c>
      <c r="G1067" s="22">
        <v>39</v>
      </c>
      <c r="H1067" s="22" t="s">
        <v>3076</v>
      </c>
    </row>
    <row r="1068" spans="1:8" x14ac:dyDescent="0.35">
      <c r="A1068" s="22" t="s">
        <v>851</v>
      </c>
      <c r="B1068" s="22" t="str">
        <f>"02236"</f>
        <v>02236</v>
      </c>
      <c r="C1068" s="22" t="str">
        <f t="shared" si="16"/>
        <v>'2236.HK'</v>
      </c>
      <c r="D1068" s="22" t="s">
        <v>3077</v>
      </c>
      <c r="E1068" s="22" t="s">
        <v>1294</v>
      </c>
      <c r="F1068" s="22">
        <v>1201761501</v>
      </c>
      <c r="G1068" s="22">
        <v>6</v>
      </c>
      <c r="H1068" s="22" t="s">
        <v>3078</v>
      </c>
    </row>
    <row r="1069" spans="1:8" x14ac:dyDescent="0.35">
      <c r="A1069" s="22" t="s">
        <v>851</v>
      </c>
      <c r="B1069" s="22" t="str">
        <f>"09908"</f>
        <v>09908</v>
      </c>
      <c r="C1069" s="22" t="str">
        <f t="shared" si="16"/>
        <v>'9908.HK'</v>
      </c>
      <c r="D1069" s="22" t="s">
        <v>3079</v>
      </c>
      <c r="E1069" s="22" t="s">
        <v>1031</v>
      </c>
      <c r="F1069" s="22">
        <v>1199247150</v>
      </c>
      <c r="G1069" s="22">
        <v>6</v>
      </c>
      <c r="H1069" s="22" t="s">
        <v>3080</v>
      </c>
    </row>
    <row r="1070" spans="1:8" x14ac:dyDescent="0.35">
      <c r="A1070" s="22" t="s">
        <v>851</v>
      </c>
      <c r="B1070" s="22" t="str">
        <f>"06136"</f>
        <v>06136</v>
      </c>
      <c r="C1070" s="22" t="str">
        <f t="shared" si="16"/>
        <v>'6136.HK'</v>
      </c>
      <c r="D1070" s="22" t="s">
        <v>3081</v>
      </c>
      <c r="E1070" s="22" t="s">
        <v>1255</v>
      </c>
      <c r="F1070" s="22">
        <v>1198251600</v>
      </c>
      <c r="G1070" s="22">
        <v>20</v>
      </c>
      <c r="H1070" s="22" t="s">
        <v>3082</v>
      </c>
    </row>
    <row r="1071" spans="1:8" x14ac:dyDescent="0.35">
      <c r="A1071" s="22" t="s">
        <v>851</v>
      </c>
      <c r="B1071" s="22" t="str">
        <f>"02399"</f>
        <v>02399</v>
      </c>
      <c r="C1071" s="22" t="str">
        <f t="shared" si="16"/>
        <v>'2399.HK'</v>
      </c>
      <c r="D1071" s="22" t="s">
        <v>3083</v>
      </c>
      <c r="E1071" s="22" t="s">
        <v>889</v>
      </c>
      <c r="F1071" s="22">
        <v>1194489720</v>
      </c>
      <c r="G1071" s="22">
        <v>5</v>
      </c>
      <c r="H1071" s="22" t="s">
        <v>3084</v>
      </c>
    </row>
    <row r="1072" spans="1:8" x14ac:dyDescent="0.35">
      <c r="A1072" s="22" t="s">
        <v>851</v>
      </c>
      <c r="B1072" s="22" t="str">
        <f>"02166"</f>
        <v>02166</v>
      </c>
      <c r="C1072" s="22" t="str">
        <f t="shared" si="16"/>
        <v>'2166.HK'</v>
      </c>
      <c r="D1072" s="22" t="s">
        <v>3085</v>
      </c>
      <c r="E1072" s="22" t="s">
        <v>1040</v>
      </c>
      <c r="F1072" s="22">
        <v>1192381713.2</v>
      </c>
      <c r="G1072" s="22">
        <v>7</v>
      </c>
      <c r="H1072" s="22" t="s">
        <v>3086</v>
      </c>
    </row>
    <row r="1073" spans="1:8" x14ac:dyDescent="0.35">
      <c r="A1073" s="22" t="s">
        <v>851</v>
      </c>
      <c r="B1073" s="22" t="str">
        <f>"00733"</f>
        <v>00733</v>
      </c>
      <c r="C1073" s="22" t="str">
        <f t="shared" si="16"/>
        <v>'0733.HK'</v>
      </c>
      <c r="D1073" s="22" t="s">
        <v>3087</v>
      </c>
      <c r="E1073" s="22" t="s">
        <v>1025</v>
      </c>
      <c r="F1073" s="22">
        <v>1186503980.6400001</v>
      </c>
      <c r="G1073" s="22">
        <v>26</v>
      </c>
      <c r="H1073" s="22" t="s">
        <v>3088</v>
      </c>
    </row>
    <row r="1074" spans="1:8" x14ac:dyDescent="0.35">
      <c r="A1074" s="22" t="s">
        <v>851</v>
      </c>
      <c r="B1074" s="22" t="str">
        <f>"02488"</f>
        <v>02488</v>
      </c>
      <c r="C1074" s="22" t="str">
        <f t="shared" si="16"/>
        <v>'2488.HK'</v>
      </c>
      <c r="D1074" s="22" t="s">
        <v>3089</v>
      </c>
      <c r="E1074" s="22" t="s">
        <v>1122</v>
      </c>
      <c r="F1074" s="22">
        <v>1184273484</v>
      </c>
      <c r="G1074" s="22">
        <v>8</v>
      </c>
      <c r="H1074" s="22" t="s">
        <v>3090</v>
      </c>
    </row>
    <row r="1075" spans="1:8" x14ac:dyDescent="0.35">
      <c r="A1075" s="22" t="s">
        <v>851</v>
      </c>
      <c r="B1075" s="22" t="str">
        <f>"00582"</f>
        <v>00582</v>
      </c>
      <c r="C1075" s="22" t="str">
        <f t="shared" si="16"/>
        <v>'0582.HK'</v>
      </c>
      <c r="D1075" s="22" t="s">
        <v>3091</v>
      </c>
      <c r="E1075" s="22" t="s">
        <v>1070</v>
      </c>
      <c r="F1075" s="22">
        <v>1183350646.8</v>
      </c>
      <c r="G1075" s="22">
        <v>6</v>
      </c>
      <c r="H1075" s="22" t="s">
        <v>3092</v>
      </c>
    </row>
    <row r="1076" spans="1:8" x14ac:dyDescent="0.35">
      <c r="A1076" s="22" t="s">
        <v>851</v>
      </c>
      <c r="B1076" s="22" t="str">
        <f>"01748"</f>
        <v>01748</v>
      </c>
      <c r="C1076" s="22" t="str">
        <f t="shared" si="16"/>
        <v>'1748.HK'</v>
      </c>
      <c r="D1076" s="22" t="s">
        <v>3093</v>
      </c>
      <c r="E1076" s="22" t="s">
        <v>1047</v>
      </c>
      <c r="F1076" s="22">
        <v>1179200000</v>
      </c>
      <c r="G1076" s="22">
        <v>4</v>
      </c>
      <c r="H1076" s="22" t="s">
        <v>3094</v>
      </c>
    </row>
    <row r="1077" spans="1:8" x14ac:dyDescent="0.35">
      <c r="A1077" s="22" t="s">
        <v>851</v>
      </c>
      <c r="B1077" s="22" t="str">
        <f>"01168"</f>
        <v>01168</v>
      </c>
      <c r="C1077" s="22" t="str">
        <f t="shared" si="16"/>
        <v>'1168.HK'</v>
      </c>
      <c r="D1077" s="22" t="s">
        <v>3095</v>
      </c>
      <c r="E1077" s="22" t="s">
        <v>1028</v>
      </c>
      <c r="F1077" s="22">
        <v>1179190572.76</v>
      </c>
      <c r="G1077" s="22">
        <v>10</v>
      </c>
      <c r="H1077" s="22" t="s">
        <v>3096</v>
      </c>
    </row>
    <row r="1078" spans="1:8" x14ac:dyDescent="0.35">
      <c r="A1078" s="22" t="s">
        <v>851</v>
      </c>
      <c r="B1078" s="22" t="str">
        <f>"08391"</f>
        <v>08391</v>
      </c>
      <c r="C1078" s="22" t="str">
        <f t="shared" si="16"/>
        <v>'8391.HK'</v>
      </c>
      <c r="D1078" s="22" t="s">
        <v>3097</v>
      </c>
      <c r="E1078" s="22" t="s">
        <v>2259</v>
      </c>
      <c r="F1078" s="22">
        <v>1179186238.4000001</v>
      </c>
      <c r="G1078" s="22">
        <v>2</v>
      </c>
      <c r="H1078" s="22" t="s">
        <v>3098</v>
      </c>
    </row>
    <row r="1079" spans="1:8" x14ac:dyDescent="0.35">
      <c r="A1079" s="22" t="s">
        <v>851</v>
      </c>
      <c r="B1079" s="22" t="str">
        <f>"01738"</f>
        <v>01738</v>
      </c>
      <c r="C1079" s="22" t="str">
        <f t="shared" si="16"/>
        <v>'1738.HK'</v>
      </c>
      <c r="D1079" s="22" t="s">
        <v>3099</v>
      </c>
      <c r="E1079" s="22" t="s">
        <v>904</v>
      </c>
      <c r="F1079" s="22">
        <v>1173463930</v>
      </c>
      <c r="G1079" s="22">
        <v>2</v>
      </c>
      <c r="H1079" s="22" t="s">
        <v>3100</v>
      </c>
    </row>
    <row r="1080" spans="1:8" x14ac:dyDescent="0.35">
      <c r="A1080" s="22" t="s">
        <v>851</v>
      </c>
      <c r="B1080" s="22" t="str">
        <f>"00367"</f>
        <v>00367</v>
      </c>
      <c r="C1080" s="22" t="str">
        <f t="shared" si="16"/>
        <v>'0367.HK'</v>
      </c>
      <c r="D1080" s="22" t="s">
        <v>3101</v>
      </c>
      <c r="E1080" s="22" t="s">
        <v>924</v>
      </c>
      <c r="F1080" s="22">
        <v>1170787172.8</v>
      </c>
      <c r="G1080" s="22">
        <v>13</v>
      </c>
      <c r="H1080" s="22" t="s">
        <v>3102</v>
      </c>
    </row>
    <row r="1081" spans="1:8" x14ac:dyDescent="0.35">
      <c r="A1081" s="22" t="s">
        <v>851</v>
      </c>
      <c r="B1081" s="22" t="str">
        <f>"00938"</f>
        <v>00938</v>
      </c>
      <c r="C1081" s="22" t="str">
        <f t="shared" si="16"/>
        <v>'0938.HK'</v>
      </c>
      <c r="D1081" s="22" t="s">
        <v>3103</v>
      </c>
      <c r="E1081" s="22" t="s">
        <v>924</v>
      </c>
      <c r="F1081" s="22">
        <v>1164957471</v>
      </c>
      <c r="G1081" s="22">
        <v>8</v>
      </c>
      <c r="H1081" s="22" t="s">
        <v>3104</v>
      </c>
    </row>
    <row r="1082" spans="1:8" x14ac:dyDescent="0.35">
      <c r="A1082" s="22" t="s">
        <v>851</v>
      </c>
      <c r="B1082" s="22" t="str">
        <f>"01115"</f>
        <v>01115</v>
      </c>
      <c r="C1082" s="22" t="str">
        <f t="shared" si="16"/>
        <v>'1115.HK'</v>
      </c>
      <c r="D1082" s="22" t="s">
        <v>3105</v>
      </c>
      <c r="E1082" s="22" t="s">
        <v>892</v>
      </c>
      <c r="F1082" s="22">
        <v>1162568580</v>
      </c>
      <c r="G1082" s="22">
        <v>11</v>
      </c>
      <c r="H1082" s="22" t="s">
        <v>3106</v>
      </c>
    </row>
    <row r="1083" spans="1:8" x14ac:dyDescent="0.35">
      <c r="A1083" s="22" t="s">
        <v>851</v>
      </c>
      <c r="B1083" s="22" t="str">
        <f>"00635"</f>
        <v>00635</v>
      </c>
      <c r="C1083" s="22" t="str">
        <f t="shared" si="16"/>
        <v>'0635.HK'</v>
      </c>
      <c r="D1083" s="22" t="s">
        <v>3107</v>
      </c>
      <c r="E1083" s="22" t="s">
        <v>1446</v>
      </c>
      <c r="F1083" s="22">
        <v>1162000000</v>
      </c>
      <c r="G1083" s="22">
        <v>17</v>
      </c>
      <c r="H1083" s="22" t="s">
        <v>3108</v>
      </c>
    </row>
    <row r="1084" spans="1:8" x14ac:dyDescent="0.35">
      <c r="A1084" s="22" t="s">
        <v>851</v>
      </c>
      <c r="B1084" s="22" t="str">
        <f>"00057"</f>
        <v>00057</v>
      </c>
      <c r="C1084" s="22" t="str">
        <f t="shared" si="16"/>
        <v>'0057.HK'</v>
      </c>
      <c r="D1084" s="22" t="s">
        <v>3109</v>
      </c>
      <c r="E1084" s="22" t="s">
        <v>1224</v>
      </c>
      <c r="F1084" s="22">
        <v>1160178144</v>
      </c>
      <c r="G1084" s="22">
        <v>21</v>
      </c>
      <c r="H1084" s="22" t="s">
        <v>3110</v>
      </c>
    </row>
    <row r="1085" spans="1:8" x14ac:dyDescent="0.35">
      <c r="A1085" s="22" t="s">
        <v>851</v>
      </c>
      <c r="B1085" s="22" t="str">
        <f>"00952"</f>
        <v>00952</v>
      </c>
      <c r="C1085" s="22" t="str">
        <f t="shared" si="16"/>
        <v>'0952.HK'</v>
      </c>
      <c r="D1085" s="22" t="s">
        <v>3111</v>
      </c>
      <c r="E1085" s="22" t="s">
        <v>1130</v>
      </c>
      <c r="F1085" s="22">
        <v>1158848204.1400001</v>
      </c>
      <c r="G1085" s="22">
        <v>7</v>
      </c>
      <c r="H1085" s="22" t="s">
        <v>3112</v>
      </c>
    </row>
    <row r="1086" spans="1:8" x14ac:dyDescent="0.35">
      <c r="A1086" s="22" t="s">
        <v>851</v>
      </c>
      <c r="B1086" s="22" t="str">
        <f>"00306"</f>
        <v>00306</v>
      </c>
      <c r="C1086" s="22" t="str">
        <f t="shared" si="16"/>
        <v>'0306.HK'</v>
      </c>
      <c r="D1086" s="22" t="s">
        <v>3113</v>
      </c>
      <c r="E1086" s="22" t="s">
        <v>948</v>
      </c>
      <c r="F1086" s="22">
        <v>1158567726.0599999</v>
      </c>
      <c r="G1086" s="22">
        <v>7</v>
      </c>
      <c r="H1086" s="22" t="s">
        <v>3114</v>
      </c>
    </row>
    <row r="1087" spans="1:8" x14ac:dyDescent="0.35">
      <c r="A1087" s="22" t="s">
        <v>851</v>
      </c>
      <c r="B1087" s="22" t="str">
        <f>"01499"</f>
        <v>01499</v>
      </c>
      <c r="C1087" s="22" t="str">
        <f t="shared" si="16"/>
        <v>'1499.HK'</v>
      </c>
      <c r="D1087" s="22" t="s">
        <v>3115</v>
      </c>
      <c r="E1087" s="22" t="s">
        <v>1634</v>
      </c>
      <c r="F1087" s="22">
        <v>1154659650</v>
      </c>
      <c r="G1087" s="22">
        <v>5</v>
      </c>
      <c r="H1087" s="22" t="s">
        <v>3116</v>
      </c>
    </row>
    <row r="1088" spans="1:8" x14ac:dyDescent="0.35">
      <c r="A1088" s="22" t="s">
        <v>851</v>
      </c>
      <c r="B1088" s="22" t="str">
        <f>"00848"</f>
        <v>00848</v>
      </c>
      <c r="C1088" s="22" t="str">
        <f t="shared" si="16"/>
        <v>'0848.HK'</v>
      </c>
      <c r="D1088" s="22" t="s">
        <v>3117</v>
      </c>
      <c r="E1088" s="22" t="s">
        <v>1485</v>
      </c>
      <c r="F1088" s="22">
        <v>1151433024</v>
      </c>
      <c r="G1088" s="22">
        <v>41</v>
      </c>
      <c r="H1088" s="22" t="s">
        <v>3118</v>
      </c>
    </row>
    <row r="1089" spans="1:8" x14ac:dyDescent="0.35">
      <c r="A1089" s="22" t="s">
        <v>851</v>
      </c>
      <c r="B1089" s="22" t="str">
        <f>"00089"</f>
        <v>00089</v>
      </c>
      <c r="C1089" s="22" t="str">
        <f t="shared" si="16"/>
        <v>'0089.HK'</v>
      </c>
      <c r="D1089" s="22" t="s">
        <v>3119</v>
      </c>
      <c r="E1089" s="22" t="s">
        <v>1028</v>
      </c>
      <c r="F1089" s="22">
        <v>1147802007.24</v>
      </c>
      <c r="G1089" s="22">
        <v>24</v>
      </c>
      <c r="H1089" s="22" t="s">
        <v>3120</v>
      </c>
    </row>
    <row r="1090" spans="1:8" x14ac:dyDescent="0.35">
      <c r="A1090" s="22" t="s">
        <v>851</v>
      </c>
      <c r="B1090" s="22" t="str">
        <f>"00769"</f>
        <v>00769</v>
      </c>
      <c r="C1090" s="22" t="str">
        <f t="shared" si="16"/>
        <v>'0769.HK'</v>
      </c>
      <c r="D1090" s="22" t="s">
        <v>3121</v>
      </c>
      <c r="E1090" s="22" t="s">
        <v>1060</v>
      </c>
      <c r="F1090" s="22">
        <v>1147433137.6900001</v>
      </c>
      <c r="G1090" s="22">
        <v>27</v>
      </c>
      <c r="H1090" s="22" t="s">
        <v>3122</v>
      </c>
    </row>
    <row r="1091" spans="1:8" x14ac:dyDescent="0.35">
      <c r="A1091" s="22" t="s">
        <v>851</v>
      </c>
      <c r="B1091" s="22" t="str">
        <f>"00393"</f>
        <v>00393</v>
      </c>
      <c r="C1091" s="22" t="str">
        <f t="shared" ref="C1091:C1146" si="17">CONCATENATE("'",RIGHT(B1091,4),".HK'")</f>
        <v>'0393.HK'</v>
      </c>
      <c r="D1091" s="22" t="s">
        <v>3123</v>
      </c>
      <c r="E1091" s="22" t="s">
        <v>889</v>
      </c>
      <c r="F1091" s="22">
        <v>1145988000</v>
      </c>
      <c r="G1091" s="22">
        <v>7</v>
      </c>
      <c r="H1091" s="22" t="s">
        <v>3124</v>
      </c>
    </row>
    <row r="1092" spans="1:8" x14ac:dyDescent="0.35">
      <c r="A1092" s="22" t="s">
        <v>851</v>
      </c>
      <c r="B1092" s="22" t="str">
        <f>"01782"</f>
        <v>01782</v>
      </c>
      <c r="C1092" s="22" t="str">
        <f t="shared" si="17"/>
        <v>'1782.HK'</v>
      </c>
      <c r="D1092" s="22" t="s">
        <v>3125</v>
      </c>
      <c r="E1092" s="22" t="s">
        <v>1202</v>
      </c>
      <c r="F1092" s="22">
        <v>1143000000</v>
      </c>
      <c r="G1092" s="22">
        <v>1</v>
      </c>
      <c r="H1092" s="22" t="s">
        <v>3126</v>
      </c>
    </row>
    <row r="1093" spans="1:8" x14ac:dyDescent="0.35">
      <c r="A1093" s="22" t="s">
        <v>851</v>
      </c>
      <c r="B1093" s="22" t="str">
        <f>"03337"</f>
        <v>03337</v>
      </c>
      <c r="C1093" s="22" t="str">
        <f t="shared" si="17"/>
        <v>'3337.HK'</v>
      </c>
      <c r="D1093" s="22" t="s">
        <v>3127</v>
      </c>
      <c r="E1093" s="22" t="s">
        <v>1294</v>
      </c>
      <c r="F1093" s="22">
        <v>1142496544.9000001</v>
      </c>
      <c r="G1093" s="22">
        <v>21</v>
      </c>
      <c r="H1093" s="22" t="s">
        <v>3128</v>
      </c>
    </row>
    <row r="1094" spans="1:8" x14ac:dyDescent="0.35">
      <c r="A1094" s="22" t="s">
        <v>851</v>
      </c>
      <c r="B1094" s="22" t="str">
        <f>"01349"</f>
        <v>01349</v>
      </c>
      <c r="C1094" s="22" t="str">
        <f t="shared" si="17"/>
        <v>'1349.HK'</v>
      </c>
      <c r="D1094" s="22" t="s">
        <v>3129</v>
      </c>
      <c r="E1094" s="22" t="s">
        <v>941</v>
      </c>
      <c r="F1094" s="22">
        <v>1141000000</v>
      </c>
      <c r="G1094" s="22">
        <v>58</v>
      </c>
      <c r="H1094" s="22" t="s">
        <v>3130</v>
      </c>
    </row>
    <row r="1095" spans="1:8" x14ac:dyDescent="0.35">
      <c r="A1095" s="22" t="s">
        <v>851</v>
      </c>
      <c r="B1095" s="22" t="str">
        <f>"00228"</f>
        <v>00228</v>
      </c>
      <c r="C1095" s="22" t="str">
        <f t="shared" si="17"/>
        <v>'0228.HK'</v>
      </c>
      <c r="D1095" s="22" t="s">
        <v>3131</v>
      </c>
      <c r="E1095" s="22" t="s">
        <v>883</v>
      </c>
      <c r="F1095" s="22">
        <v>1140641280</v>
      </c>
      <c r="G1095" s="22">
        <v>3</v>
      </c>
      <c r="H1095" s="22" t="s">
        <v>3132</v>
      </c>
    </row>
    <row r="1096" spans="1:8" x14ac:dyDescent="0.35">
      <c r="A1096" s="22" t="s">
        <v>851</v>
      </c>
      <c r="B1096" s="22" t="str">
        <f>"01982"</f>
        <v>01982</v>
      </c>
      <c r="C1096" s="22" t="str">
        <f t="shared" si="17"/>
        <v>'1982.HK'</v>
      </c>
      <c r="D1096" s="22" t="s">
        <v>3133</v>
      </c>
      <c r="E1096" s="22" t="s">
        <v>889</v>
      </c>
      <c r="F1096" s="22">
        <v>1139696000</v>
      </c>
      <c r="G1096" s="22">
        <v>8</v>
      </c>
      <c r="H1096" s="22" t="s">
        <v>3134</v>
      </c>
    </row>
    <row r="1097" spans="1:8" x14ac:dyDescent="0.35">
      <c r="A1097" s="22" t="s">
        <v>851</v>
      </c>
      <c r="B1097" s="22" t="str">
        <f>"01488"</f>
        <v>01488</v>
      </c>
      <c r="C1097" s="22" t="str">
        <f t="shared" si="17"/>
        <v>'1488.HK'</v>
      </c>
      <c r="D1097" s="22" t="s">
        <v>3135</v>
      </c>
      <c r="E1097" s="22" t="s">
        <v>981</v>
      </c>
      <c r="F1097" s="22">
        <v>1136638080</v>
      </c>
      <c r="G1097" s="22">
        <v>6</v>
      </c>
      <c r="H1097" s="22" t="s">
        <v>3136</v>
      </c>
    </row>
    <row r="1098" spans="1:8" x14ac:dyDescent="0.35">
      <c r="A1098" s="22" t="s">
        <v>851</v>
      </c>
      <c r="B1098" s="22" t="str">
        <f>"01741"</f>
        <v>01741</v>
      </c>
      <c r="C1098" s="22" t="str">
        <f t="shared" si="17"/>
        <v>'1741.HK'</v>
      </c>
      <c r="D1098" s="22" t="s">
        <v>3137</v>
      </c>
      <c r="E1098" s="22" t="s">
        <v>1634</v>
      </c>
      <c r="F1098" s="22">
        <v>1128000000</v>
      </c>
      <c r="G1098" s="22">
        <v>2</v>
      </c>
      <c r="H1098" s="22" t="s">
        <v>3138</v>
      </c>
    </row>
    <row r="1099" spans="1:8" x14ac:dyDescent="0.35">
      <c r="A1099" s="22" t="s">
        <v>851</v>
      </c>
      <c r="B1099" s="22" t="str">
        <f>"07836"</f>
        <v>07836</v>
      </c>
      <c r="C1099" s="22" t="str">
        <f t="shared" si="17"/>
        <v>'7836.HK'</v>
      </c>
      <c r="D1099" s="22" t="s">
        <v>3139</v>
      </c>
      <c r="F1099" s="22">
        <v>1125731250</v>
      </c>
      <c r="G1099" s="22">
        <v>0</v>
      </c>
      <c r="H1099" s="22" t="s">
        <v>3140</v>
      </c>
    </row>
    <row r="1100" spans="1:8" x14ac:dyDescent="0.35">
      <c r="A1100" s="22" t="s">
        <v>851</v>
      </c>
      <c r="B1100" s="22" t="str">
        <f>"02798"</f>
        <v>02798</v>
      </c>
      <c r="C1100" s="22" t="str">
        <f t="shared" si="17"/>
        <v>'2798.HK'</v>
      </c>
      <c r="D1100" s="22" t="s">
        <v>3141</v>
      </c>
      <c r="E1100" s="22" t="s">
        <v>904</v>
      </c>
      <c r="F1100" s="22">
        <v>1120000000</v>
      </c>
      <c r="G1100" s="22">
        <v>9</v>
      </c>
      <c r="H1100" s="22" t="s">
        <v>3142</v>
      </c>
    </row>
    <row r="1101" spans="1:8" x14ac:dyDescent="0.35">
      <c r="A1101" s="22" t="s">
        <v>851</v>
      </c>
      <c r="B1101" s="22" t="str">
        <f>"03688"</f>
        <v>03688</v>
      </c>
      <c r="C1101" s="22" t="str">
        <f t="shared" si="17"/>
        <v>'3688.HK'</v>
      </c>
      <c r="D1101" s="22" t="s">
        <v>3143</v>
      </c>
      <c r="E1101" s="22" t="s">
        <v>1028</v>
      </c>
      <c r="F1101" s="22">
        <v>1116058628.3900001</v>
      </c>
      <c r="G1101" s="22">
        <v>28</v>
      </c>
      <c r="H1101" s="22" t="s">
        <v>3144</v>
      </c>
    </row>
    <row r="1102" spans="1:8" x14ac:dyDescent="0.35">
      <c r="A1102" s="22" t="s">
        <v>851</v>
      </c>
      <c r="B1102" s="22" t="str">
        <f>"00420"</f>
        <v>00420</v>
      </c>
      <c r="C1102" s="22" t="str">
        <f t="shared" si="17"/>
        <v>'0420.HK'</v>
      </c>
      <c r="D1102" s="22" t="s">
        <v>3145</v>
      </c>
      <c r="E1102" s="22" t="s">
        <v>1914</v>
      </c>
      <c r="F1102" s="22">
        <v>1114774533.5999999</v>
      </c>
      <c r="G1102" s="22">
        <v>15</v>
      </c>
      <c r="H1102" s="22" t="s">
        <v>3146</v>
      </c>
    </row>
    <row r="1103" spans="1:8" x14ac:dyDescent="0.35">
      <c r="A1103" s="22" t="s">
        <v>851</v>
      </c>
      <c r="B1103" s="22" t="str">
        <f>"00201"</f>
        <v>00201</v>
      </c>
      <c r="C1103" s="22" t="str">
        <f t="shared" si="17"/>
        <v>'0201.HK'</v>
      </c>
      <c r="D1103" s="22" t="s">
        <v>3147</v>
      </c>
      <c r="E1103" s="22" t="s">
        <v>1070</v>
      </c>
      <c r="F1103" s="22">
        <v>1109434364.1760001</v>
      </c>
      <c r="G1103" s="22">
        <v>8</v>
      </c>
      <c r="H1103" s="22" t="s">
        <v>3148</v>
      </c>
    </row>
    <row r="1104" spans="1:8" x14ac:dyDescent="0.35">
      <c r="A1104" s="22" t="s">
        <v>851</v>
      </c>
      <c r="B1104" s="22" t="str">
        <f>"00157"</f>
        <v>00157</v>
      </c>
      <c r="C1104" s="22" t="str">
        <f t="shared" si="17"/>
        <v>'0157.HK'</v>
      </c>
      <c r="D1104" s="22" t="s">
        <v>3149</v>
      </c>
      <c r="E1104" s="22" t="s">
        <v>1002</v>
      </c>
      <c r="F1104" s="22">
        <v>1101155512.5999999</v>
      </c>
      <c r="G1104" s="22">
        <v>12</v>
      </c>
      <c r="H1104" s="22" t="s">
        <v>3150</v>
      </c>
    </row>
    <row r="1105" spans="1:8" x14ac:dyDescent="0.35">
      <c r="A1105" s="22" t="s">
        <v>851</v>
      </c>
      <c r="B1105" s="22" t="str">
        <f>"03658"</f>
        <v>03658</v>
      </c>
      <c r="C1105" s="22" t="str">
        <f t="shared" si="17"/>
        <v>'3658.HK'</v>
      </c>
      <c r="D1105" s="22" t="s">
        <v>3151</v>
      </c>
      <c r="E1105" s="22" t="s">
        <v>1104</v>
      </c>
      <c r="F1105" s="22">
        <v>1099070100</v>
      </c>
      <c r="G1105" s="22">
        <v>13</v>
      </c>
      <c r="H1105" s="22" t="s">
        <v>3152</v>
      </c>
    </row>
    <row r="1106" spans="1:8" x14ac:dyDescent="0.35">
      <c r="A1106" s="22" t="s">
        <v>851</v>
      </c>
      <c r="B1106" s="22" t="str">
        <f>"08037"</f>
        <v>08037</v>
      </c>
      <c r="C1106" s="22" t="str">
        <f t="shared" si="17"/>
        <v>'8037.HK'</v>
      </c>
      <c r="D1106" s="22" t="s">
        <v>3153</v>
      </c>
      <c r="E1106" s="22" t="s">
        <v>1362</v>
      </c>
      <c r="F1106" s="22">
        <v>1098083511</v>
      </c>
      <c r="G1106" s="22">
        <v>5</v>
      </c>
      <c r="H1106" s="22" t="s">
        <v>3154</v>
      </c>
    </row>
    <row r="1107" spans="1:8" x14ac:dyDescent="0.35">
      <c r="A1107" s="22" t="s">
        <v>851</v>
      </c>
      <c r="B1107" s="22" t="str">
        <f>"03680"</f>
        <v>03680</v>
      </c>
      <c r="C1107" s="22" t="str">
        <f t="shared" si="17"/>
        <v>'3680.HK'</v>
      </c>
      <c r="D1107" s="22" t="s">
        <v>3155</v>
      </c>
      <c r="E1107" s="22" t="s">
        <v>1202</v>
      </c>
      <c r="F1107" s="22">
        <v>1088268523.8800001</v>
      </c>
      <c r="G1107" s="22">
        <v>5</v>
      </c>
      <c r="H1107" s="22" t="s">
        <v>3156</v>
      </c>
    </row>
    <row r="1108" spans="1:8" x14ac:dyDescent="0.35">
      <c r="A1108" s="22" t="s">
        <v>851</v>
      </c>
      <c r="B1108" s="22" t="str">
        <f>"02738"</f>
        <v>02738</v>
      </c>
      <c r="C1108" s="22" t="str">
        <f t="shared" si="17"/>
        <v>'2738.HK'</v>
      </c>
      <c r="D1108" s="22" t="s">
        <v>3157</v>
      </c>
      <c r="E1108" s="22" t="s">
        <v>1579</v>
      </c>
      <c r="F1108" s="22">
        <v>1086000000</v>
      </c>
      <c r="G1108" s="22">
        <v>3</v>
      </c>
      <c r="H1108" s="22" t="s">
        <v>3158</v>
      </c>
    </row>
    <row r="1109" spans="1:8" x14ac:dyDescent="0.35">
      <c r="A1109" s="22" t="s">
        <v>851</v>
      </c>
      <c r="B1109" s="22" t="str">
        <f>"01965"</f>
        <v>01965</v>
      </c>
      <c r="C1109" s="22" t="str">
        <f t="shared" si="17"/>
        <v>'1965.HK'</v>
      </c>
      <c r="D1109" s="22" t="s">
        <v>3159</v>
      </c>
      <c r="E1109" s="22" t="s">
        <v>1104</v>
      </c>
      <c r="F1109" s="22">
        <v>1080311950</v>
      </c>
      <c r="G1109" s="22">
        <v>10</v>
      </c>
      <c r="H1109" s="22" t="s">
        <v>3160</v>
      </c>
    </row>
    <row r="1110" spans="1:8" x14ac:dyDescent="0.35">
      <c r="A1110" s="22" t="s">
        <v>851</v>
      </c>
      <c r="B1110" s="22" t="str">
        <f>"02302"</f>
        <v>02302</v>
      </c>
      <c r="C1110" s="22" t="str">
        <f t="shared" si="17"/>
        <v>'2302.HK'</v>
      </c>
      <c r="D1110" s="22" t="s">
        <v>3161</v>
      </c>
      <c r="E1110" s="22" t="s">
        <v>1060</v>
      </c>
      <c r="F1110" s="22">
        <v>1076170277.5999999</v>
      </c>
      <c r="G1110" s="22">
        <v>15</v>
      </c>
      <c r="H1110" s="22" t="s">
        <v>3162</v>
      </c>
    </row>
    <row r="1111" spans="1:8" x14ac:dyDescent="0.35">
      <c r="A1111" s="22" t="s">
        <v>851</v>
      </c>
      <c r="B1111" s="22" t="str">
        <f>"03303"</f>
        <v>03303</v>
      </c>
      <c r="C1111" s="22" t="str">
        <f t="shared" si="17"/>
        <v>'3303.HK'</v>
      </c>
      <c r="D1111" s="22" t="s">
        <v>3163</v>
      </c>
      <c r="E1111" s="22" t="s">
        <v>1294</v>
      </c>
      <c r="F1111" s="22">
        <v>1070063130.0599999</v>
      </c>
      <c r="G1111" s="22">
        <v>4</v>
      </c>
      <c r="H1111" s="22" t="s">
        <v>3164</v>
      </c>
    </row>
    <row r="1112" spans="1:8" x14ac:dyDescent="0.35">
      <c r="A1112" s="22" t="s">
        <v>851</v>
      </c>
      <c r="B1112" s="22" t="str">
        <f>"00082"</f>
        <v>00082</v>
      </c>
      <c r="C1112" s="22" t="str">
        <f t="shared" si="17"/>
        <v>'0082.HK'</v>
      </c>
      <c r="D1112" s="22" t="s">
        <v>3165</v>
      </c>
      <c r="E1112" s="22" t="s">
        <v>910</v>
      </c>
      <c r="F1112" s="22">
        <v>1068167964.312</v>
      </c>
      <c r="G1112" s="22">
        <v>2</v>
      </c>
      <c r="H1112" s="22" t="s">
        <v>3166</v>
      </c>
    </row>
    <row r="1113" spans="1:8" x14ac:dyDescent="0.35">
      <c r="A1113" s="22" t="s">
        <v>851</v>
      </c>
      <c r="B1113" s="22" t="str">
        <f>"02329"</f>
        <v>02329</v>
      </c>
      <c r="C1113" s="22" t="str">
        <f t="shared" si="17"/>
        <v>'2329.HK'</v>
      </c>
      <c r="D1113" s="22" t="s">
        <v>3167</v>
      </c>
      <c r="E1113" s="22" t="s">
        <v>924</v>
      </c>
      <c r="F1113" s="22">
        <v>1066660316.64</v>
      </c>
      <c r="G1113" s="22">
        <v>35</v>
      </c>
      <c r="H1113" s="22" t="s">
        <v>3168</v>
      </c>
    </row>
    <row r="1114" spans="1:8" x14ac:dyDescent="0.35">
      <c r="A1114" s="22" t="s">
        <v>851</v>
      </c>
      <c r="B1114" s="22" t="str">
        <f>"00346"</f>
        <v>00346</v>
      </c>
      <c r="C1114" s="22" t="str">
        <f t="shared" si="17"/>
        <v>'0346.HK'</v>
      </c>
      <c r="D1114" s="22" t="s">
        <v>3169</v>
      </c>
      <c r="E1114" s="22" t="s">
        <v>883</v>
      </c>
      <c r="F1114" s="22">
        <v>1063432710.5140001</v>
      </c>
      <c r="G1114" s="22">
        <v>5</v>
      </c>
      <c r="H1114" s="22" t="s">
        <v>3170</v>
      </c>
    </row>
    <row r="1115" spans="1:8" x14ac:dyDescent="0.35">
      <c r="A1115" s="22" t="s">
        <v>851</v>
      </c>
      <c r="B1115" s="22" t="str">
        <f>"01082"</f>
        <v>01082</v>
      </c>
      <c r="C1115" s="22" t="str">
        <f t="shared" si="17"/>
        <v>'1082.HK'</v>
      </c>
      <c r="D1115" s="22" t="s">
        <v>3171</v>
      </c>
      <c r="E1115" s="22" t="s">
        <v>1270</v>
      </c>
      <c r="F1115" s="22">
        <v>1061646966.4</v>
      </c>
      <c r="G1115" s="22">
        <v>2</v>
      </c>
      <c r="H1115" s="22" t="s">
        <v>3172</v>
      </c>
    </row>
    <row r="1116" spans="1:8" x14ac:dyDescent="0.35">
      <c r="A1116" s="22" t="s">
        <v>851</v>
      </c>
      <c r="B1116" s="22" t="str">
        <f>"01689"</f>
        <v>01689</v>
      </c>
      <c r="C1116" s="22" t="str">
        <f t="shared" si="17"/>
        <v>'1689.HK'</v>
      </c>
      <c r="D1116" s="22" t="s">
        <v>3173</v>
      </c>
      <c r="E1116" s="22" t="s">
        <v>2259</v>
      </c>
      <c r="F1116" s="22">
        <v>1059159300</v>
      </c>
      <c r="G1116" s="22">
        <v>4</v>
      </c>
      <c r="H1116" s="22" t="s">
        <v>3174</v>
      </c>
    </row>
    <row r="1117" spans="1:8" x14ac:dyDescent="0.35">
      <c r="A1117" s="22" t="s">
        <v>851</v>
      </c>
      <c r="B1117" s="22" t="str">
        <f>"01290"</f>
        <v>01290</v>
      </c>
      <c r="C1117" s="22" t="str">
        <f t="shared" si="17"/>
        <v>'1290.HK'</v>
      </c>
      <c r="D1117" s="22" t="s">
        <v>3175</v>
      </c>
      <c r="E1117" s="22" t="s">
        <v>1498</v>
      </c>
      <c r="F1117" s="22">
        <v>1057624950</v>
      </c>
      <c r="G1117" s="22">
        <v>3</v>
      </c>
      <c r="H1117" s="22" t="s">
        <v>3176</v>
      </c>
    </row>
    <row r="1118" spans="1:8" x14ac:dyDescent="0.35">
      <c r="A1118" s="22" t="s">
        <v>851</v>
      </c>
      <c r="B1118" s="22" t="str">
        <f>"00240"</f>
        <v>00240</v>
      </c>
      <c r="C1118" s="22" t="str">
        <f t="shared" si="17"/>
        <v>'0240.HK'</v>
      </c>
      <c r="D1118" s="22" t="s">
        <v>3177</v>
      </c>
      <c r="E1118" s="22" t="s">
        <v>1078</v>
      </c>
      <c r="F1118" s="22">
        <v>1055596293.2</v>
      </c>
      <c r="G1118" s="22">
        <v>19</v>
      </c>
      <c r="H1118" s="22" t="s">
        <v>3178</v>
      </c>
    </row>
    <row r="1119" spans="1:8" x14ac:dyDescent="0.35">
      <c r="A1119" s="22" t="s">
        <v>851</v>
      </c>
      <c r="B1119" s="22" t="str">
        <f>"01431"</f>
        <v>01431</v>
      </c>
      <c r="C1119" s="22" t="str">
        <f t="shared" si="17"/>
        <v>'1431.HK'</v>
      </c>
      <c r="D1119" s="22" t="s">
        <v>3179</v>
      </c>
      <c r="E1119" s="22" t="s">
        <v>1019</v>
      </c>
      <c r="F1119" s="22">
        <v>1055361690</v>
      </c>
      <c r="G1119" s="22">
        <v>9</v>
      </c>
      <c r="H1119" s="22" t="s">
        <v>3180</v>
      </c>
    </row>
    <row r="1120" spans="1:8" x14ac:dyDescent="0.35">
      <c r="A1120" s="22" t="s">
        <v>851</v>
      </c>
      <c r="B1120" s="22" t="str">
        <f>"01837"</f>
        <v>01837</v>
      </c>
      <c r="C1120" s="22" t="str">
        <f t="shared" si="17"/>
        <v>'1837.HK'</v>
      </c>
      <c r="D1120" s="22" t="s">
        <v>3181</v>
      </c>
      <c r="E1120" s="22" t="s">
        <v>1205</v>
      </c>
      <c r="F1120" s="22">
        <v>1050486720</v>
      </c>
      <c r="G1120" s="22">
        <v>19</v>
      </c>
      <c r="H1120" s="22" t="s">
        <v>3182</v>
      </c>
    </row>
    <row r="1121" spans="1:8" x14ac:dyDescent="0.35">
      <c r="A1121" s="22" t="s">
        <v>851</v>
      </c>
      <c r="B1121" s="22" t="str">
        <f>"02112"</f>
        <v>02112</v>
      </c>
      <c r="C1121" s="22" t="str">
        <f t="shared" si="17"/>
        <v>'2112.HK'</v>
      </c>
      <c r="D1121" s="22" t="s">
        <v>3183</v>
      </c>
      <c r="E1121" s="22" t="s">
        <v>1579</v>
      </c>
      <c r="F1121" s="22">
        <v>1050000000</v>
      </c>
      <c r="G1121" s="22">
        <v>2</v>
      </c>
      <c r="H1121" s="22" t="s">
        <v>3184</v>
      </c>
    </row>
    <row r="1122" spans="1:8" x14ac:dyDescent="0.35">
      <c r="A1122" s="22" t="s">
        <v>851</v>
      </c>
      <c r="B1122" s="22" t="str">
        <f>"02048"</f>
        <v>02048</v>
      </c>
      <c r="C1122" s="22" t="str">
        <f t="shared" si="17"/>
        <v>'2048.HK'</v>
      </c>
      <c r="D1122" s="22" t="s">
        <v>3185</v>
      </c>
      <c r="E1122" s="22" t="s">
        <v>1025</v>
      </c>
      <c r="F1122" s="22">
        <v>1049435718</v>
      </c>
      <c r="G1122" s="22">
        <v>18</v>
      </c>
      <c r="H1122" s="22" t="s">
        <v>3186</v>
      </c>
    </row>
    <row r="1123" spans="1:8" x14ac:dyDescent="0.35">
      <c r="A1123" s="22" t="s">
        <v>851</v>
      </c>
      <c r="B1123" s="22" t="str">
        <f>"06805"</f>
        <v>06805</v>
      </c>
      <c r="C1123" s="22" t="str">
        <f t="shared" si="17"/>
        <v>'6805.HK'</v>
      </c>
      <c r="D1123" s="22" t="s">
        <v>3187</v>
      </c>
      <c r="E1123" s="22" t="s">
        <v>1301</v>
      </c>
      <c r="F1123" s="22">
        <v>1046233160</v>
      </c>
      <c r="G1123" s="22">
        <v>2</v>
      </c>
      <c r="H1123" s="22" t="s">
        <v>3188</v>
      </c>
    </row>
    <row r="1124" spans="1:8" x14ac:dyDescent="0.35">
      <c r="A1124" s="22" t="s">
        <v>851</v>
      </c>
      <c r="B1124" s="22" t="str">
        <f>"00993"</f>
        <v>00993</v>
      </c>
      <c r="C1124" s="22" t="str">
        <f t="shared" si="17"/>
        <v>'0993.HK'</v>
      </c>
      <c r="D1124" s="22" t="s">
        <v>3189</v>
      </c>
      <c r="E1124" s="22" t="s">
        <v>964</v>
      </c>
      <c r="F1124" s="22">
        <v>1045150321.3200001</v>
      </c>
      <c r="G1124" s="22">
        <v>6</v>
      </c>
      <c r="H1124" s="22" t="s">
        <v>3190</v>
      </c>
    </row>
    <row r="1125" spans="1:8" x14ac:dyDescent="0.35">
      <c r="A1125" s="22" t="s">
        <v>851</v>
      </c>
      <c r="B1125" s="22" t="str">
        <f>"01502"</f>
        <v>01502</v>
      </c>
      <c r="C1125" s="22" t="str">
        <f t="shared" si="17"/>
        <v>'1502.HK'</v>
      </c>
      <c r="D1125" s="22" t="s">
        <v>3191</v>
      </c>
      <c r="E1125" s="22" t="s">
        <v>1104</v>
      </c>
      <c r="F1125" s="22">
        <v>1042065000</v>
      </c>
      <c r="G1125" s="22">
        <v>26</v>
      </c>
      <c r="H1125" s="22" t="s">
        <v>3192</v>
      </c>
    </row>
    <row r="1126" spans="1:8" x14ac:dyDescent="0.35">
      <c r="A1126" s="22" t="s">
        <v>851</v>
      </c>
      <c r="B1126" s="22" t="str">
        <f>"01228"</f>
        <v>01228</v>
      </c>
      <c r="C1126" s="22" t="str">
        <f t="shared" si="17"/>
        <v>'1228.HK'</v>
      </c>
      <c r="D1126" s="22" t="s">
        <v>3193</v>
      </c>
      <c r="E1126" s="22" t="s">
        <v>941</v>
      </c>
      <c r="F1126" s="22">
        <v>1039392704</v>
      </c>
      <c r="G1126" s="22">
        <v>4</v>
      </c>
      <c r="H1126" s="22" t="s">
        <v>3194</v>
      </c>
    </row>
    <row r="1127" spans="1:8" x14ac:dyDescent="0.35">
      <c r="A1127" s="22" t="s">
        <v>851</v>
      </c>
      <c r="B1127" s="22" t="str">
        <f>"00498"</f>
        <v>00498</v>
      </c>
      <c r="C1127" s="22" t="str">
        <f t="shared" si="17"/>
        <v>'0498.HK'</v>
      </c>
      <c r="D1127" s="22" t="s">
        <v>3195</v>
      </c>
      <c r="E1127" s="22" t="s">
        <v>1634</v>
      </c>
      <c r="F1127" s="22">
        <v>1037681147.16</v>
      </c>
      <c r="G1127" s="22">
        <v>3</v>
      </c>
      <c r="H1127" s="22" t="s">
        <v>3196</v>
      </c>
    </row>
    <row r="1128" spans="1:8" x14ac:dyDescent="0.35">
      <c r="A1128" s="22" t="s">
        <v>851</v>
      </c>
      <c r="B1128" s="22" t="str">
        <f>"00374"</f>
        <v>00374</v>
      </c>
      <c r="C1128" s="22" t="str">
        <f t="shared" si="17"/>
        <v>'0374.HK'</v>
      </c>
      <c r="D1128" s="22" t="s">
        <v>3197</v>
      </c>
      <c r="E1128" s="22" t="s">
        <v>1205</v>
      </c>
      <c r="F1128" s="22">
        <v>1037495628</v>
      </c>
      <c r="G1128" s="22">
        <v>9</v>
      </c>
      <c r="H1128" s="22" t="s">
        <v>3198</v>
      </c>
    </row>
    <row r="1129" spans="1:8" x14ac:dyDescent="0.35">
      <c r="A1129" s="22" t="s">
        <v>851</v>
      </c>
      <c r="B1129" s="22" t="str">
        <f>"01086"</f>
        <v>01086</v>
      </c>
      <c r="C1129" s="22" t="str">
        <f t="shared" si="17"/>
        <v>'1086.HK'</v>
      </c>
      <c r="D1129" s="22" t="s">
        <v>3199</v>
      </c>
      <c r="E1129" s="22" t="s">
        <v>1429</v>
      </c>
      <c r="F1129" s="22">
        <v>1034179322.92</v>
      </c>
      <c r="G1129" s="22">
        <v>22</v>
      </c>
      <c r="H1129" s="22" t="s">
        <v>3200</v>
      </c>
    </row>
    <row r="1130" spans="1:8" x14ac:dyDescent="0.35">
      <c r="A1130" s="22" t="s">
        <v>851</v>
      </c>
      <c r="B1130" s="22" t="str">
        <f>"01786"</f>
        <v>01786</v>
      </c>
      <c r="C1130" s="22" t="str">
        <f t="shared" si="17"/>
        <v>'1786.HK'</v>
      </c>
      <c r="D1130" s="22" t="s">
        <v>3201</v>
      </c>
      <c r="E1130" s="22" t="s">
        <v>1395</v>
      </c>
      <c r="F1130" s="22">
        <v>1033521120</v>
      </c>
      <c r="G1130" s="22">
        <v>24</v>
      </c>
      <c r="H1130" s="22" t="s">
        <v>3202</v>
      </c>
    </row>
    <row r="1131" spans="1:8" x14ac:dyDescent="0.35">
      <c r="A1131" s="22" t="s">
        <v>851</v>
      </c>
      <c r="B1131" s="22" t="str">
        <f>"00471"</f>
        <v>00471</v>
      </c>
      <c r="C1131" s="22" t="str">
        <f t="shared" si="17"/>
        <v>'0471.HK'</v>
      </c>
      <c r="D1131" s="22" t="s">
        <v>3203</v>
      </c>
      <c r="E1131" s="22" t="s">
        <v>1013</v>
      </c>
      <c r="F1131" s="22">
        <v>1033047083.0599999</v>
      </c>
      <c r="G1131" s="22">
        <v>1</v>
      </c>
      <c r="H1131" s="22" t="s">
        <v>3204</v>
      </c>
    </row>
    <row r="1132" spans="1:8" x14ac:dyDescent="0.35">
      <c r="A1132" s="22" t="s">
        <v>851</v>
      </c>
      <c r="B1132" s="22" t="str">
        <f>"01125"</f>
        <v>01125</v>
      </c>
      <c r="C1132" s="22" t="str">
        <f t="shared" si="17"/>
        <v>'1125.HK'</v>
      </c>
      <c r="D1132" s="22" t="s">
        <v>3205</v>
      </c>
      <c r="E1132" s="22" t="s">
        <v>1028</v>
      </c>
      <c r="F1132" s="22">
        <v>1026203673.3</v>
      </c>
      <c r="G1132" s="22">
        <v>9</v>
      </c>
      <c r="H1132" s="22" t="s">
        <v>3206</v>
      </c>
    </row>
    <row r="1133" spans="1:8" x14ac:dyDescent="0.35">
      <c r="A1133" s="22" t="s">
        <v>851</v>
      </c>
      <c r="B1133" s="22" t="str">
        <f>"02170"</f>
        <v>02170</v>
      </c>
      <c r="C1133" s="22" t="str">
        <f t="shared" si="17"/>
        <v>'2170.HK'</v>
      </c>
      <c r="D1133" s="22" t="s">
        <v>3207</v>
      </c>
      <c r="E1133" s="22" t="s">
        <v>941</v>
      </c>
      <c r="F1133" s="22">
        <v>1025722500</v>
      </c>
      <c r="G1133" s="22">
        <v>14</v>
      </c>
      <c r="H1133" s="22" t="s">
        <v>3208</v>
      </c>
    </row>
    <row r="1134" spans="1:8" x14ac:dyDescent="0.35">
      <c r="A1134" s="22" t="s">
        <v>851</v>
      </c>
      <c r="B1134" s="22" t="str">
        <f>"00334"</f>
        <v>00334</v>
      </c>
      <c r="C1134" s="22" t="str">
        <f t="shared" si="17"/>
        <v>'0334.HK'</v>
      </c>
      <c r="D1134" s="22" t="s">
        <v>3209</v>
      </c>
      <c r="E1134" s="22" t="s">
        <v>1152</v>
      </c>
      <c r="F1134" s="22">
        <v>1025439345.5650001</v>
      </c>
      <c r="G1134" s="22">
        <v>10</v>
      </c>
      <c r="H1134" s="22" t="s">
        <v>3210</v>
      </c>
    </row>
    <row r="1135" spans="1:8" x14ac:dyDescent="0.35">
      <c r="A1135" s="22" t="s">
        <v>851</v>
      </c>
      <c r="B1135" s="22" t="str">
        <f>"00827"</f>
        <v>00827</v>
      </c>
      <c r="C1135" s="22" t="str">
        <f t="shared" si="17"/>
        <v>'0827.HK'</v>
      </c>
      <c r="D1135" s="22" t="s">
        <v>3211</v>
      </c>
      <c r="E1135" s="22" t="s">
        <v>1903</v>
      </c>
      <c r="F1135" s="22">
        <v>1024767241.83</v>
      </c>
      <c r="G1135" s="22">
        <v>2</v>
      </c>
      <c r="H1135" s="22" t="s">
        <v>3212</v>
      </c>
    </row>
    <row r="1136" spans="1:8" x14ac:dyDescent="0.35">
      <c r="A1136" s="22" t="s">
        <v>851</v>
      </c>
      <c r="B1136" s="22" t="str">
        <f>"00225"</f>
        <v>00225</v>
      </c>
      <c r="C1136" s="22" t="str">
        <f t="shared" si="17"/>
        <v>'0225.HK'</v>
      </c>
      <c r="D1136" s="22" t="s">
        <v>3213</v>
      </c>
      <c r="E1136" s="22" t="s">
        <v>1028</v>
      </c>
      <c r="F1136" s="22">
        <v>1024668280.5</v>
      </c>
      <c r="G1136" s="22">
        <v>10</v>
      </c>
      <c r="H1136" s="22" t="s">
        <v>3214</v>
      </c>
    </row>
    <row r="1137" spans="1:8" x14ac:dyDescent="0.35">
      <c r="A1137" s="22" t="s">
        <v>851</v>
      </c>
      <c r="B1137" s="22" t="str">
        <f>"00910"</f>
        <v>00910</v>
      </c>
      <c r="C1137" s="22" t="str">
        <f t="shared" si="17"/>
        <v>'0910.HK'</v>
      </c>
      <c r="D1137" s="22" t="s">
        <v>3215</v>
      </c>
      <c r="E1137" s="22" t="s">
        <v>924</v>
      </c>
      <c r="F1137" s="22">
        <v>1022729716.7460001</v>
      </c>
      <c r="G1137" s="22">
        <v>5</v>
      </c>
      <c r="H1137" s="22" t="s">
        <v>3216</v>
      </c>
    </row>
    <row r="1138" spans="1:8" x14ac:dyDescent="0.35">
      <c r="A1138" s="22" t="s">
        <v>851</v>
      </c>
      <c r="B1138" s="22" t="str">
        <f>"02309"</f>
        <v>02309</v>
      </c>
      <c r="C1138" s="22" t="str">
        <f t="shared" si="17"/>
        <v>'2309.HK'</v>
      </c>
      <c r="D1138" s="22" t="s">
        <v>3217</v>
      </c>
      <c r="E1138" s="22" t="s">
        <v>1744</v>
      </c>
      <c r="F1138" s="22">
        <v>1022316920.924</v>
      </c>
      <c r="G1138" s="22">
        <v>3</v>
      </c>
      <c r="H1138" s="22" t="s">
        <v>3218</v>
      </c>
    </row>
    <row r="1139" spans="1:8" x14ac:dyDescent="0.35">
      <c r="A1139" s="22" t="s">
        <v>851</v>
      </c>
      <c r="B1139" s="22" t="str">
        <f>"01756"</f>
        <v>01756</v>
      </c>
      <c r="C1139" s="22" t="str">
        <f t="shared" si="17"/>
        <v>'1756.HK'</v>
      </c>
      <c r="D1139" s="22" t="s">
        <v>3219</v>
      </c>
      <c r="E1139" s="22" t="s">
        <v>1270</v>
      </c>
      <c r="F1139" s="22">
        <v>1020000000</v>
      </c>
      <c r="G1139" s="22">
        <v>22</v>
      </c>
      <c r="H1139" s="22" t="s">
        <v>3220</v>
      </c>
    </row>
    <row r="1140" spans="1:8" x14ac:dyDescent="0.35">
      <c r="A1140" s="22" t="s">
        <v>851</v>
      </c>
      <c r="B1140" s="22" t="str">
        <f>"01652"</f>
        <v>01652</v>
      </c>
      <c r="C1140" s="22" t="str">
        <f t="shared" si="17"/>
        <v>'1652.HK'</v>
      </c>
      <c r="D1140" s="22" t="s">
        <v>3221</v>
      </c>
      <c r="E1140" s="22" t="s">
        <v>969</v>
      </c>
      <c r="F1140" s="22">
        <v>1016308260</v>
      </c>
      <c r="G1140" s="22">
        <v>5</v>
      </c>
      <c r="H1140" s="22" t="s">
        <v>3222</v>
      </c>
    </row>
    <row r="1141" spans="1:8" x14ac:dyDescent="0.35">
      <c r="A1141" s="22" t="s">
        <v>851</v>
      </c>
      <c r="B1141" s="22" t="str">
        <f>"00976"</f>
        <v>00976</v>
      </c>
      <c r="C1141" s="22" t="str">
        <f t="shared" si="17"/>
        <v>'0976.HK'</v>
      </c>
      <c r="D1141" s="22" t="s">
        <v>3223</v>
      </c>
      <c r="E1141" s="22" t="s">
        <v>1316</v>
      </c>
      <c r="F1141" s="22">
        <v>1011245943.33</v>
      </c>
      <c r="G1141" s="22">
        <v>19</v>
      </c>
      <c r="H1141" s="22" t="s">
        <v>3224</v>
      </c>
    </row>
    <row r="1142" spans="1:8" x14ac:dyDescent="0.35">
      <c r="A1142" s="22" t="s">
        <v>851</v>
      </c>
      <c r="B1142" s="22" t="str">
        <f>"00156"</f>
        <v>00156</v>
      </c>
      <c r="C1142" s="22" t="str">
        <f t="shared" si="17"/>
        <v>'0156.HK'</v>
      </c>
      <c r="D1142" s="22" t="s">
        <v>3225</v>
      </c>
      <c r="E1142" s="22" t="s">
        <v>981</v>
      </c>
      <c r="F1142" s="22">
        <v>1010560398.76</v>
      </c>
      <c r="G1142" s="22">
        <v>8</v>
      </c>
      <c r="H1142" s="22" t="s">
        <v>3226</v>
      </c>
    </row>
    <row r="1143" spans="1:8" x14ac:dyDescent="0.35">
      <c r="A1143" s="22" t="s">
        <v>851</v>
      </c>
      <c r="B1143" s="22" t="str">
        <f>"00528"</f>
        <v>00528</v>
      </c>
      <c r="C1143" s="22" t="str">
        <f t="shared" si="17"/>
        <v>'0528.HK'</v>
      </c>
      <c r="D1143" s="22" t="s">
        <v>3227</v>
      </c>
      <c r="E1143" s="22" t="s">
        <v>1914</v>
      </c>
      <c r="F1143" s="22">
        <v>1007484800</v>
      </c>
      <c r="G1143" s="22">
        <v>12</v>
      </c>
      <c r="H1143" s="22" t="s">
        <v>3228</v>
      </c>
    </row>
    <row r="1144" spans="1:8" x14ac:dyDescent="0.35">
      <c r="A1144" s="22" t="s">
        <v>851</v>
      </c>
      <c r="B1144" s="22" t="str">
        <f>"09928"</f>
        <v>09928</v>
      </c>
      <c r="C1144" s="22" t="str">
        <f t="shared" si="17"/>
        <v>'9928.HK'</v>
      </c>
      <c r="D1144" s="22" t="s">
        <v>3229</v>
      </c>
      <c r="E1144" s="22" t="s">
        <v>1104</v>
      </c>
      <c r="F1144" s="22">
        <v>1005386201.9400001</v>
      </c>
      <c r="G1144" s="22">
        <v>59</v>
      </c>
      <c r="H1144" s="22" t="s">
        <v>3230</v>
      </c>
    </row>
    <row r="1145" spans="1:8" x14ac:dyDescent="0.35">
      <c r="A1145" s="22" t="s">
        <v>851</v>
      </c>
      <c r="B1145" s="22" t="str">
        <f>"06118"</f>
        <v>06118</v>
      </c>
      <c r="C1145" s="22" t="str">
        <f t="shared" si="17"/>
        <v>'6118.HK'</v>
      </c>
      <c r="D1145" s="22" t="s">
        <v>3231</v>
      </c>
      <c r="E1145" s="22" t="s">
        <v>941</v>
      </c>
      <c r="F1145" s="22">
        <v>1004660720</v>
      </c>
      <c r="G1145" s="22">
        <v>5</v>
      </c>
      <c r="H1145" s="22" t="s">
        <v>3232</v>
      </c>
    </row>
    <row r="1146" spans="1:8" x14ac:dyDescent="0.35">
      <c r="A1146" s="22" t="s">
        <v>851</v>
      </c>
      <c r="B1146" s="22" t="str">
        <f>"02369"</f>
        <v>02369</v>
      </c>
      <c r="C1146" s="22" t="str">
        <f t="shared" si="17"/>
        <v>'2369.HK'</v>
      </c>
      <c r="D1146" s="22" t="s">
        <v>3233</v>
      </c>
      <c r="E1146" s="22" t="s">
        <v>938</v>
      </c>
      <c r="F1146" s="22">
        <v>1001042572.715</v>
      </c>
      <c r="G1146" s="22">
        <v>13</v>
      </c>
      <c r="H1146" s="22" t="s">
        <v>3234</v>
      </c>
    </row>
    <row r="1148" spans="1:8" x14ac:dyDescent="0.35">
      <c r="A1148" s="22" t="s">
        <v>3235</v>
      </c>
    </row>
    <row r="1150" spans="1:8" x14ac:dyDescent="0.35">
      <c r="C1150" s="22" t="str">
        <f>ConcatDelim(C2:C1146,",")</f>
        <v>'0700.HK','9988.HK','1398.HK','0939.HK','3968.HK','0941.HK','3690.HK','1299.HK','0005.HK','2318.HK','1288.HK','3988.HK','9618.HK','0857.HK','1211.HK','6288.HK','9633.HK','0883.HK','1880.HK','0386.HK','1658.HK','1088.HK','0388.HK','9999.HK','2628.HK','3328.HK','1876.HK','9888.HK','1024.HK','0016.HK','2378.HK','2899.HK','0728.HK','2388.HK','2020.HK','1810.HK','2269.HK','0945.HK','1109.HK','0066.HK','2359.HK','6690.HK','0011.HK','0267.HK','0027.HK','6030.HK','0688.HK','6618.HK','1928.HK','2057.HK','6160.HK','2331.HK','9987.HK','0001.HK','2202.HK','0291.HK','2015.HK','1113.HK','9961.HK','0998.HK','2888.HK','2601.HK','1929.HK','2328.HK','0669.HK','0762.HK','0960.HK','0788.HK','0914.HK','2319.HK','0002.HK','2423.HK','1997.HK','0003.HK','9866.HK','0012.HK','2313.HK','0981.HK','6818.HK','2688.HK','1919.HK','6862.HK','0823.HK','1972.HK','1988.HK','0175.HK','1772.HK','1171.HK','1913.HK','1339.HK','1179.HK','0168.HK','2382.HK','0390.HK','0753.HK','1038.HK','2618.HK','0881.HK','1093.HK','9626.HK','0019.HK','1055.HK','1816.HK','9696.HK','1209.HK','2333.HK','2338.HK','0316.HK','0006.HK','1766.HK','0241.HK','3692.HK','3606.HK','1177.HK','0916.HK','1776.HK','1898.HK','0763.HK','0083.HK','3993.HK','3347.HK','0836.HK','0968.HK','0322.HK','6886.HK','0992.HK','2611.HK','0087.HK','2007.HK','1821.HK','6823.HK','0020.HK','6969.HK','3908.HK','9868.HK','1378.HK','0101.HK','0004.HK','1193.HK','2196.HK','1698.HK','1787.HK','6099.HK','3759.HK','1186.HK','6098.HK','0902.HK','1099.HK','0268.HK','0151.HK','6837.HK','0384.HK','1800.HK','6963.HK','6186.HK','1336.HK','2602.HK','0670.HK','0868.HK','0486.HK','0288.HK','1066.HK','2016.HK','2600.HK','0285.HK','0017.HK','1548.HK','2238.HK','3323.HK','3898.HK','0293.HK','0656.HK','0270.HK','1801.HK','3800.HK','6066.HK','2066.HK','0696.HK','2607.HK','1797.HK','9889.HK','0135.HK','3799.HK','1128.HK','9901.HK','1044.HK','1308.HK','2588.HK','2638.HK','0144.HK','2883.HK','2380.HK','0247.HK','1072.HK','1585.HK','0780.HK','3311.HK','6821.HK','1359.HK','3320.HK','0358.HK','3668.HK','6865.HK','3998.HK','0853.HK','9926.HK','6689.HK','6110.HK','6881.HK','0489.HK','3888.HK','1877.HK','3996.HK','6199.HK','1908.HK','0874.HK','2282.HK','9898.HK','6806.HK','0973.HK','1618.HK','6078.HK','1347.HK','0177.HK','3931.HK','0966.HK','0412.HK','2367.HK','2689.HK','3698.HK','1882.HK','0220.HK','0880.HK','9863.HK','2799.HK','3948.HK','1157.HK','1071.HK','0772.HK','0392.HK','9995.HK','2039.HK','6060.HK','3958.HK','2208.HK','3918.HK','1691.HK','9698.HK','9922.HK','3808.HK','2518.HK','0586.HK','6993.HK','1999.HK','3618.HK','0867.HK','0123.HK','1551.HK','1138.HK','1818.HK','9992.HK','1910.HK','1579.HK','2252.HK','1313.HK','2096.HK','2669.HK','3900.HK','9668.HK','3331.HK','6660.HK','0148.HK','2727.HK','2357.HK','0008.HK','3969.HK','6049.HK','1888.HK','9896.HK','0014.HK','0576.HK','0659.HK','0694.HK','1385.HK','3360.HK','3660.HK','6808.HK','2128.HK','0683.HK','0023.HK','9969.HK','0636.HK','0631.HK','6198.HK','9985.HK','0425.HK','1114.HK','2245.HK','0991.HK','1833.HK','9688.HK','1513.HK','6178.HK','0839.HK','9877.HK','0069.HK','1216.HK','6190.HK','0817.HK','0522.HK','1368.HK','0754.HK','6127.HK','1268.HK','0053.HK','0354.HK','1508.HK','0257.HK','0013.HK','1199.HK','2018.HK','0552.HK','9878.HK','0347.HK','1030.HK','1799.HK','9869.HK','3396.HK','0371.HK','0467.HK','1530.HK','6699.HK','0136.HK','0189.HK','2285.HK','3868.HK','0010.HK','0416.HK','6680.HK','1951.HK','6698.HK','0598.HK','2778.HK','6655.HK','0570.HK','3866.HK','2013.HK','0152.HK','1252.HK','1735.HK','1208.HK','0551.HK','0345.HK','2869.HK','1798.HK','1958.HK','9899.HK','3633.HK','2880.HK','6185.HK','3990.HK','1563.HK','0512.HK','1060.HK','0579.HK','9993.HK','3899.HK','1448.HK','2386.HK','9886.HK','2162.HK','2139.HK','6088.HK','2314.HK','0548.HK','0338.HK','1258.HK','1121.HK','2005.HK','0323.HK','0909.HK','1992.HK','1963.HK','0314.HK','2866.HK','0590.HK','3319.HK','0697.HK','0045.HK','2343.HK','0956.HK','0921.HK','1907.HK','0200.HK','2150.HK','1458.HK','2172.HK','1516.HK','1316.HK','2186.HK','0667.HK','1606.HK','0336.HK','2255.HK','0041.HK','1196.HK','0303.HK','2121.HK','0639.HK','1083.HK','1675.HK','0564.HK','0778.HK','2157.HK','0081.HK','2179.HK','9979.HK','0546.HK','0604.HK','1302.HK','2145.HK','1811.HK','1578.HK','2273.HK','0710.HK','1456.HK','0357.HK','3669.HK','6122.HK','2009.HK','1528.HK','8032.HK','0855.HK','0884.HK','1789.HK','9997.HK','2400.HK','0363.HK','0317.HK','0995.HK','0990.HK','0535.HK','1112.HK','1896.HK','6869.HK','9966.HK','1244.HK','1381.HK','2315.HK','0525.HK','6955.HK','1033.HK','1883.HK','1686.HK','2325.HK','0165.HK','2291.HK','3383.HK','0142.HK','0308.HK','0520.HK','2138.HK','3613.HK','1839.HK','0819.HK','2155.HK','9923.HK','6196.HK','2099.HK','3933.HK','9666.HK','9959.HK','0405.HK','2171.HK','0179.HK','1415.HK','0777.HK','0460.HK','2666.HK','0034.HK','1610.HK','0751.HK','3983.HK','1967.HK','0173.HK','0341.HK','0558.HK','2299.HK','0071.HK','3377.HK','1983.HK','0826.HK','9858.HK','6606.HK','3738.HK','1476.HK','0272.HK','0120.HK','2356.HK','1271.HK','9989.HK','2391.HK','1995.HK','6055.HK','1070.HK','1117.HK','0506.HK','1755.HK','0650.HK','6686.HK','2407.HK','0775.HK','1053.HK','1224.HK','1812.HK','1717.HK','1212.HK','3308.HK','1515.HK','1666.HK','9955.HK','0327.HK','1052.HK','6610.HK','0410.HK','3877.HK','2362.HK','2777.HK','0934.HK','0116.HK','6929.HK','2232.HK','0873.HK','9857.HK','2696.HK','6855.HK','1788.HK','3709.HK','1475.HK','0691.HK','1250.HK','9699.HK','1361.HK','3380.HK','0119.HK','9638.HK','2038.HK','2390.HK','0797.HK','0297.HK','1238.HK','0856.HK','9996.HK','1477.HK','8446.HK','2160.HK','2858.HK','1310.HK','0811.HK','1860.HK','1668.HK','1357.HK','0373.HK','2877.HK','0861.HK','0095.HK','7001.HK','2158.HK','0182.HK','1905.HK','2500.HK','6826.HK','1813.HK','1890.HK','0737.HK','6069.HK','3309.HK','3369.HK','1164.HK','2279.HK','1133.HK','2558.HK','2192.HK','0440.HK','2678.HK','0587.HK','9658.HK','1521.HK','1858.HK','3339.HK','1468.HK','0743.HK','6600.HK','0215.HK','2001.HK','0665.HK','2686.HK','1176.HK','0086.HK','1558.HK','0658.HK','1836.HK','1916.HK','0028.HK','2156.HK','0178.HK','2616.HK','1952.HK','6626.HK','1765.HK','2148.HK','0435.HK','1773.HK','0107.HK','0719.HK','6868.HK','0806.HK','0746.HK','6639.HK','3316.HK','0737.HK','2137.HK','9956.HK','1119.HK','1108.HK','0581.HK','6669.HK','1942.HK','6608.HK','1230.HK','1375.HK','0315.HK','0062.HK','2068.HK','1622.HK','0051.HK','1576.HK','1830.HK','0242.HK','0256.HK','1478.HK','1183.HK','1672.HK','1198.HK','0686.HK','1065.HK','2257.HK','0035.HK','1137.HK','2098.HK','0302.HK','1277.HK','2233.HK','1866.HK','0612.HK','0127.HK','3306.HK','6100.HK','0906.HK','6616.HK','1501.HK','0369.HK','0207.HK','1763.HK','1911.HK','1596.HK','6989.HK','0596.HK','9939.HK','1234.HK','1881.HK','1760.HK','1696.HK','1966.HK','2199.HK','0038.HK','2190.HK','6830.HK','1709.HK','9909.HK','1733.HK','1286.HK','0376.HK','1257.HK','1969.HK','6889.HK','1003.HK','2235.HK','2425.HK','0289.HK','0032.HK','9983.HK','2436.HK','3813.HK','8328.HK','0493.HK','1167.HK','1857.HK','2169.HK','6922.HK','0382.HK','0732.HK','1600.HK','0830.HK','8083.HK','2552.HK','0606.HK','1031.HK','1809.HK','2342.HK','2163.HK','6988.HK','1817.HK','1382.HK','1708.HK','1140.HK','0816.HK','0517.HK','1270.HK','0098.HK','0480.HK','0693.HK','1426.HK','6633.HK','6138.HK','3913.HK','1330.HK','2217.HK','1921.HK','3382.HK','8137.HK','6996.HK','0799.HK','1635.HK','1873.HK','1463.HK','1428.HK','2197.HK','0662.HK','1681.HK','0553.HK','1205.HK','0105.HK','0026.HK','9990.HK','1785.HK','2322.HK','1848.HK','0258.HK','1855.HK','2219.HK','0810.HK','0563.HK','0108.HK','1233.HK','0989.HK','2337.HK','0808.HK','0588.HK','3318.HK','1628.HK','1084.HK','0798.HK','1050.HK','2448.HK','1098.HK','6667.HK','0259.HK','1034.HK','1272.HK','0607.HK','2215.HK','0305.HK','0050.HK','1345.HK','2420.HK','8279.HK','0078.HK','0580.HK','6677.HK','3833.HK','2772.HK','2225.HK','0194.HK','2385.HK','1651.HK','0807.HK','0158.HK','1729.HK','0709.HK','1450.HK','0978.HK','1970.HK','1432.HK','9960.HK','0085.HK','0185.HK','1599.HK','1899.HK','3393.HK','0088.HK','1223.HK','1680.HK','0626.HK','1660.HK','1931.HK','1231.HK','1122.HK','3611.HK','0411.HK','2383.HK','3886.HK','0400.HK','0163.HK','9991.HK','0331.HK','0846.HK','1442.HK','2722.HK','1543.HK','6978.HK','0330.HK','1184.HK','6601.HK','2191.HK','0818.HK','2361.HK','2130.HK','2142.HK','1061.HK','9616.HK','0750.HK','2019.HK','0975.HK','3718.HK','0860.HK','3989.HK','3600.HK','1523.HK','1503.HK','9911.HK','1005.HK','6819.HK','0029.HK','1571.HK','1090.HK','6928.HK','2418.HK','2218.HK','0568.HK','3700.HK','2167.HK','9982.HK','1593.HK','0279.HK','0895.HK','1981.HK','2002.HK','2368.HK','1091.HK','2246.HK','6913.HK','0025.HK','6668.HK','1373.HK','2207.HK','2256.HK','1321.HK','6909.HK','2886.HK','6820.HK','2360.HK','1569.HK','2355.HK','9913.HK','9977.HK','1948.HK','0337.HK','2101.HK','1221.HK','0398.HK','1341.HK','0900.HK','0617.HK','0251.HK','2231.HK','0776.HK','0468.HK','2276.HK','6093.HK','2422.HK','0878.HK','0931.HK','3818.HK','0419.HK','1045.HK','6858.HK','1725.HK','2698.HK','2392.HK','0842.HK','3390.HK','1085.HK','2187.HK','6158.HK','0408.HK','0329.HK','2348.HK','0951.HK','1665.HK','1728.HK','3301.HK','1263.HK','0609.HK','1141.HK','3681.HK','1820.HK','3836.HK','2126.HK','2633.HK','1846.HK','0286.HK','1697.HK','2297.HK','0695.HK','1126.HK','0321.HK','2181.HK','0052.HK','3639.HK','2250.HK','2768.HK','1935.HK','0139.HK','3798.HK','2779.HK','1469.HK','0222.HK','2008.HK','0438.HK','2660.HK','6638.HK','0716.HK','0187.HK','0230.HK','0838.HK','0255.HK','1996.HK','0610.HK','6908.HK','0542.HK','0622.HK','1719.HK','0266.HK','2198.HK','3903.HK','1875.HK','0511.HK','1713.HK','1588.HK','1795.HK','6622.HK','0882.HK','0875.HK','1702.HK','1977.HK','3939.HK','1525.HK','0982.HK','0335.HK','0603.HK','0113.HK','3336.HK','6885.HK','0752.HK','0488.HK','0451.HK','6090.HK','2878.HK','6878.HK','1727.HK','3788.HK','3300.HK','1104.HK','2237.HK','3329.HK','0169.HK','6609.HK','0064.HK','0326.HK','0159.HK','2251.HK','9936.HK','9906.HK','0147.HK','0547.HK','2153.HK','3768.HK','2185.HK','0825.HK','9600.HK','9986.HK','1979.HK','6896.HK','2180.HK','8053.HK','0160.HK','0672.HK','3678.HK','0809.HK','1656.HK','0131.HK','6998.HK','0202.HK','0533.HK','0018.HK','2427.HK','6628.HK','0226.HK','3838.HK','0863.HK','3882.HK','0093.HK','0273.HK','2003.HK','6828.HK','2136.HK','0124.HK','2283.HK','1986.HK','1370.HK','0661.HK','0896.HK','0592.HK','8395.HK','0196.HK','1057.HK','3315.HK','1366.HK','0832.HK','0031.HK','1293.HK','1029.HK','0360.HK','1915.HK','0133.HK','6661.HK','1561.HK','0340.HK','3389.HK','2599.HK','1745.HK','6811.HK','1583.HK','0497.HK','6968.HK','1608.HK','2100.HK','0887.HK','2216.HK','0560.HK','0726.HK','2327.HK','1332.HK','2111.HK','0698.HK','2236.HK','9908.HK','6136.HK','2399.HK','2166.HK','0733.HK','2488.HK','0582.HK','1748.HK','1168.HK','8391.HK','1738.HK','0367.HK','0938.HK','1115.HK','0635.HK','0057.HK','0952.HK','0306.HK','1499.HK','0848.HK','0089.HK','0769.HK','0393.HK','1782.HK','3337.HK','1349.HK','0228.HK','1982.HK','1488.HK','1741.HK','7836.HK','2798.HK','3688.HK','0420.HK','0201.HK','0157.HK','3658.HK','8037.HK','3680.HK','2738.HK','1965.HK','2302.HK','3303.HK','0082.HK','2329.HK','0346.HK','1082.HK','1689.HK','1290.HK','0240.HK','1431.HK','1837.HK','2112.HK','2048.HK','6805.HK','0993.HK','1502.HK','1228.HK','0498.HK','0374.HK','1086.HK','1786.HK','0471.HK','1125.HK','2170.HK','0334.HK','0827.HK','0225.HK','0910.HK','2309.HK','1756.HK','1652.HK','0976.HK','0156.HK','0528.HK','9928.HK','6118.HK','2369.HK'</v>
      </c>
    </row>
    <row r="1152" spans="1:8" x14ac:dyDescent="0.35">
      <c r="C1152" s="23" t="s">
        <v>3236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8592A5-6C1F-4C14-A243-66BEA4D46520}">
  <dimension ref="A1:L860"/>
  <sheetViews>
    <sheetView topLeftCell="A814" workbookViewId="0">
      <selection activeCell="E851" sqref="E851"/>
    </sheetView>
  </sheetViews>
  <sheetFormatPr defaultRowHeight="14.5" x14ac:dyDescent="0.35"/>
  <cols>
    <col min="1" max="2" width="8.7265625" style="24"/>
    <col min="3" max="3" width="10.08984375" style="24" bestFit="1" customWidth="1"/>
    <col min="4" max="4" width="8.7265625" style="24"/>
    <col min="5" max="5" width="28.08984375" style="24" bestFit="1" customWidth="1"/>
    <col min="6" max="16384" width="8.7265625" style="24"/>
  </cols>
  <sheetData>
    <row r="1" spans="1:12" x14ac:dyDescent="0.35">
      <c r="A1" s="24" t="s">
        <v>844</v>
      </c>
      <c r="B1" s="24" t="s">
        <v>845</v>
      </c>
      <c r="D1" s="24" t="s">
        <v>846</v>
      </c>
      <c r="E1" s="24" t="s">
        <v>847</v>
      </c>
      <c r="F1" s="24" t="s">
        <v>3237</v>
      </c>
      <c r="G1" s="24" t="s">
        <v>3238</v>
      </c>
      <c r="H1" s="24" t="s">
        <v>3239</v>
      </c>
      <c r="I1" s="24" t="s">
        <v>3240</v>
      </c>
      <c r="J1" s="24" t="s">
        <v>3241</v>
      </c>
      <c r="K1" s="24" t="s">
        <v>849</v>
      </c>
      <c r="L1" s="24" t="s">
        <v>850</v>
      </c>
    </row>
    <row r="2" spans="1:12" x14ac:dyDescent="0.35">
      <c r="A2" s="24" t="s">
        <v>3242</v>
      </c>
      <c r="B2" s="24" t="str">
        <f>"301338"</f>
        <v>301338</v>
      </c>
      <c r="C2" s="24" t="str">
        <f>CONCATENATE("'",B2,IF(A2="sh",".SS'",".SZ'"))</f>
        <v>'301338.SZ'</v>
      </c>
      <c r="D2" s="24" t="s">
        <v>3243</v>
      </c>
      <c r="E2" s="24" t="s">
        <v>3244</v>
      </c>
      <c r="F2" s="24">
        <v>2.9998999999999998</v>
      </c>
      <c r="G2" s="24">
        <v>4105520000</v>
      </c>
      <c r="H2" s="24">
        <v>3.7332000000000001</v>
      </c>
      <c r="I2" s="24">
        <v>3.0354000000000001</v>
      </c>
      <c r="J2" s="24">
        <v>1.9457</v>
      </c>
      <c r="K2" s="24">
        <v>11</v>
      </c>
      <c r="L2" s="24" t="s">
        <v>3245</v>
      </c>
    </row>
    <row r="3" spans="1:12" x14ac:dyDescent="0.35">
      <c r="A3" s="24" t="s">
        <v>3246</v>
      </c>
      <c r="B3" s="24" t="str">
        <f>"688322"</f>
        <v>688322</v>
      </c>
      <c r="C3" s="24" t="str">
        <f t="shared" ref="C3:C66" si="0">CONCATENATE("'",B3,IF(A3="sh",".SS'",".SZ'"))</f>
        <v>'688322.SS'</v>
      </c>
      <c r="D3" s="24" t="s">
        <v>3247</v>
      </c>
      <c r="E3" s="24" t="s">
        <v>3248</v>
      </c>
      <c r="F3" s="24">
        <v>2.9982000000000002</v>
      </c>
      <c r="G3" s="24">
        <v>9900024750</v>
      </c>
      <c r="H3" s="24">
        <v>23.375</v>
      </c>
      <c r="I3" s="24">
        <v>21.8903</v>
      </c>
      <c r="J3" s="24">
        <v>10.3957</v>
      </c>
      <c r="K3" s="24">
        <v>11</v>
      </c>
      <c r="L3" s="24" t="s">
        <v>3249</v>
      </c>
    </row>
    <row r="4" spans="1:12" x14ac:dyDescent="0.35">
      <c r="A4" s="24" t="s">
        <v>3242</v>
      </c>
      <c r="B4" s="24" t="str">
        <f>"001316"</f>
        <v>001316</v>
      </c>
      <c r="C4" s="24" t="str">
        <f t="shared" si="0"/>
        <v>'001316.SZ'</v>
      </c>
      <c r="D4" s="24" t="s">
        <v>3250</v>
      </c>
      <c r="E4" s="24" t="s">
        <v>3251</v>
      </c>
      <c r="F4" s="24">
        <v>2.9931999999999999</v>
      </c>
      <c r="G4" s="24">
        <v>3092000000</v>
      </c>
      <c r="H4" s="24">
        <v>11.944699999999999</v>
      </c>
      <c r="I4" s="24">
        <v>10.0831</v>
      </c>
      <c r="J4" s="24">
        <v>4.6463999999999999</v>
      </c>
      <c r="K4" s="24">
        <v>18</v>
      </c>
      <c r="L4" s="24" t="s">
        <v>3252</v>
      </c>
    </row>
    <row r="5" spans="1:12" x14ac:dyDescent="0.35">
      <c r="A5" s="24" t="s">
        <v>3242</v>
      </c>
      <c r="B5" s="24" t="str">
        <f>"002617"</f>
        <v>002617</v>
      </c>
      <c r="C5" s="24" t="str">
        <f t="shared" si="0"/>
        <v>'002617.SZ'</v>
      </c>
      <c r="D5" s="24" t="s">
        <v>3253</v>
      </c>
      <c r="E5" s="24" t="s">
        <v>3254</v>
      </c>
      <c r="F5" s="24">
        <v>2.9904999999999999</v>
      </c>
      <c r="G5" s="24">
        <v>18326246255.59</v>
      </c>
      <c r="H5" s="24">
        <v>3.1233</v>
      </c>
      <c r="I5" s="24">
        <v>2.8721999999999999</v>
      </c>
      <c r="J5" s="24">
        <v>1.046</v>
      </c>
      <c r="K5" s="24">
        <v>342</v>
      </c>
      <c r="L5" s="24" t="s">
        <v>3255</v>
      </c>
    </row>
    <row r="6" spans="1:12" x14ac:dyDescent="0.35">
      <c r="A6" s="24" t="s">
        <v>3242</v>
      </c>
      <c r="B6" s="24" t="str">
        <f>"001339"</f>
        <v>001339</v>
      </c>
      <c r="C6" s="24" t="str">
        <f t="shared" si="0"/>
        <v>'001339.SZ'</v>
      </c>
      <c r="D6" s="24" t="s">
        <v>3256</v>
      </c>
      <c r="E6" s="24" t="s">
        <v>3257</v>
      </c>
      <c r="F6" s="24">
        <v>2.9904000000000002</v>
      </c>
      <c r="G6" s="24">
        <v>5475214050</v>
      </c>
      <c r="H6" s="24">
        <v>2.1259999999999999</v>
      </c>
      <c r="I6" s="24">
        <v>1.3173999999999999</v>
      </c>
      <c r="J6" s="24">
        <v>0.80300000000000005</v>
      </c>
      <c r="K6" s="24">
        <v>12</v>
      </c>
      <c r="L6" s="24" t="s">
        <v>3258</v>
      </c>
    </row>
    <row r="7" spans="1:12" x14ac:dyDescent="0.35">
      <c r="A7" s="24" t="s">
        <v>3242</v>
      </c>
      <c r="B7" s="24" t="str">
        <f>"002247"</f>
        <v>002247</v>
      </c>
      <c r="C7" s="24" t="str">
        <f t="shared" si="0"/>
        <v>'002247.SZ'</v>
      </c>
      <c r="D7" s="24" t="s">
        <v>3259</v>
      </c>
      <c r="E7" s="24" t="s">
        <v>3260</v>
      </c>
      <c r="F7" s="24">
        <v>2.9876</v>
      </c>
      <c r="G7" s="24">
        <v>2186736025.9299998</v>
      </c>
      <c r="H7" s="24">
        <v>1.9532</v>
      </c>
      <c r="I7" s="24">
        <v>1.6540999999999999</v>
      </c>
      <c r="J7" s="24">
        <v>0.91520000000000001</v>
      </c>
      <c r="K7" s="24">
        <v>97</v>
      </c>
      <c r="L7" s="24" t="s">
        <v>3261</v>
      </c>
    </row>
    <row r="8" spans="1:12" x14ac:dyDescent="0.35">
      <c r="A8" s="24" t="s">
        <v>3246</v>
      </c>
      <c r="B8" s="24" t="str">
        <f>"605068"</f>
        <v>605068</v>
      </c>
      <c r="C8" s="24" t="str">
        <f t="shared" si="0"/>
        <v>'605068.SS'</v>
      </c>
      <c r="D8" s="24" t="s">
        <v>3262</v>
      </c>
      <c r="E8" s="24" t="s">
        <v>3263</v>
      </c>
      <c r="F8" s="24">
        <v>2.9870000000000001</v>
      </c>
      <c r="G8" s="24">
        <v>5199635436.6400003</v>
      </c>
      <c r="H8" s="24">
        <v>4.0884999999999998</v>
      </c>
      <c r="I8" s="24">
        <v>3.0083000000000002</v>
      </c>
      <c r="J8" s="24">
        <v>2.1692</v>
      </c>
      <c r="K8" s="24">
        <v>102</v>
      </c>
      <c r="L8" s="24" t="s">
        <v>3264</v>
      </c>
    </row>
    <row r="9" spans="1:12" x14ac:dyDescent="0.35">
      <c r="A9" s="24" t="s">
        <v>3242</v>
      </c>
      <c r="B9" s="24" t="str">
        <f>"300701"</f>
        <v>300701</v>
      </c>
      <c r="C9" s="24" t="str">
        <f t="shared" si="0"/>
        <v>'300701.SZ'</v>
      </c>
      <c r="D9" s="24" t="s">
        <v>3265</v>
      </c>
      <c r="E9" s="24" t="s">
        <v>3248</v>
      </c>
      <c r="F9" s="24">
        <v>2.9756999999999998</v>
      </c>
      <c r="G9" s="24">
        <v>2216700000</v>
      </c>
      <c r="H9" s="24">
        <v>10.0571</v>
      </c>
      <c r="I9" s="24">
        <v>9.0273000000000003</v>
      </c>
      <c r="J9" s="24">
        <v>2.5042</v>
      </c>
      <c r="K9" s="24">
        <v>755</v>
      </c>
      <c r="L9" s="24" t="s">
        <v>3266</v>
      </c>
    </row>
    <row r="10" spans="1:12" x14ac:dyDescent="0.35">
      <c r="A10" s="24" t="s">
        <v>3242</v>
      </c>
      <c r="B10" s="24" t="str">
        <f>"002975"</f>
        <v>002975</v>
      </c>
      <c r="C10" s="24" t="str">
        <f t="shared" si="0"/>
        <v>'002975.SZ'</v>
      </c>
      <c r="D10" s="24" t="s">
        <v>3267</v>
      </c>
      <c r="E10" s="24" t="s">
        <v>3268</v>
      </c>
      <c r="F10" s="24">
        <v>2.9723000000000002</v>
      </c>
      <c r="G10" s="24">
        <v>4645539066.3000002</v>
      </c>
      <c r="H10" s="24">
        <v>5.2968999999999999</v>
      </c>
      <c r="I10" s="24">
        <v>4.3013000000000003</v>
      </c>
      <c r="J10" s="24">
        <v>1.8763000000000001</v>
      </c>
      <c r="K10" s="24">
        <v>306</v>
      </c>
      <c r="L10" s="24" t="s">
        <v>3269</v>
      </c>
    </row>
    <row r="11" spans="1:12" x14ac:dyDescent="0.35">
      <c r="A11" s="24" t="s">
        <v>3242</v>
      </c>
      <c r="B11" s="24" t="str">
        <f>"301212"</f>
        <v>301212</v>
      </c>
      <c r="C11" s="24" t="str">
        <f t="shared" si="0"/>
        <v>'301212.SZ'</v>
      </c>
      <c r="D11" s="24" t="s">
        <v>3270</v>
      </c>
      <c r="E11" s="24" t="s">
        <v>3271</v>
      </c>
      <c r="F11" s="24">
        <v>2.9698000000000002</v>
      </c>
      <c r="G11" s="24">
        <v>3780000000</v>
      </c>
      <c r="H11" s="24">
        <v>3.4142999999999999</v>
      </c>
      <c r="I11" s="24">
        <v>3.1596000000000002</v>
      </c>
      <c r="J11" s="24">
        <v>2.1577000000000002</v>
      </c>
      <c r="K11" s="24">
        <v>12</v>
      </c>
      <c r="L11" s="24" t="s">
        <v>3272</v>
      </c>
    </row>
    <row r="12" spans="1:12" x14ac:dyDescent="0.35">
      <c r="A12" s="24" t="s">
        <v>3246</v>
      </c>
      <c r="B12" s="24" t="str">
        <f>"603023"</f>
        <v>603023</v>
      </c>
      <c r="C12" s="24" t="str">
        <f t="shared" si="0"/>
        <v>'603023.SS'</v>
      </c>
      <c r="D12" s="24" t="s">
        <v>3273</v>
      </c>
      <c r="E12" s="24" t="s">
        <v>3274</v>
      </c>
      <c r="F12" s="24">
        <v>2.9685999999999999</v>
      </c>
      <c r="G12" s="24">
        <v>2270802420.2800002</v>
      </c>
      <c r="H12" s="24">
        <v>30.945799999999998</v>
      </c>
      <c r="I12" s="24">
        <v>25.529299999999999</v>
      </c>
      <c r="J12" s="24">
        <v>22.116499999999998</v>
      </c>
      <c r="K12" s="24">
        <v>156</v>
      </c>
      <c r="L12" s="24" t="s">
        <v>3275</v>
      </c>
    </row>
    <row r="13" spans="1:12" x14ac:dyDescent="0.35">
      <c r="A13" s="24" t="s">
        <v>3246</v>
      </c>
      <c r="B13" s="24" t="str">
        <f>"688110"</f>
        <v>688110</v>
      </c>
      <c r="C13" s="24" t="str">
        <f t="shared" si="0"/>
        <v>'688110.SS'</v>
      </c>
      <c r="D13" s="24" t="s">
        <v>3276</v>
      </c>
      <c r="E13" s="24" t="s">
        <v>3277</v>
      </c>
      <c r="F13" s="24">
        <v>2.9615</v>
      </c>
      <c r="G13" s="24">
        <v>11896518490.200001</v>
      </c>
      <c r="H13" s="24">
        <v>16.971</v>
      </c>
      <c r="I13" s="24">
        <v>13.9343</v>
      </c>
      <c r="J13" s="24">
        <v>11.413399999999999</v>
      </c>
      <c r="K13" s="24">
        <v>47</v>
      </c>
      <c r="L13" s="24" t="s">
        <v>3278</v>
      </c>
    </row>
    <row r="14" spans="1:12" x14ac:dyDescent="0.35">
      <c r="A14" s="24" t="s">
        <v>3242</v>
      </c>
      <c r="B14" s="24" t="str">
        <f>"301149"</f>
        <v>301149</v>
      </c>
      <c r="C14" s="24" t="str">
        <f t="shared" si="0"/>
        <v>'301149.SZ'</v>
      </c>
      <c r="D14" s="24" t="s">
        <v>3279</v>
      </c>
      <c r="E14" s="24" t="s">
        <v>3271</v>
      </c>
      <c r="F14" s="24">
        <v>2.9590000000000001</v>
      </c>
      <c r="G14" s="24">
        <v>4751500198.8999996</v>
      </c>
      <c r="H14" s="24">
        <v>4.4390000000000001</v>
      </c>
      <c r="I14" s="24">
        <v>3.4318</v>
      </c>
      <c r="J14" s="24">
        <v>1.823</v>
      </c>
      <c r="K14" s="24">
        <v>20</v>
      </c>
      <c r="L14" s="24" t="s">
        <v>3280</v>
      </c>
    </row>
    <row r="15" spans="1:12" x14ac:dyDescent="0.35">
      <c r="A15" s="24" t="s">
        <v>3242</v>
      </c>
      <c r="B15" s="24" t="str">
        <f>"300239"</f>
        <v>300239</v>
      </c>
      <c r="C15" s="24" t="str">
        <f t="shared" si="0"/>
        <v>'300239.SZ'</v>
      </c>
      <c r="D15" s="24" t="s">
        <v>3281</v>
      </c>
      <c r="E15" s="24" t="s">
        <v>3282</v>
      </c>
      <c r="F15" s="24">
        <v>2.9584000000000001</v>
      </c>
      <c r="G15" s="24">
        <v>4457958402.3299999</v>
      </c>
      <c r="H15" s="24">
        <v>3.3191000000000002</v>
      </c>
      <c r="I15" s="24">
        <v>2.1636000000000002</v>
      </c>
      <c r="J15" s="24">
        <v>1.0238</v>
      </c>
      <c r="K15" s="24">
        <v>111</v>
      </c>
      <c r="L15" s="24" t="s">
        <v>3283</v>
      </c>
    </row>
    <row r="16" spans="1:12" x14ac:dyDescent="0.35">
      <c r="A16" s="24" t="s">
        <v>3242</v>
      </c>
      <c r="B16" s="24" t="str">
        <f>"301270"</f>
        <v>301270</v>
      </c>
      <c r="C16" s="24" t="str">
        <f t="shared" si="0"/>
        <v>'301270.SZ'</v>
      </c>
      <c r="D16" s="24" t="s">
        <v>3284</v>
      </c>
      <c r="E16" s="24" t="s">
        <v>3285</v>
      </c>
      <c r="F16" s="24">
        <v>2.9584000000000001</v>
      </c>
      <c r="G16" s="24">
        <v>3193000000</v>
      </c>
      <c r="H16" s="24">
        <v>26.4589</v>
      </c>
      <c r="I16" s="24">
        <v>26.322399999999998</v>
      </c>
      <c r="J16" s="24">
        <v>11.242000000000001</v>
      </c>
      <c r="K16" s="24">
        <v>9</v>
      </c>
      <c r="L16" s="24" t="s">
        <v>3286</v>
      </c>
    </row>
    <row r="17" spans="1:12" x14ac:dyDescent="0.35">
      <c r="A17" s="24" t="s">
        <v>3242</v>
      </c>
      <c r="B17" s="24" t="str">
        <f>"002892"</f>
        <v>002892</v>
      </c>
      <c r="C17" s="24" t="str">
        <f t="shared" si="0"/>
        <v>'002892.SZ'</v>
      </c>
      <c r="D17" s="24" t="s">
        <v>3287</v>
      </c>
      <c r="E17" s="24" t="s">
        <v>3288</v>
      </c>
      <c r="F17" s="24">
        <v>2.9571000000000001</v>
      </c>
      <c r="G17" s="24">
        <v>3690026873.5100002</v>
      </c>
      <c r="H17" s="24">
        <v>4.5761000000000003</v>
      </c>
      <c r="I17" s="24">
        <v>3.5402999999999998</v>
      </c>
      <c r="J17" s="24">
        <v>2.0949</v>
      </c>
      <c r="K17" s="24">
        <v>151</v>
      </c>
      <c r="L17" s="24" t="s">
        <v>3289</v>
      </c>
    </row>
    <row r="18" spans="1:12" x14ac:dyDescent="0.35">
      <c r="A18" s="24" t="s">
        <v>3246</v>
      </c>
      <c r="B18" s="24" t="str">
        <f>"605296"</f>
        <v>605296</v>
      </c>
      <c r="C18" s="24" t="str">
        <f t="shared" si="0"/>
        <v>'605296.SS'</v>
      </c>
      <c r="D18" s="24" t="s">
        <v>3290</v>
      </c>
      <c r="E18" s="24" t="s">
        <v>3291</v>
      </c>
      <c r="F18" s="24">
        <v>2.9495</v>
      </c>
      <c r="G18" s="24">
        <v>13107612900</v>
      </c>
      <c r="H18" s="24">
        <v>5.3120000000000003</v>
      </c>
      <c r="I18" s="24">
        <v>3.0678999999999998</v>
      </c>
      <c r="J18" s="24">
        <v>1.577</v>
      </c>
      <c r="K18" s="24">
        <v>77</v>
      </c>
      <c r="L18" s="24" t="s">
        <v>3292</v>
      </c>
    </row>
    <row r="19" spans="1:12" x14ac:dyDescent="0.35">
      <c r="A19" s="24" t="s">
        <v>3242</v>
      </c>
      <c r="B19" s="24" t="str">
        <f>"301200"</f>
        <v>301200</v>
      </c>
      <c r="C19" s="24" t="str">
        <f t="shared" si="0"/>
        <v>'301200.SZ'</v>
      </c>
      <c r="D19" s="24" t="s">
        <v>3293</v>
      </c>
      <c r="E19" s="24" t="s">
        <v>3244</v>
      </c>
      <c r="F19" s="24">
        <v>2.9483999999999999</v>
      </c>
      <c r="G19" s="24">
        <v>16833600000</v>
      </c>
      <c r="H19" s="24">
        <v>5.2135999999999996</v>
      </c>
      <c r="I19" s="24">
        <v>4.3052999999999999</v>
      </c>
      <c r="J19" s="24">
        <v>2.1558999999999999</v>
      </c>
      <c r="K19" s="24">
        <v>34</v>
      </c>
      <c r="L19" s="24" t="s">
        <v>3294</v>
      </c>
    </row>
    <row r="20" spans="1:12" x14ac:dyDescent="0.35">
      <c r="A20" s="24" t="s">
        <v>3242</v>
      </c>
      <c r="B20" s="24" t="str">
        <f>"001238"</f>
        <v>001238</v>
      </c>
      <c r="C20" s="24" t="str">
        <f t="shared" si="0"/>
        <v>'001238.SZ'</v>
      </c>
      <c r="D20" s="24" t="s">
        <v>3295</v>
      </c>
      <c r="E20" s="24" t="s">
        <v>3296</v>
      </c>
      <c r="F20" s="24">
        <v>2.9413</v>
      </c>
      <c r="G20" s="24">
        <v>3209800000</v>
      </c>
      <c r="H20" s="24">
        <v>2.3201000000000001</v>
      </c>
      <c r="I20" s="24">
        <v>1.5262</v>
      </c>
      <c r="J20" s="24">
        <v>1.1846000000000001</v>
      </c>
      <c r="K20" s="24">
        <v>7</v>
      </c>
      <c r="L20" s="24" t="s">
        <v>3297</v>
      </c>
    </row>
    <row r="21" spans="1:12" x14ac:dyDescent="0.35">
      <c r="A21" s="24" t="s">
        <v>3246</v>
      </c>
      <c r="B21" s="24" t="str">
        <f>"600523"</f>
        <v>600523</v>
      </c>
      <c r="C21" s="24" t="str">
        <f t="shared" si="0"/>
        <v>'600523.SS'</v>
      </c>
      <c r="D21" s="24" t="s">
        <v>3298</v>
      </c>
      <c r="E21" s="24" t="s">
        <v>3299</v>
      </c>
      <c r="F21" s="24">
        <v>2.9388999999999998</v>
      </c>
      <c r="G21" s="24">
        <v>8150916211.1999998</v>
      </c>
      <c r="H21" s="24">
        <v>3.7111000000000001</v>
      </c>
      <c r="I21" s="24">
        <v>2.8508</v>
      </c>
      <c r="J21" s="24">
        <v>1.0551999999999999</v>
      </c>
      <c r="K21" s="24">
        <v>113</v>
      </c>
      <c r="L21" s="24" t="s">
        <v>3300</v>
      </c>
    </row>
    <row r="22" spans="1:12" x14ac:dyDescent="0.35">
      <c r="A22" s="24" t="s">
        <v>3246</v>
      </c>
      <c r="B22" s="24" t="str">
        <f>"601958"</f>
        <v>601958</v>
      </c>
      <c r="C22" s="24" t="str">
        <f t="shared" si="0"/>
        <v>'601958.SS'</v>
      </c>
      <c r="D22" s="24" t="s">
        <v>3301</v>
      </c>
      <c r="E22" s="24" t="s">
        <v>3302</v>
      </c>
      <c r="F22" s="24">
        <v>2.9297</v>
      </c>
      <c r="G22" s="24">
        <v>37428611040</v>
      </c>
      <c r="H22" s="24">
        <v>3.9447000000000001</v>
      </c>
      <c r="I22" s="24">
        <v>3.3184999999999998</v>
      </c>
      <c r="J22" s="24">
        <v>1.6993</v>
      </c>
      <c r="K22" s="24">
        <v>274</v>
      </c>
      <c r="L22" s="24" t="s">
        <v>3303</v>
      </c>
    </row>
    <row r="23" spans="1:12" x14ac:dyDescent="0.35">
      <c r="A23" s="24" t="s">
        <v>3242</v>
      </c>
      <c r="B23" s="24" t="str">
        <f>"300251"</f>
        <v>300251</v>
      </c>
      <c r="C23" s="24" t="str">
        <f t="shared" si="0"/>
        <v>'300251.SZ'</v>
      </c>
      <c r="D23" s="24" t="s">
        <v>3304</v>
      </c>
      <c r="E23" s="24" t="s">
        <v>3305</v>
      </c>
      <c r="F23" s="24">
        <v>2.9285000000000001</v>
      </c>
      <c r="G23" s="24">
        <v>26197123297.759998</v>
      </c>
      <c r="H23" s="24">
        <v>5.6706000000000003</v>
      </c>
      <c r="I23" s="24">
        <v>3.5613999999999999</v>
      </c>
      <c r="J23" s="24">
        <v>1.8164</v>
      </c>
      <c r="K23" s="24">
        <v>814</v>
      </c>
      <c r="L23" s="24" t="s">
        <v>3306</v>
      </c>
    </row>
    <row r="24" spans="1:12" x14ac:dyDescent="0.35">
      <c r="A24" s="24" t="s">
        <v>3242</v>
      </c>
      <c r="B24" s="24" t="str">
        <f>"000975"</f>
        <v>000975</v>
      </c>
      <c r="C24" s="24" t="str">
        <f t="shared" si="0"/>
        <v>'000975.SZ'</v>
      </c>
      <c r="D24" s="24" t="s">
        <v>3307</v>
      </c>
      <c r="E24" s="24" t="s">
        <v>3308</v>
      </c>
      <c r="F24" s="24">
        <v>2.9213</v>
      </c>
      <c r="G24" s="24">
        <v>31376961594.5</v>
      </c>
      <c r="H24" s="24">
        <v>1.7110000000000001</v>
      </c>
      <c r="I24" s="24">
        <v>1.417</v>
      </c>
      <c r="J24" s="24">
        <v>0.83030000000000004</v>
      </c>
      <c r="K24" s="24">
        <v>426</v>
      </c>
      <c r="L24" s="24" t="s">
        <v>3309</v>
      </c>
    </row>
    <row r="25" spans="1:12" x14ac:dyDescent="0.35">
      <c r="A25" s="24" t="s">
        <v>3246</v>
      </c>
      <c r="B25" s="24" t="str">
        <f>"600211"</f>
        <v>600211</v>
      </c>
      <c r="C25" s="24" t="str">
        <f t="shared" si="0"/>
        <v>'600211.SS'</v>
      </c>
      <c r="D25" s="24" t="s">
        <v>3310</v>
      </c>
      <c r="E25" s="24" t="s">
        <v>3311</v>
      </c>
      <c r="F25" s="24">
        <v>2.92</v>
      </c>
      <c r="G25" s="24">
        <v>9069566296.9400005</v>
      </c>
      <c r="H25" s="24">
        <v>2.3380000000000001</v>
      </c>
      <c r="I25" s="24">
        <v>2.2368999999999999</v>
      </c>
      <c r="J25" s="24">
        <v>1.1266</v>
      </c>
      <c r="K25" s="24">
        <v>538</v>
      </c>
      <c r="L25" s="24" t="s">
        <v>3312</v>
      </c>
    </row>
    <row r="26" spans="1:12" x14ac:dyDescent="0.35">
      <c r="A26" s="24" t="s">
        <v>3242</v>
      </c>
      <c r="B26" s="24" t="str">
        <f>"300548"</f>
        <v>300548</v>
      </c>
      <c r="C26" s="24" t="str">
        <f t="shared" si="0"/>
        <v>'300548.SZ'</v>
      </c>
      <c r="D26" s="24" t="s">
        <v>3313</v>
      </c>
      <c r="E26" s="24" t="s">
        <v>3314</v>
      </c>
      <c r="F26" s="24">
        <v>2.9194</v>
      </c>
      <c r="G26" s="24">
        <v>4692176547.1999998</v>
      </c>
      <c r="H26" s="24">
        <v>3.8407</v>
      </c>
      <c r="I26" s="24">
        <v>3.0001000000000002</v>
      </c>
      <c r="J26" s="24">
        <v>1.5119</v>
      </c>
      <c r="K26" s="24">
        <v>294</v>
      </c>
      <c r="L26" s="24" t="s">
        <v>3315</v>
      </c>
    </row>
    <row r="27" spans="1:12" x14ac:dyDescent="0.35">
      <c r="A27" s="24" t="s">
        <v>3242</v>
      </c>
      <c r="B27" s="24" t="str">
        <f>"002275"</f>
        <v>002275</v>
      </c>
      <c r="C27" s="24" t="str">
        <f t="shared" si="0"/>
        <v>'002275.SZ'</v>
      </c>
      <c r="D27" s="24" t="s">
        <v>3316</v>
      </c>
      <c r="E27" s="24" t="s">
        <v>3311</v>
      </c>
      <c r="F27" s="24">
        <v>2.9144999999999999</v>
      </c>
      <c r="G27" s="24">
        <v>7855792182</v>
      </c>
      <c r="H27" s="24">
        <v>2.8601999999999999</v>
      </c>
      <c r="I27" s="24">
        <v>2.4426000000000001</v>
      </c>
      <c r="J27" s="24">
        <v>1.7776000000000001</v>
      </c>
      <c r="K27" s="24">
        <v>11980</v>
      </c>
      <c r="L27" s="24" t="s">
        <v>3317</v>
      </c>
    </row>
    <row r="28" spans="1:12" x14ac:dyDescent="0.35">
      <c r="A28" s="24" t="s">
        <v>3246</v>
      </c>
      <c r="B28" s="24" t="str">
        <f>"688108"</f>
        <v>688108</v>
      </c>
      <c r="C28" s="24" t="str">
        <f t="shared" si="0"/>
        <v>'688108.SS'</v>
      </c>
      <c r="D28" s="24" t="s">
        <v>3318</v>
      </c>
      <c r="E28" s="24" t="s">
        <v>3319</v>
      </c>
      <c r="F28" s="24">
        <v>2.9075000000000002</v>
      </c>
      <c r="G28" s="24">
        <v>2390300000</v>
      </c>
      <c r="H28" s="24">
        <v>2.4805999999999999</v>
      </c>
      <c r="I28" s="24">
        <v>1.6856</v>
      </c>
      <c r="J28" s="24">
        <v>1.3131999999999999</v>
      </c>
      <c r="K28" s="24">
        <v>113</v>
      </c>
      <c r="L28" s="24" t="s">
        <v>3320</v>
      </c>
    </row>
    <row r="29" spans="1:12" x14ac:dyDescent="0.35">
      <c r="A29" s="24" t="s">
        <v>3242</v>
      </c>
      <c r="B29" s="24" t="str">
        <f>"300821"</f>
        <v>300821</v>
      </c>
      <c r="C29" s="24" t="str">
        <f t="shared" si="0"/>
        <v>'300821.SZ'</v>
      </c>
      <c r="D29" s="24" t="s">
        <v>3321</v>
      </c>
      <c r="E29" s="24" t="s">
        <v>3322</v>
      </c>
      <c r="F29" s="24">
        <v>2.9055</v>
      </c>
      <c r="G29" s="24">
        <v>15252000000</v>
      </c>
      <c r="H29" s="24">
        <v>2.2551999999999999</v>
      </c>
      <c r="I29" s="24">
        <v>1.8177000000000001</v>
      </c>
      <c r="J29" s="24">
        <v>1.3875</v>
      </c>
      <c r="K29" s="24">
        <v>172</v>
      </c>
      <c r="L29" s="24" t="s">
        <v>3323</v>
      </c>
    </row>
    <row r="30" spans="1:12" x14ac:dyDescent="0.35">
      <c r="A30" s="24" t="s">
        <v>3242</v>
      </c>
      <c r="B30" s="24" t="str">
        <f>"301234"</f>
        <v>301234</v>
      </c>
      <c r="C30" s="24" t="str">
        <f t="shared" si="0"/>
        <v>'301234.SZ'</v>
      </c>
      <c r="D30" s="24" t="s">
        <v>3324</v>
      </c>
      <c r="E30" s="24" t="s">
        <v>3319</v>
      </c>
      <c r="F30" s="24">
        <v>2.9053</v>
      </c>
      <c r="G30" s="24">
        <v>2037960000</v>
      </c>
      <c r="H30" s="24">
        <v>4.6140999999999996</v>
      </c>
      <c r="I30" s="24">
        <v>4.1413000000000002</v>
      </c>
      <c r="J30" s="24">
        <v>3.3751000000000002</v>
      </c>
      <c r="K30" s="24">
        <v>14</v>
      </c>
      <c r="L30" s="24" t="s">
        <v>3325</v>
      </c>
    </row>
    <row r="31" spans="1:12" x14ac:dyDescent="0.35">
      <c r="A31" s="24" t="s">
        <v>3242</v>
      </c>
      <c r="B31" s="24" t="str">
        <f>"300951"</f>
        <v>300951</v>
      </c>
      <c r="C31" s="24" t="str">
        <f t="shared" si="0"/>
        <v>'300951.SZ'</v>
      </c>
      <c r="D31" s="24" t="s">
        <v>3326</v>
      </c>
      <c r="E31" s="24" t="s">
        <v>3327</v>
      </c>
      <c r="F31" s="24">
        <v>2.9045999999999998</v>
      </c>
      <c r="G31" s="24">
        <v>5926201920</v>
      </c>
      <c r="H31" s="24">
        <v>4.9194000000000004</v>
      </c>
      <c r="I31" s="24">
        <v>4.7567000000000004</v>
      </c>
      <c r="J31" s="24">
        <v>1.4962</v>
      </c>
      <c r="K31" s="24">
        <v>86</v>
      </c>
      <c r="L31" s="24" t="s">
        <v>3328</v>
      </c>
    </row>
    <row r="32" spans="1:12" x14ac:dyDescent="0.35">
      <c r="A32" s="24" t="s">
        <v>3242</v>
      </c>
      <c r="B32" s="24" t="str">
        <f>"002577"</f>
        <v>002577</v>
      </c>
      <c r="C32" s="24" t="str">
        <f t="shared" si="0"/>
        <v>'002577.SZ'</v>
      </c>
      <c r="D32" s="24" t="s">
        <v>3329</v>
      </c>
      <c r="E32" s="24" t="s">
        <v>3257</v>
      </c>
      <c r="F32" s="24">
        <v>2.9018999999999999</v>
      </c>
      <c r="G32" s="24">
        <v>3304038400</v>
      </c>
      <c r="H32" s="24">
        <v>14.6113</v>
      </c>
      <c r="I32" s="24">
        <v>13.3179</v>
      </c>
      <c r="J32" s="24">
        <v>4.7084999999999999</v>
      </c>
      <c r="K32" s="24">
        <v>92</v>
      </c>
      <c r="L32" s="24" t="s">
        <v>3330</v>
      </c>
    </row>
    <row r="33" spans="1:12" x14ac:dyDescent="0.35">
      <c r="A33" s="24" t="s">
        <v>3246</v>
      </c>
      <c r="B33" s="24" t="str">
        <f>"605580"</f>
        <v>605580</v>
      </c>
      <c r="C33" s="24" t="str">
        <f t="shared" si="0"/>
        <v>'605580.SS'</v>
      </c>
      <c r="D33" s="24" t="s">
        <v>3331</v>
      </c>
      <c r="E33" s="24" t="s">
        <v>3332</v>
      </c>
      <c r="F33" s="24">
        <v>2.8978000000000002</v>
      </c>
      <c r="G33" s="24">
        <v>2442000000</v>
      </c>
      <c r="H33" s="24">
        <v>4.6528999999999998</v>
      </c>
      <c r="I33" s="24">
        <v>4.3644999999999996</v>
      </c>
      <c r="J33" s="24">
        <v>1.9652000000000001</v>
      </c>
      <c r="K33" s="24">
        <v>35</v>
      </c>
      <c r="L33" s="24" t="s">
        <v>3333</v>
      </c>
    </row>
    <row r="34" spans="1:12" x14ac:dyDescent="0.35">
      <c r="A34" s="24" t="s">
        <v>3242</v>
      </c>
      <c r="B34" s="24" t="str">
        <f>"001266"</f>
        <v>001266</v>
      </c>
      <c r="C34" s="24" t="str">
        <f t="shared" si="0"/>
        <v>'001266.SZ'</v>
      </c>
      <c r="D34" s="24" t="s">
        <v>3334</v>
      </c>
      <c r="E34" s="24" t="s">
        <v>3268</v>
      </c>
      <c r="F34" s="24">
        <v>2.8969999999999998</v>
      </c>
      <c r="G34" s="24">
        <v>2926143360</v>
      </c>
      <c r="H34" s="24">
        <v>10.039</v>
      </c>
      <c r="I34" s="24">
        <v>8.8691999999999993</v>
      </c>
      <c r="J34" s="24">
        <v>2.6341000000000001</v>
      </c>
      <c r="K34" s="24">
        <v>26</v>
      </c>
      <c r="L34" s="24" t="s">
        <v>3335</v>
      </c>
    </row>
    <row r="35" spans="1:12" x14ac:dyDescent="0.35">
      <c r="A35" s="24" t="s">
        <v>3242</v>
      </c>
      <c r="B35" s="24" t="str">
        <f>"301128"</f>
        <v>301128</v>
      </c>
      <c r="C35" s="24" t="str">
        <f t="shared" si="0"/>
        <v>'301128.SZ'</v>
      </c>
      <c r="D35" s="24" t="s">
        <v>3336</v>
      </c>
      <c r="E35" s="24" t="s">
        <v>3244</v>
      </c>
      <c r="F35" s="24">
        <v>2.8965999999999998</v>
      </c>
      <c r="G35" s="24">
        <v>2382104693.2800002</v>
      </c>
      <c r="H35" s="24">
        <v>7.1535000000000002</v>
      </c>
      <c r="I35" s="24">
        <v>6.3464999999999998</v>
      </c>
      <c r="J35" s="24">
        <v>2.2829000000000002</v>
      </c>
      <c r="K35" s="24">
        <v>19</v>
      </c>
      <c r="L35" s="24" t="s">
        <v>3337</v>
      </c>
    </row>
    <row r="36" spans="1:12" x14ac:dyDescent="0.35">
      <c r="A36" s="24" t="s">
        <v>3242</v>
      </c>
      <c r="B36" s="24" t="str">
        <f>"300921"</f>
        <v>300921</v>
      </c>
      <c r="C36" s="24" t="str">
        <f t="shared" si="0"/>
        <v>'300921.SZ'</v>
      </c>
      <c r="D36" s="24" t="s">
        <v>3338</v>
      </c>
      <c r="E36" s="24" t="s">
        <v>3339</v>
      </c>
      <c r="F36" s="24">
        <v>2.8961999999999999</v>
      </c>
      <c r="G36" s="24">
        <v>2402244880.1999998</v>
      </c>
      <c r="H36" s="24">
        <v>8.4137000000000004</v>
      </c>
      <c r="I36" s="24">
        <v>8.0249000000000006</v>
      </c>
      <c r="J36" s="24">
        <v>1.9943</v>
      </c>
      <c r="K36" s="24">
        <v>46</v>
      </c>
      <c r="L36" s="24" t="s">
        <v>3340</v>
      </c>
    </row>
    <row r="37" spans="1:12" x14ac:dyDescent="0.35">
      <c r="A37" s="24" t="s">
        <v>3242</v>
      </c>
      <c r="B37" s="24" t="str">
        <f>"300887"</f>
        <v>300887</v>
      </c>
      <c r="C37" s="24" t="str">
        <f t="shared" si="0"/>
        <v>'300887.SZ'</v>
      </c>
      <c r="D37" s="24" t="s">
        <v>3341</v>
      </c>
      <c r="E37" s="24" t="s">
        <v>3342</v>
      </c>
      <c r="F37" s="24">
        <v>2.8936999999999999</v>
      </c>
      <c r="G37" s="24">
        <v>9810119926.0799999</v>
      </c>
      <c r="H37" s="24">
        <v>2.7610999999999999</v>
      </c>
      <c r="I37" s="24">
        <v>2.6412</v>
      </c>
      <c r="J37" s="24">
        <v>1.0032000000000001</v>
      </c>
      <c r="K37" s="24">
        <v>130</v>
      </c>
      <c r="L37" s="24" t="s">
        <v>3343</v>
      </c>
    </row>
    <row r="38" spans="1:12" x14ac:dyDescent="0.35">
      <c r="A38" s="24" t="s">
        <v>3242</v>
      </c>
      <c r="B38" s="24" t="str">
        <f>"000962"</f>
        <v>000962</v>
      </c>
      <c r="C38" s="24" t="str">
        <f t="shared" si="0"/>
        <v>'000962.SZ'</v>
      </c>
      <c r="D38" s="24" t="s">
        <v>3344</v>
      </c>
      <c r="E38" s="24" t="s">
        <v>3345</v>
      </c>
      <c r="F38" s="24">
        <v>2.8923000000000001</v>
      </c>
      <c r="G38" s="24">
        <v>4170276812.2399998</v>
      </c>
      <c r="H38" s="24">
        <v>3.7069000000000001</v>
      </c>
      <c r="I38" s="24">
        <v>1.6819</v>
      </c>
      <c r="J38" s="24">
        <v>0.97199999999999998</v>
      </c>
      <c r="K38" s="24">
        <v>145</v>
      </c>
      <c r="L38" s="24" t="s">
        <v>3346</v>
      </c>
    </row>
    <row r="39" spans="1:12" x14ac:dyDescent="0.35">
      <c r="A39" s="24" t="s">
        <v>3246</v>
      </c>
      <c r="B39" s="24" t="str">
        <f>"603888"</f>
        <v>603888</v>
      </c>
      <c r="C39" s="24" t="str">
        <f t="shared" si="0"/>
        <v>'603888.SS'</v>
      </c>
      <c r="D39" s="24" t="s">
        <v>3347</v>
      </c>
      <c r="E39" s="24" t="s">
        <v>3348</v>
      </c>
      <c r="F39" s="24">
        <v>2.8921999999999999</v>
      </c>
      <c r="G39" s="24">
        <v>9186819672</v>
      </c>
      <c r="H39" s="24">
        <v>3.7315</v>
      </c>
      <c r="I39" s="24">
        <v>3.6642999999999999</v>
      </c>
      <c r="J39" s="24">
        <v>1.8542000000000001</v>
      </c>
      <c r="K39" s="24">
        <v>228</v>
      </c>
      <c r="L39" s="24" t="s">
        <v>3349</v>
      </c>
    </row>
    <row r="40" spans="1:12" x14ac:dyDescent="0.35">
      <c r="A40" s="24" t="s">
        <v>3242</v>
      </c>
      <c r="B40" s="24" t="str">
        <f>"300943"</f>
        <v>300943</v>
      </c>
      <c r="C40" s="24" t="str">
        <f t="shared" si="0"/>
        <v>'300943.SZ'</v>
      </c>
      <c r="D40" s="24" t="s">
        <v>3350</v>
      </c>
      <c r="E40" s="24" t="s">
        <v>3351</v>
      </c>
      <c r="F40" s="24">
        <v>2.8877000000000002</v>
      </c>
      <c r="G40" s="24">
        <v>2539597200</v>
      </c>
      <c r="H40" s="24">
        <v>3.4142000000000001</v>
      </c>
      <c r="I40" s="24">
        <v>2.9115000000000002</v>
      </c>
      <c r="J40" s="24">
        <v>1.964</v>
      </c>
      <c r="K40" s="24">
        <v>37</v>
      </c>
      <c r="L40" s="24" t="s">
        <v>3352</v>
      </c>
    </row>
    <row r="41" spans="1:12" x14ac:dyDescent="0.35">
      <c r="A41" s="24" t="s">
        <v>3242</v>
      </c>
      <c r="B41" s="24" t="str">
        <f>"300853"</f>
        <v>300853</v>
      </c>
      <c r="C41" s="24" t="str">
        <f t="shared" si="0"/>
        <v>'300853.SZ'</v>
      </c>
      <c r="D41" s="24" t="s">
        <v>3353</v>
      </c>
      <c r="E41" s="24" t="s">
        <v>3354</v>
      </c>
      <c r="F41" s="24">
        <v>2.8820999999999999</v>
      </c>
      <c r="G41" s="24">
        <v>3498656233.6300001</v>
      </c>
      <c r="H41" s="24">
        <v>4.5651999999999999</v>
      </c>
      <c r="I41" s="24">
        <v>4</v>
      </c>
      <c r="J41" s="24">
        <v>1.2358</v>
      </c>
      <c r="K41" s="24">
        <v>153</v>
      </c>
      <c r="L41" s="24" t="s">
        <v>3355</v>
      </c>
    </row>
    <row r="42" spans="1:12" x14ac:dyDescent="0.35">
      <c r="A42" s="24" t="s">
        <v>3242</v>
      </c>
      <c r="B42" s="24" t="str">
        <f>"001234"</f>
        <v>001234</v>
      </c>
      <c r="C42" s="24" t="str">
        <f t="shared" si="0"/>
        <v>'001234.SZ'</v>
      </c>
      <c r="D42" s="24" t="s">
        <v>3356</v>
      </c>
      <c r="E42" s="24" t="s">
        <v>3357</v>
      </c>
      <c r="F42" s="24">
        <v>2.8755999999999999</v>
      </c>
      <c r="G42" s="24">
        <v>2525867456</v>
      </c>
      <c r="H42" s="24">
        <v>5.3441000000000001</v>
      </c>
      <c r="I42" s="24">
        <v>4.6032999999999999</v>
      </c>
      <c r="J42" s="24">
        <v>1.4947999999999999</v>
      </c>
      <c r="K42" s="24">
        <v>33</v>
      </c>
      <c r="L42" s="24" t="s">
        <v>3358</v>
      </c>
    </row>
    <row r="43" spans="1:12" x14ac:dyDescent="0.35">
      <c r="A43" s="24" t="s">
        <v>3246</v>
      </c>
      <c r="B43" s="24" t="str">
        <f>"600993"</f>
        <v>600993</v>
      </c>
      <c r="C43" s="24" t="str">
        <f t="shared" si="0"/>
        <v>'600993.SS'</v>
      </c>
      <c r="D43" s="24" t="s">
        <v>3359</v>
      </c>
      <c r="E43" s="24" t="s">
        <v>3311</v>
      </c>
      <c r="F43" s="24">
        <v>2.8736000000000002</v>
      </c>
      <c r="G43" s="24">
        <v>9871134103.8999996</v>
      </c>
      <c r="H43" s="24">
        <v>5.3506999999999998</v>
      </c>
      <c r="I43" s="24">
        <v>4.7614999999999998</v>
      </c>
      <c r="J43" s="24">
        <v>2.7242999999999999</v>
      </c>
      <c r="K43" s="24">
        <v>1007</v>
      </c>
      <c r="L43" s="24" t="s">
        <v>3360</v>
      </c>
    </row>
    <row r="44" spans="1:12" x14ac:dyDescent="0.35">
      <c r="A44" s="24" t="s">
        <v>3242</v>
      </c>
      <c r="B44" s="24" t="str">
        <f>"000860"</f>
        <v>000860</v>
      </c>
      <c r="C44" s="24" t="str">
        <f t="shared" si="0"/>
        <v>'000860.SZ'</v>
      </c>
      <c r="D44" s="24" t="s">
        <v>3361</v>
      </c>
      <c r="E44" s="24" t="s">
        <v>3362</v>
      </c>
      <c r="F44" s="24">
        <v>2.8713000000000002</v>
      </c>
      <c r="G44" s="24">
        <v>22334604038.790001</v>
      </c>
      <c r="H44" s="24">
        <v>1.9038999999999999</v>
      </c>
      <c r="I44" s="24">
        <v>1.1217999999999999</v>
      </c>
      <c r="J44" s="24">
        <v>0.99329999999999996</v>
      </c>
      <c r="K44" s="24">
        <v>1535</v>
      </c>
      <c r="L44" s="24" t="s">
        <v>3363</v>
      </c>
    </row>
    <row r="45" spans="1:12" x14ac:dyDescent="0.35">
      <c r="A45" s="24" t="s">
        <v>3246</v>
      </c>
      <c r="B45" s="24" t="str">
        <f>"605339"</f>
        <v>605339</v>
      </c>
      <c r="C45" s="24" t="str">
        <f t="shared" si="0"/>
        <v>'605339.SS'</v>
      </c>
      <c r="D45" s="24" t="s">
        <v>3364</v>
      </c>
      <c r="E45" s="24" t="s">
        <v>3365</v>
      </c>
      <c r="F45" s="24">
        <v>2.8708999999999998</v>
      </c>
      <c r="G45" s="24">
        <v>9226081078.6000004</v>
      </c>
      <c r="H45" s="24">
        <v>3.7284999999999999</v>
      </c>
      <c r="I45" s="24">
        <v>2.8426999999999998</v>
      </c>
      <c r="J45" s="24">
        <v>2.6208999999999998</v>
      </c>
      <c r="K45" s="24">
        <v>82</v>
      </c>
      <c r="L45" s="24" t="s">
        <v>3366</v>
      </c>
    </row>
    <row r="46" spans="1:12" x14ac:dyDescent="0.35">
      <c r="A46" s="24" t="s">
        <v>3246</v>
      </c>
      <c r="B46" s="24" t="str">
        <f>"688291"</f>
        <v>688291</v>
      </c>
      <c r="C46" s="24" t="str">
        <f t="shared" si="0"/>
        <v>'688291.SS'</v>
      </c>
      <c r="D46" s="24" t="s">
        <v>3367</v>
      </c>
      <c r="E46" s="24" t="s">
        <v>3368</v>
      </c>
      <c r="F46" s="24">
        <v>2.8704999999999998</v>
      </c>
      <c r="G46" s="24">
        <v>2798694242</v>
      </c>
      <c r="H46" s="24">
        <v>7.0354000000000001</v>
      </c>
      <c r="I46" s="24">
        <v>5.0507</v>
      </c>
      <c r="J46" s="24">
        <v>3.6025999999999998</v>
      </c>
      <c r="K46" s="24">
        <v>6</v>
      </c>
      <c r="L46" s="24" t="s">
        <v>3369</v>
      </c>
    </row>
    <row r="47" spans="1:12" x14ac:dyDescent="0.35">
      <c r="A47" s="24" t="s">
        <v>3246</v>
      </c>
      <c r="B47" s="24" t="str">
        <f>"601975"</f>
        <v>601975</v>
      </c>
      <c r="C47" s="24" t="str">
        <f t="shared" si="0"/>
        <v>'601975.SS'</v>
      </c>
      <c r="D47" s="24" t="s">
        <v>3370</v>
      </c>
      <c r="E47" s="24" t="s">
        <v>3371</v>
      </c>
      <c r="F47" s="24">
        <v>2.8687</v>
      </c>
      <c r="G47" s="24">
        <v>19944941615.279999</v>
      </c>
      <c r="H47" s="24">
        <v>2.5278</v>
      </c>
      <c r="I47" s="24">
        <v>1.7194</v>
      </c>
      <c r="J47" s="24">
        <v>1.3721000000000001</v>
      </c>
      <c r="K47" s="24">
        <v>311</v>
      </c>
      <c r="L47" s="24" t="s">
        <v>3372</v>
      </c>
    </row>
    <row r="48" spans="1:12" x14ac:dyDescent="0.35">
      <c r="A48" s="24" t="s">
        <v>3246</v>
      </c>
      <c r="B48" s="24" t="str">
        <f>"688080"</f>
        <v>688080</v>
      </c>
      <c r="C48" s="24" t="str">
        <f t="shared" si="0"/>
        <v>'688080.SS'</v>
      </c>
      <c r="D48" s="24" t="s">
        <v>3373</v>
      </c>
      <c r="E48" s="24" t="s">
        <v>3374</v>
      </c>
      <c r="F48" s="24">
        <v>2.8685999999999998</v>
      </c>
      <c r="G48" s="24">
        <v>2313716429.1599998</v>
      </c>
      <c r="H48" s="24">
        <v>8.8491999999999997</v>
      </c>
      <c r="I48" s="24">
        <v>7.5342000000000002</v>
      </c>
      <c r="J48" s="24">
        <v>3.5326</v>
      </c>
      <c r="K48" s="24">
        <v>92</v>
      </c>
      <c r="L48" s="24" t="s">
        <v>3375</v>
      </c>
    </row>
    <row r="49" spans="1:12" x14ac:dyDescent="0.35">
      <c r="A49" s="24" t="s">
        <v>3242</v>
      </c>
      <c r="B49" s="24" t="str">
        <f>"301349"</f>
        <v>301349</v>
      </c>
      <c r="C49" s="24" t="str">
        <f t="shared" si="0"/>
        <v>'301349.SZ'</v>
      </c>
      <c r="D49" s="24" t="s">
        <v>3376</v>
      </c>
      <c r="E49" s="24" t="s">
        <v>3377</v>
      </c>
      <c r="F49" s="24">
        <v>2.8673999999999999</v>
      </c>
      <c r="G49" s="24">
        <v>7954640000</v>
      </c>
      <c r="H49" s="24">
        <v>19.9147</v>
      </c>
      <c r="I49" s="24">
        <v>19.103400000000001</v>
      </c>
      <c r="J49" s="24">
        <v>17.357299999999999</v>
      </c>
      <c r="K49" s="24">
        <v>6</v>
      </c>
      <c r="L49" s="24" t="s">
        <v>3378</v>
      </c>
    </row>
    <row r="50" spans="1:12" x14ac:dyDescent="0.35">
      <c r="A50" s="24" t="s">
        <v>3242</v>
      </c>
      <c r="B50" s="24" t="str">
        <f>"002515"</f>
        <v>002515</v>
      </c>
      <c r="C50" s="24" t="str">
        <f t="shared" si="0"/>
        <v>'002515.SZ'</v>
      </c>
      <c r="D50" s="24" t="s">
        <v>3379</v>
      </c>
      <c r="E50" s="24" t="s">
        <v>3380</v>
      </c>
      <c r="F50" s="24">
        <v>2.8671000000000002</v>
      </c>
      <c r="G50" s="24">
        <v>4373060361.6000004</v>
      </c>
      <c r="H50" s="24">
        <v>5.9778000000000002</v>
      </c>
      <c r="I50" s="24">
        <v>3.8555000000000001</v>
      </c>
      <c r="J50" s="24">
        <v>3.2585999999999999</v>
      </c>
      <c r="K50" s="24">
        <v>310</v>
      </c>
      <c r="L50" s="24" t="s">
        <v>3381</v>
      </c>
    </row>
    <row r="51" spans="1:12" x14ac:dyDescent="0.35">
      <c r="A51" s="24" t="s">
        <v>3246</v>
      </c>
      <c r="B51" s="24" t="str">
        <f>"688511"</f>
        <v>688511</v>
      </c>
      <c r="C51" s="24" t="str">
        <f t="shared" si="0"/>
        <v>'688511.SS'</v>
      </c>
      <c r="D51" s="24" t="s">
        <v>3382</v>
      </c>
      <c r="E51" s="24" t="s">
        <v>3383</v>
      </c>
      <c r="F51" s="24">
        <v>2.867</v>
      </c>
      <c r="G51" s="24">
        <v>2358400000</v>
      </c>
      <c r="H51" s="24">
        <v>14.5562</v>
      </c>
      <c r="I51" s="24">
        <v>13.157999999999999</v>
      </c>
      <c r="J51" s="24">
        <v>2.7768000000000002</v>
      </c>
      <c r="K51" s="24">
        <v>38</v>
      </c>
      <c r="L51" s="24" t="s">
        <v>3384</v>
      </c>
    </row>
    <row r="52" spans="1:12" x14ac:dyDescent="0.35">
      <c r="A52" s="24" t="s">
        <v>3242</v>
      </c>
      <c r="B52" s="24" t="str">
        <f>"001259"</f>
        <v>001259</v>
      </c>
      <c r="C52" s="24" t="str">
        <f t="shared" si="0"/>
        <v>'001259.SZ'</v>
      </c>
      <c r="D52" s="24" t="s">
        <v>3385</v>
      </c>
      <c r="E52" s="24" t="s">
        <v>3386</v>
      </c>
      <c r="F52" s="24">
        <v>2.8666</v>
      </c>
      <c r="G52" s="24">
        <v>2090660308.0799999</v>
      </c>
      <c r="H52" s="24">
        <v>5.7013999999999996</v>
      </c>
      <c r="I52" s="24">
        <v>4.6285999999999996</v>
      </c>
      <c r="J52" s="24">
        <v>3.7456999999999998</v>
      </c>
      <c r="K52" s="24">
        <v>9</v>
      </c>
      <c r="L52" s="24" t="s">
        <v>3387</v>
      </c>
    </row>
    <row r="53" spans="1:12" x14ac:dyDescent="0.35">
      <c r="A53" s="24" t="s">
        <v>3246</v>
      </c>
      <c r="B53" s="24" t="str">
        <f>"688045"</f>
        <v>688045</v>
      </c>
      <c r="C53" s="24" t="str">
        <f t="shared" si="0"/>
        <v>'688045.SS'</v>
      </c>
      <c r="D53" s="24" t="s">
        <v>3388</v>
      </c>
      <c r="E53" s="24" t="s">
        <v>3389</v>
      </c>
      <c r="F53" s="24">
        <v>2.8632</v>
      </c>
      <c r="G53" s="24">
        <v>3894360159.5999999</v>
      </c>
      <c r="H53" s="24">
        <v>19.456499999999998</v>
      </c>
      <c r="I53" s="24">
        <v>16.4282</v>
      </c>
      <c r="J53" s="24">
        <v>6.4870000000000001</v>
      </c>
      <c r="K53" s="24">
        <v>21</v>
      </c>
      <c r="L53" s="24" t="s">
        <v>3390</v>
      </c>
    </row>
    <row r="54" spans="1:12" x14ac:dyDescent="0.35">
      <c r="A54" s="24" t="s">
        <v>3246</v>
      </c>
      <c r="B54" s="24" t="str">
        <f>"688292"</f>
        <v>688292</v>
      </c>
      <c r="C54" s="24" t="str">
        <f t="shared" si="0"/>
        <v>'688292.SS'</v>
      </c>
      <c r="D54" s="24" t="s">
        <v>3391</v>
      </c>
      <c r="E54" s="24" t="s">
        <v>3374</v>
      </c>
      <c r="F54" s="24">
        <v>2.8626999999999998</v>
      </c>
      <c r="G54" s="24">
        <v>2750066672.5</v>
      </c>
      <c r="H54" s="24">
        <v>5.2397</v>
      </c>
      <c r="I54" s="24">
        <v>3.5954999999999999</v>
      </c>
      <c r="J54" s="24">
        <v>2.5851999999999999</v>
      </c>
      <c r="K54" s="24">
        <v>6</v>
      </c>
      <c r="L54" s="24" t="s">
        <v>3392</v>
      </c>
    </row>
    <row r="55" spans="1:12" x14ac:dyDescent="0.35">
      <c r="A55" s="24" t="s">
        <v>3246</v>
      </c>
      <c r="B55" s="24" t="str">
        <f>"605198"</f>
        <v>605198</v>
      </c>
      <c r="C55" s="24" t="str">
        <f t="shared" si="0"/>
        <v>'605198.SS'</v>
      </c>
      <c r="D55" s="24" t="s">
        <v>3393</v>
      </c>
      <c r="E55" s="24" t="s">
        <v>3394</v>
      </c>
      <c r="F55" s="24">
        <v>2.8567999999999998</v>
      </c>
      <c r="G55" s="24">
        <v>6731914000</v>
      </c>
      <c r="H55" s="24">
        <v>7.9993999999999996</v>
      </c>
      <c r="I55" s="24">
        <v>6.2996999999999996</v>
      </c>
      <c r="J55" s="24">
        <v>1.4816</v>
      </c>
      <c r="K55" s="24">
        <v>70</v>
      </c>
      <c r="L55" s="24" t="s">
        <v>3395</v>
      </c>
    </row>
    <row r="56" spans="1:12" x14ac:dyDescent="0.35">
      <c r="A56" s="24" t="s">
        <v>3246</v>
      </c>
      <c r="B56" s="24" t="str">
        <f>"603099"</f>
        <v>603099</v>
      </c>
      <c r="C56" s="24" t="str">
        <f t="shared" si="0"/>
        <v>'603099.SS'</v>
      </c>
      <c r="D56" s="24" t="s">
        <v>3396</v>
      </c>
      <c r="E56" s="24" t="s">
        <v>3397</v>
      </c>
      <c r="F56" s="24">
        <v>2.8525</v>
      </c>
      <c r="G56" s="24">
        <v>2685366900</v>
      </c>
      <c r="H56" s="24">
        <v>2.8130999999999999</v>
      </c>
      <c r="I56" s="24">
        <v>2.4664000000000001</v>
      </c>
      <c r="J56" s="24">
        <v>1.3717999999999999</v>
      </c>
      <c r="K56" s="24">
        <v>108</v>
      </c>
      <c r="L56" s="24" t="s">
        <v>3398</v>
      </c>
    </row>
    <row r="57" spans="1:12" x14ac:dyDescent="0.35">
      <c r="A57" s="24" t="s">
        <v>3242</v>
      </c>
      <c r="B57" s="24" t="str">
        <f>"300768"</f>
        <v>300768</v>
      </c>
      <c r="C57" s="24" t="str">
        <f t="shared" si="0"/>
        <v>'300768.SZ'</v>
      </c>
      <c r="D57" s="24" t="s">
        <v>3399</v>
      </c>
      <c r="E57" s="24" t="s">
        <v>3285</v>
      </c>
      <c r="F57" s="24">
        <v>2.8445999999999998</v>
      </c>
      <c r="G57" s="24">
        <v>8891279028.5900002</v>
      </c>
      <c r="H57" s="24">
        <v>9.4156999999999993</v>
      </c>
      <c r="I57" s="24">
        <v>8.5701999999999998</v>
      </c>
      <c r="J57" s="24">
        <v>8.1049000000000007</v>
      </c>
      <c r="K57" s="24">
        <v>234</v>
      </c>
      <c r="L57" s="24" t="s">
        <v>3400</v>
      </c>
    </row>
    <row r="58" spans="1:12" x14ac:dyDescent="0.35">
      <c r="A58" s="24" t="s">
        <v>3242</v>
      </c>
      <c r="B58" s="24" t="str">
        <f>"000810"</f>
        <v>000810</v>
      </c>
      <c r="C58" s="24" t="str">
        <f t="shared" si="0"/>
        <v>'000810.SZ'</v>
      </c>
      <c r="D58" s="24" t="s">
        <v>3401</v>
      </c>
      <c r="E58" s="24" t="s">
        <v>3402</v>
      </c>
      <c r="F58" s="24">
        <v>2.8426999999999998</v>
      </c>
      <c r="G58" s="24">
        <v>16919678419.120001</v>
      </c>
      <c r="H58" s="24">
        <v>1.9123000000000001</v>
      </c>
      <c r="I58" s="24">
        <v>1.5581</v>
      </c>
      <c r="J58" s="24">
        <v>0.82850000000000001</v>
      </c>
      <c r="K58" s="24">
        <v>417</v>
      </c>
      <c r="L58" s="24" t="s">
        <v>3403</v>
      </c>
    </row>
    <row r="59" spans="1:12" x14ac:dyDescent="0.35">
      <c r="A59" s="24" t="s">
        <v>3246</v>
      </c>
      <c r="B59" s="24" t="str">
        <f>"688280"</f>
        <v>688280</v>
      </c>
      <c r="C59" s="24" t="str">
        <f t="shared" si="0"/>
        <v>'688280.SS'</v>
      </c>
      <c r="D59" s="24" t="s">
        <v>3404</v>
      </c>
      <c r="E59" s="24" t="s">
        <v>3405</v>
      </c>
      <c r="F59" s="24">
        <v>2.8420999999999998</v>
      </c>
      <c r="G59" s="24">
        <v>4845719886.0699997</v>
      </c>
      <c r="H59" s="24">
        <v>1.9408000000000001</v>
      </c>
      <c r="I59" s="24">
        <v>1.4488000000000001</v>
      </c>
      <c r="J59" s="24">
        <v>1.034</v>
      </c>
      <c r="K59" s="24">
        <v>31</v>
      </c>
      <c r="L59" s="24" t="s">
        <v>3406</v>
      </c>
    </row>
    <row r="60" spans="1:12" x14ac:dyDescent="0.35">
      <c r="A60" s="24" t="s">
        <v>3242</v>
      </c>
      <c r="B60" s="24" t="str">
        <f>"301171"</f>
        <v>301171</v>
      </c>
      <c r="C60" s="24" t="str">
        <f t="shared" si="0"/>
        <v>'301171.SZ'</v>
      </c>
      <c r="D60" s="24" t="s">
        <v>3407</v>
      </c>
      <c r="E60" s="24" t="s">
        <v>3408</v>
      </c>
      <c r="F60" s="24">
        <v>2.8409</v>
      </c>
      <c r="G60" s="24">
        <v>9083803671.25</v>
      </c>
      <c r="H60" s="24">
        <v>2.6078999999999999</v>
      </c>
      <c r="I60" s="24">
        <v>2.5868000000000002</v>
      </c>
      <c r="J60" s="24">
        <v>1.0727</v>
      </c>
      <c r="K60" s="24">
        <v>6</v>
      </c>
      <c r="L60" s="24" t="s">
        <v>3409</v>
      </c>
    </row>
    <row r="61" spans="1:12" x14ac:dyDescent="0.35">
      <c r="A61" s="24" t="s">
        <v>3242</v>
      </c>
      <c r="B61" s="24" t="str">
        <f>"000913"</f>
        <v>000913</v>
      </c>
      <c r="C61" s="24" t="str">
        <f t="shared" si="0"/>
        <v>'000913.SZ'</v>
      </c>
      <c r="D61" s="24" t="s">
        <v>3410</v>
      </c>
      <c r="E61" s="24" t="s">
        <v>3411</v>
      </c>
      <c r="F61" s="24">
        <v>2.84</v>
      </c>
      <c r="G61" s="24">
        <v>9725628940</v>
      </c>
      <c r="H61" s="24">
        <v>1.5106999999999999</v>
      </c>
      <c r="I61" s="24">
        <v>1.1867000000000001</v>
      </c>
      <c r="J61" s="24">
        <v>1.0392999999999999</v>
      </c>
      <c r="K61" s="24">
        <v>190</v>
      </c>
      <c r="L61" s="24" t="s">
        <v>3412</v>
      </c>
    </row>
    <row r="62" spans="1:12" x14ac:dyDescent="0.35">
      <c r="A62" s="24" t="s">
        <v>3242</v>
      </c>
      <c r="B62" s="24" t="str">
        <f>"002820"</f>
        <v>002820</v>
      </c>
      <c r="C62" s="24" t="str">
        <f t="shared" si="0"/>
        <v>'002820.SZ'</v>
      </c>
      <c r="D62" s="24" t="s">
        <v>3413</v>
      </c>
      <c r="E62" s="24" t="s">
        <v>3365</v>
      </c>
      <c r="F62" s="24">
        <v>2.8393000000000002</v>
      </c>
      <c r="G62" s="24">
        <v>2773991153.9499998</v>
      </c>
      <c r="H62" s="24">
        <v>12.050599999999999</v>
      </c>
      <c r="I62" s="24">
        <v>11.3096</v>
      </c>
      <c r="J62" s="24">
        <v>3.8182</v>
      </c>
      <c r="K62" s="24">
        <v>155</v>
      </c>
      <c r="L62" s="24" t="s">
        <v>3414</v>
      </c>
    </row>
    <row r="63" spans="1:12" x14ac:dyDescent="0.35">
      <c r="A63" s="24" t="s">
        <v>3242</v>
      </c>
      <c r="B63" s="24" t="str">
        <f>"001226"</f>
        <v>001226</v>
      </c>
      <c r="C63" s="24" t="str">
        <f t="shared" si="0"/>
        <v>'001226.SZ'</v>
      </c>
      <c r="D63" s="24" t="s">
        <v>3415</v>
      </c>
      <c r="E63" s="24" t="s">
        <v>3416</v>
      </c>
      <c r="F63" s="24">
        <v>2.8391000000000002</v>
      </c>
      <c r="G63" s="24">
        <v>2125760949</v>
      </c>
      <c r="H63" s="24">
        <v>3.04</v>
      </c>
      <c r="I63" s="24">
        <v>2.6760000000000002</v>
      </c>
      <c r="J63" s="24">
        <v>1.3802000000000001</v>
      </c>
      <c r="K63" s="24">
        <v>8</v>
      </c>
      <c r="L63" s="24" t="s">
        <v>3417</v>
      </c>
    </row>
    <row r="64" spans="1:12" x14ac:dyDescent="0.35">
      <c r="A64" s="24" t="s">
        <v>3242</v>
      </c>
      <c r="B64" s="24" t="str">
        <f>"002597"</f>
        <v>002597</v>
      </c>
      <c r="C64" s="24" t="str">
        <f t="shared" si="0"/>
        <v>'002597.SZ'</v>
      </c>
      <c r="D64" s="24" t="s">
        <v>3418</v>
      </c>
      <c r="E64" s="24" t="s">
        <v>3419</v>
      </c>
      <c r="F64" s="24">
        <v>2.8386</v>
      </c>
      <c r="G64" s="24">
        <v>18437381168.259998</v>
      </c>
      <c r="H64" s="24">
        <v>3.1537999999999999</v>
      </c>
      <c r="I64" s="24">
        <v>2.7551999999999999</v>
      </c>
      <c r="J64" s="24">
        <v>1.2261</v>
      </c>
      <c r="K64" s="24">
        <v>1969</v>
      </c>
      <c r="L64" s="24" t="s">
        <v>3420</v>
      </c>
    </row>
    <row r="65" spans="1:12" x14ac:dyDescent="0.35">
      <c r="A65" s="24" t="s">
        <v>3242</v>
      </c>
      <c r="B65" s="24" t="str">
        <f>"301175"</f>
        <v>301175</v>
      </c>
      <c r="C65" s="24" t="str">
        <f t="shared" si="0"/>
        <v>'301175.SZ'</v>
      </c>
      <c r="D65" s="24" t="s">
        <v>3421</v>
      </c>
      <c r="E65" s="24" t="s">
        <v>3422</v>
      </c>
      <c r="F65" s="24">
        <v>2.8384</v>
      </c>
      <c r="G65" s="24">
        <v>9007905600</v>
      </c>
      <c r="H65" s="24">
        <v>2.5935000000000001</v>
      </c>
      <c r="I65" s="24">
        <v>2.5034000000000001</v>
      </c>
      <c r="J65" s="24">
        <v>0.8669</v>
      </c>
      <c r="K65" s="24">
        <v>6</v>
      </c>
      <c r="L65" s="24" t="s">
        <v>3423</v>
      </c>
    </row>
    <row r="66" spans="1:12" x14ac:dyDescent="0.35">
      <c r="A66" s="24" t="s">
        <v>3242</v>
      </c>
      <c r="B66" s="24" t="str">
        <f>"301097"</f>
        <v>301097</v>
      </c>
      <c r="C66" s="24" t="str">
        <f t="shared" si="0"/>
        <v>'301097.SZ'</v>
      </c>
      <c r="D66" s="24" t="s">
        <v>3424</v>
      </c>
      <c r="E66" s="24" t="s">
        <v>3319</v>
      </c>
      <c r="F66" s="24">
        <v>2.8359999999999999</v>
      </c>
      <c r="G66" s="24">
        <v>3506778922.3200002</v>
      </c>
      <c r="H66" s="24">
        <v>3.4106000000000001</v>
      </c>
      <c r="I66" s="24">
        <v>3.1897000000000002</v>
      </c>
      <c r="J66" s="24">
        <v>1.3597999999999999</v>
      </c>
      <c r="K66" s="24">
        <v>20</v>
      </c>
      <c r="L66" s="24" t="s">
        <v>3425</v>
      </c>
    </row>
    <row r="67" spans="1:12" x14ac:dyDescent="0.35">
      <c r="A67" s="24" t="s">
        <v>3242</v>
      </c>
      <c r="B67" s="24" t="str">
        <f>"301056"</f>
        <v>301056</v>
      </c>
      <c r="C67" s="24" t="str">
        <f t="shared" ref="C67:C130" si="1">CONCATENATE("'",B67,IF(A67="sh",".SS'",".SZ'"))</f>
        <v>'301056.SZ'</v>
      </c>
      <c r="D67" s="24" t="s">
        <v>3426</v>
      </c>
      <c r="E67" s="24" t="s">
        <v>3427</v>
      </c>
      <c r="F67" s="24">
        <v>2.8348</v>
      </c>
      <c r="G67" s="24">
        <v>2080936002.5999999</v>
      </c>
      <c r="H67" s="24">
        <v>2.0257999999999998</v>
      </c>
      <c r="I67" s="24">
        <v>1.6245000000000001</v>
      </c>
      <c r="J67" s="24">
        <v>1.2501</v>
      </c>
      <c r="K67" s="24">
        <v>21</v>
      </c>
      <c r="L67" s="24" t="s">
        <v>3428</v>
      </c>
    </row>
    <row r="68" spans="1:12" x14ac:dyDescent="0.35">
      <c r="A68" s="24" t="s">
        <v>3246</v>
      </c>
      <c r="B68" s="24" t="str">
        <f>"603516"</f>
        <v>603516</v>
      </c>
      <c r="C68" s="24" t="str">
        <f t="shared" si="1"/>
        <v>'603516.SS'</v>
      </c>
      <c r="D68" s="24" t="s">
        <v>3429</v>
      </c>
      <c r="E68" s="24" t="s">
        <v>3257</v>
      </c>
      <c r="F68" s="24">
        <v>2.8342000000000001</v>
      </c>
      <c r="G68" s="24">
        <v>2690775275.8600001</v>
      </c>
      <c r="H68" s="24">
        <v>10.15</v>
      </c>
      <c r="I68" s="24">
        <v>9.0504999999999995</v>
      </c>
      <c r="J68" s="24">
        <v>1.6777</v>
      </c>
      <c r="K68" s="24">
        <v>218</v>
      </c>
      <c r="L68" s="24" t="s">
        <v>3430</v>
      </c>
    </row>
    <row r="69" spans="1:12" x14ac:dyDescent="0.35">
      <c r="A69" s="24" t="s">
        <v>3246</v>
      </c>
      <c r="B69" s="24" t="str">
        <f>"688656"</f>
        <v>688656</v>
      </c>
      <c r="C69" s="24" t="str">
        <f t="shared" si="1"/>
        <v>'688656.SS'</v>
      </c>
      <c r="D69" s="24" t="s">
        <v>3431</v>
      </c>
      <c r="E69" s="24" t="s">
        <v>3432</v>
      </c>
      <c r="F69" s="24">
        <v>2.8307000000000002</v>
      </c>
      <c r="G69" s="24">
        <v>2220283728.8800001</v>
      </c>
      <c r="H69" s="24">
        <v>4.4382000000000001</v>
      </c>
      <c r="I69" s="24">
        <v>3.5238</v>
      </c>
      <c r="J69" s="24">
        <v>0.92149999999999999</v>
      </c>
      <c r="K69" s="24">
        <v>64</v>
      </c>
      <c r="L69" s="24" t="s">
        <v>3433</v>
      </c>
    </row>
    <row r="70" spans="1:12" x14ac:dyDescent="0.35">
      <c r="A70" s="24" t="s">
        <v>3242</v>
      </c>
      <c r="B70" s="24" t="str">
        <f>"300845"</f>
        <v>300845</v>
      </c>
      <c r="C70" s="24" t="str">
        <f t="shared" si="1"/>
        <v>'300845.SZ'</v>
      </c>
      <c r="D70" s="24" t="s">
        <v>3434</v>
      </c>
      <c r="E70" s="24" t="s">
        <v>3257</v>
      </c>
      <c r="F70" s="24">
        <v>2.8281999999999998</v>
      </c>
      <c r="G70" s="24">
        <v>2078010000</v>
      </c>
      <c r="H70" s="24">
        <v>5.3000999999999996</v>
      </c>
      <c r="I70" s="24">
        <v>3.9266999999999999</v>
      </c>
      <c r="J70" s="24">
        <v>2.3050999999999999</v>
      </c>
      <c r="K70" s="24">
        <v>87</v>
      </c>
      <c r="L70" s="24" t="s">
        <v>3435</v>
      </c>
    </row>
    <row r="71" spans="1:12" x14ac:dyDescent="0.35">
      <c r="A71" s="24" t="s">
        <v>3246</v>
      </c>
      <c r="B71" s="24" t="str">
        <f>"603992"</f>
        <v>603992</v>
      </c>
      <c r="C71" s="24" t="str">
        <f t="shared" si="1"/>
        <v>'603992.SS'</v>
      </c>
      <c r="D71" s="24" t="s">
        <v>3436</v>
      </c>
      <c r="E71" s="24" t="s">
        <v>3437</v>
      </c>
      <c r="F71" s="24">
        <v>2.8250000000000002</v>
      </c>
      <c r="G71" s="24">
        <v>6849248374.6400003</v>
      </c>
      <c r="H71" s="24">
        <v>2.6924999999999999</v>
      </c>
      <c r="I71" s="24">
        <v>2.2766000000000002</v>
      </c>
      <c r="J71" s="24">
        <v>1.0295000000000001</v>
      </c>
      <c r="K71" s="24">
        <v>136</v>
      </c>
      <c r="L71" s="24" t="s">
        <v>3438</v>
      </c>
    </row>
    <row r="72" spans="1:12" x14ac:dyDescent="0.35">
      <c r="A72" s="24" t="s">
        <v>3242</v>
      </c>
      <c r="B72" s="24" t="str">
        <f>"002145"</f>
        <v>002145</v>
      </c>
      <c r="C72" s="24" t="str">
        <f t="shared" si="1"/>
        <v>'002145.SZ'</v>
      </c>
      <c r="D72" s="24" t="s">
        <v>3439</v>
      </c>
      <c r="E72" s="24" t="s">
        <v>3440</v>
      </c>
      <c r="F72" s="24">
        <v>2.8227000000000002</v>
      </c>
      <c r="G72" s="24">
        <v>19504762363.25</v>
      </c>
      <c r="H72" s="24">
        <v>1.6677999999999999</v>
      </c>
      <c r="I72" s="24">
        <v>1.3940999999999999</v>
      </c>
      <c r="J72" s="24">
        <v>0.93059999999999998</v>
      </c>
      <c r="K72" s="24">
        <v>298</v>
      </c>
      <c r="L72" s="24" t="s">
        <v>3441</v>
      </c>
    </row>
    <row r="73" spans="1:12" x14ac:dyDescent="0.35">
      <c r="A73" s="24" t="s">
        <v>3246</v>
      </c>
      <c r="B73" s="24" t="str">
        <f>"688626"</f>
        <v>688626</v>
      </c>
      <c r="C73" s="24" t="str">
        <f t="shared" si="1"/>
        <v>'688626.SS'</v>
      </c>
      <c r="D73" s="24" t="s">
        <v>3442</v>
      </c>
      <c r="E73" s="24" t="s">
        <v>3443</v>
      </c>
      <c r="F73" s="24">
        <v>2.82</v>
      </c>
      <c r="G73" s="24">
        <v>5344000000</v>
      </c>
      <c r="H73" s="24">
        <v>7.1387</v>
      </c>
      <c r="I73" s="24">
        <v>6.0822000000000003</v>
      </c>
      <c r="J73" s="24">
        <v>3.2073999999999998</v>
      </c>
      <c r="K73" s="24">
        <v>89</v>
      </c>
      <c r="L73" s="24" t="s">
        <v>3444</v>
      </c>
    </row>
    <row r="74" spans="1:12" x14ac:dyDescent="0.35">
      <c r="A74" s="24" t="s">
        <v>3242</v>
      </c>
      <c r="B74" s="24" t="str">
        <f>"000519"</f>
        <v>000519</v>
      </c>
      <c r="C74" s="24" t="str">
        <f t="shared" si="1"/>
        <v>'000519.SZ'</v>
      </c>
      <c r="D74" s="24" t="s">
        <v>3445</v>
      </c>
      <c r="E74" s="24" t="s">
        <v>3446</v>
      </c>
      <c r="F74" s="24">
        <v>2.8199000000000001</v>
      </c>
      <c r="G74" s="24">
        <v>27767626101.080002</v>
      </c>
      <c r="H74" s="24">
        <v>2.5327999999999999</v>
      </c>
      <c r="I74" s="24">
        <v>2.0863</v>
      </c>
      <c r="J74" s="24">
        <v>1.3177000000000001</v>
      </c>
      <c r="K74" s="24">
        <v>412</v>
      </c>
      <c r="L74" s="24" t="s">
        <v>3447</v>
      </c>
    </row>
    <row r="75" spans="1:12" x14ac:dyDescent="0.35">
      <c r="A75" s="24" t="s">
        <v>3242</v>
      </c>
      <c r="B75" s="24" t="str">
        <f>"300817"</f>
        <v>300817</v>
      </c>
      <c r="C75" s="24" t="str">
        <f t="shared" si="1"/>
        <v>'300817.SZ'</v>
      </c>
      <c r="D75" s="24" t="s">
        <v>3448</v>
      </c>
      <c r="E75" s="24" t="s">
        <v>3351</v>
      </c>
      <c r="F75" s="24">
        <v>2.8157999999999999</v>
      </c>
      <c r="G75" s="24">
        <v>2746191859.1999998</v>
      </c>
      <c r="H75" s="24">
        <v>2.7831000000000001</v>
      </c>
      <c r="I75" s="24">
        <v>2.1097000000000001</v>
      </c>
      <c r="J75" s="24">
        <v>0.8427</v>
      </c>
      <c r="K75" s="24">
        <v>68</v>
      </c>
      <c r="L75" s="24" t="s">
        <v>3449</v>
      </c>
    </row>
    <row r="76" spans="1:12" x14ac:dyDescent="0.35">
      <c r="A76" s="24" t="s">
        <v>3246</v>
      </c>
      <c r="B76" s="24" t="str">
        <f>"603303"</f>
        <v>603303</v>
      </c>
      <c r="C76" s="24" t="str">
        <f t="shared" si="1"/>
        <v>'603303.SS'</v>
      </c>
      <c r="D76" s="24" t="s">
        <v>3450</v>
      </c>
      <c r="E76" s="24" t="s">
        <v>3451</v>
      </c>
      <c r="F76" s="24">
        <v>2.8147000000000002</v>
      </c>
      <c r="G76" s="24">
        <v>8871169095</v>
      </c>
      <c r="H76" s="24">
        <v>2.0533999999999999</v>
      </c>
      <c r="I76" s="24">
        <v>1.6620999999999999</v>
      </c>
      <c r="J76" s="24">
        <v>0.93300000000000005</v>
      </c>
      <c r="K76" s="24">
        <v>186</v>
      </c>
      <c r="L76" s="24" t="s">
        <v>3452</v>
      </c>
    </row>
    <row r="77" spans="1:12" x14ac:dyDescent="0.35">
      <c r="A77" s="24" t="s">
        <v>3246</v>
      </c>
      <c r="B77" s="24" t="str">
        <f>"688282"</f>
        <v>688282</v>
      </c>
      <c r="C77" s="24" t="str">
        <f t="shared" si="1"/>
        <v>'688282.SS'</v>
      </c>
      <c r="D77" s="24" t="s">
        <v>3453</v>
      </c>
      <c r="E77" s="24" t="s">
        <v>3454</v>
      </c>
      <c r="F77" s="24">
        <v>2.8068</v>
      </c>
      <c r="G77" s="24">
        <v>4245120000</v>
      </c>
      <c r="H77" s="24">
        <v>6.1397000000000004</v>
      </c>
      <c r="I77" s="24">
        <v>5.9340000000000002</v>
      </c>
      <c r="J77" s="24">
        <v>1.6851</v>
      </c>
      <c r="K77" s="24">
        <v>16</v>
      </c>
      <c r="L77" s="24" t="s">
        <v>3455</v>
      </c>
    </row>
    <row r="78" spans="1:12" x14ac:dyDescent="0.35">
      <c r="A78" s="24" t="s">
        <v>3246</v>
      </c>
      <c r="B78" s="24" t="str">
        <f>"600770"</f>
        <v>600770</v>
      </c>
      <c r="C78" s="24" t="str">
        <f t="shared" si="1"/>
        <v>'600770.SS'</v>
      </c>
      <c r="D78" s="24" t="s">
        <v>3456</v>
      </c>
      <c r="E78" s="24" t="s">
        <v>3457</v>
      </c>
      <c r="F78" s="24">
        <v>2.8027000000000002</v>
      </c>
      <c r="G78" s="24">
        <v>9386000000</v>
      </c>
      <c r="H78" s="24">
        <v>3.3921000000000001</v>
      </c>
      <c r="I78" s="24">
        <v>3.2219000000000002</v>
      </c>
      <c r="J78" s="24">
        <v>1.5587</v>
      </c>
      <c r="K78" s="24">
        <v>3058</v>
      </c>
      <c r="L78" s="24" t="s">
        <v>3458</v>
      </c>
    </row>
    <row r="79" spans="1:12" x14ac:dyDescent="0.35">
      <c r="A79" s="24" t="s">
        <v>3246</v>
      </c>
      <c r="B79" s="24" t="str">
        <f>"603528"</f>
        <v>603528</v>
      </c>
      <c r="C79" s="24" t="str">
        <f t="shared" si="1"/>
        <v>'603528.SS'</v>
      </c>
      <c r="D79" s="24" t="s">
        <v>3459</v>
      </c>
      <c r="E79" s="24" t="s">
        <v>3368</v>
      </c>
      <c r="F79" s="24">
        <v>2.7976000000000001</v>
      </c>
      <c r="G79" s="24">
        <v>4206558332.7800002</v>
      </c>
      <c r="H79" s="24">
        <v>3.5276999999999998</v>
      </c>
      <c r="I79" s="24">
        <v>2.9994000000000001</v>
      </c>
      <c r="J79" s="24">
        <v>0.80659999999999998</v>
      </c>
      <c r="K79" s="24">
        <v>200</v>
      </c>
      <c r="L79" s="24" t="s">
        <v>3460</v>
      </c>
    </row>
    <row r="80" spans="1:12" x14ac:dyDescent="0.35">
      <c r="A80" s="24" t="s">
        <v>3242</v>
      </c>
      <c r="B80" s="24" t="str">
        <f>"300843"</f>
        <v>300843</v>
      </c>
      <c r="C80" s="24" t="str">
        <f t="shared" si="1"/>
        <v>'300843.SZ'</v>
      </c>
      <c r="D80" s="24" t="s">
        <v>3461</v>
      </c>
      <c r="E80" s="24" t="s">
        <v>3327</v>
      </c>
      <c r="F80" s="24">
        <v>2.7957999999999998</v>
      </c>
      <c r="G80" s="24">
        <v>2797322509.3000002</v>
      </c>
      <c r="H80" s="24">
        <v>2.7004999999999999</v>
      </c>
      <c r="I80" s="24">
        <v>2.4011</v>
      </c>
      <c r="J80" s="24">
        <v>0.98550000000000004</v>
      </c>
      <c r="K80" s="24">
        <v>96</v>
      </c>
      <c r="L80" s="24" t="s">
        <v>3462</v>
      </c>
    </row>
    <row r="81" spans="1:12" x14ac:dyDescent="0.35">
      <c r="A81" s="24" t="s">
        <v>3246</v>
      </c>
      <c r="B81" s="24" t="str">
        <f>"603160"</f>
        <v>603160</v>
      </c>
      <c r="C81" s="24" t="str">
        <f t="shared" si="1"/>
        <v>'603160.SS'</v>
      </c>
      <c r="D81" s="24" t="s">
        <v>3463</v>
      </c>
      <c r="E81" s="24" t="s">
        <v>3389</v>
      </c>
      <c r="F81" s="24">
        <v>2.7930000000000001</v>
      </c>
      <c r="G81" s="24">
        <v>23668701199.470001</v>
      </c>
      <c r="H81" s="24">
        <v>3.915</v>
      </c>
      <c r="I81" s="24">
        <v>2.5842000000000001</v>
      </c>
      <c r="J81" s="24">
        <v>1.8331</v>
      </c>
      <c r="K81" s="24">
        <v>2246</v>
      </c>
      <c r="L81" s="24" t="s">
        <v>3464</v>
      </c>
    </row>
    <row r="82" spans="1:12" x14ac:dyDescent="0.35">
      <c r="A82" s="24" t="s">
        <v>3246</v>
      </c>
      <c r="B82" s="24" t="str">
        <f>"688020"</f>
        <v>688020</v>
      </c>
      <c r="C82" s="24" t="str">
        <f t="shared" si="1"/>
        <v>'688020.SS'</v>
      </c>
      <c r="D82" s="24" t="s">
        <v>3465</v>
      </c>
      <c r="E82" s="24" t="s">
        <v>3466</v>
      </c>
      <c r="F82" s="24">
        <v>2.7860999999999998</v>
      </c>
      <c r="G82" s="24">
        <v>4361846990</v>
      </c>
      <c r="H82" s="24">
        <v>3.2707000000000002</v>
      </c>
      <c r="I82" s="24">
        <v>3.1263000000000001</v>
      </c>
      <c r="J82" s="24">
        <v>1.3391</v>
      </c>
      <c r="K82" s="24">
        <v>259</v>
      </c>
      <c r="L82" s="24" t="s">
        <v>3467</v>
      </c>
    </row>
    <row r="83" spans="1:12" x14ac:dyDescent="0.35">
      <c r="A83" s="24" t="s">
        <v>3246</v>
      </c>
      <c r="B83" s="24" t="str">
        <f>"688058"</f>
        <v>688058</v>
      </c>
      <c r="C83" s="24" t="str">
        <f t="shared" si="1"/>
        <v>'688058.SS'</v>
      </c>
      <c r="D83" s="24" t="s">
        <v>3468</v>
      </c>
      <c r="E83" s="24" t="s">
        <v>3285</v>
      </c>
      <c r="F83" s="24">
        <v>2.7852000000000001</v>
      </c>
      <c r="G83" s="24">
        <v>2401280000</v>
      </c>
      <c r="H83" s="24">
        <v>25.284600000000001</v>
      </c>
      <c r="I83" s="24">
        <v>24.5488</v>
      </c>
      <c r="J83" s="24">
        <v>14.0776</v>
      </c>
      <c r="K83" s="24">
        <v>97</v>
      </c>
      <c r="L83" s="24" t="s">
        <v>3469</v>
      </c>
    </row>
    <row r="84" spans="1:12" x14ac:dyDescent="0.35">
      <c r="A84" s="24" t="s">
        <v>3242</v>
      </c>
      <c r="B84" s="24" t="str">
        <f>"301023"</f>
        <v>301023</v>
      </c>
      <c r="C84" s="24" t="str">
        <f t="shared" si="1"/>
        <v>'301023.SZ'</v>
      </c>
      <c r="D84" s="24" t="s">
        <v>3470</v>
      </c>
      <c r="E84" s="24" t="s">
        <v>3288</v>
      </c>
      <c r="F84" s="24">
        <v>2.7839999999999998</v>
      </c>
      <c r="G84" s="24">
        <v>2329610400</v>
      </c>
      <c r="H84" s="24">
        <v>10.3627</v>
      </c>
      <c r="I84" s="24">
        <v>10.1273</v>
      </c>
      <c r="J84" s="24">
        <v>3.2877999999999998</v>
      </c>
      <c r="K84" s="24">
        <v>25</v>
      </c>
      <c r="L84" s="24" t="s">
        <v>3471</v>
      </c>
    </row>
    <row r="85" spans="1:12" x14ac:dyDescent="0.35">
      <c r="A85" s="24" t="s">
        <v>3242</v>
      </c>
      <c r="B85" s="24" t="str">
        <f>"002884"</f>
        <v>002884</v>
      </c>
      <c r="C85" s="24" t="str">
        <f t="shared" si="1"/>
        <v>'002884.SZ'</v>
      </c>
      <c r="D85" s="24" t="s">
        <v>3472</v>
      </c>
      <c r="E85" s="24" t="s">
        <v>3473</v>
      </c>
      <c r="F85" s="24">
        <v>2.7837000000000001</v>
      </c>
      <c r="G85" s="24">
        <v>5908915048.6800003</v>
      </c>
      <c r="H85" s="24">
        <v>21.051200000000001</v>
      </c>
      <c r="I85" s="24">
        <v>17.3489</v>
      </c>
      <c r="J85" s="24">
        <v>11.6449</v>
      </c>
      <c r="K85" s="24">
        <v>1174</v>
      </c>
      <c r="L85" s="24" t="s">
        <v>3474</v>
      </c>
    </row>
    <row r="86" spans="1:12" x14ac:dyDescent="0.35">
      <c r="A86" s="24" t="s">
        <v>3242</v>
      </c>
      <c r="B86" s="24" t="str">
        <f>"300445"</f>
        <v>300445</v>
      </c>
      <c r="C86" s="24" t="str">
        <f t="shared" si="1"/>
        <v>'300445.SZ'</v>
      </c>
      <c r="D86" s="24" t="s">
        <v>3475</v>
      </c>
      <c r="E86" s="24" t="s">
        <v>3476</v>
      </c>
      <c r="F86" s="24">
        <v>2.7816000000000001</v>
      </c>
      <c r="G86" s="24">
        <v>2733974267.3099999</v>
      </c>
      <c r="H86" s="24">
        <v>5.6734</v>
      </c>
      <c r="I86" s="24">
        <v>4.1534000000000004</v>
      </c>
      <c r="J86" s="24">
        <v>1.9252</v>
      </c>
      <c r="K86" s="24">
        <v>170</v>
      </c>
      <c r="L86" s="24" t="s">
        <v>3477</v>
      </c>
    </row>
    <row r="87" spans="1:12" x14ac:dyDescent="0.35">
      <c r="A87" s="24" t="s">
        <v>3242</v>
      </c>
      <c r="B87" s="24" t="str">
        <f>"300570"</f>
        <v>300570</v>
      </c>
      <c r="C87" s="24" t="str">
        <f t="shared" si="1"/>
        <v>'300570.SZ'</v>
      </c>
      <c r="D87" s="24" t="s">
        <v>3478</v>
      </c>
      <c r="E87" s="24" t="s">
        <v>3314</v>
      </c>
      <c r="F87" s="24">
        <v>2.7795000000000001</v>
      </c>
      <c r="G87" s="24">
        <v>3541950720</v>
      </c>
      <c r="H87" s="24">
        <v>5.1878000000000002</v>
      </c>
      <c r="I87" s="24">
        <v>4.2106000000000003</v>
      </c>
      <c r="J87" s="24">
        <v>1.9611000000000001</v>
      </c>
      <c r="K87" s="24">
        <v>241</v>
      </c>
      <c r="L87" s="24" t="s">
        <v>3479</v>
      </c>
    </row>
    <row r="88" spans="1:12" x14ac:dyDescent="0.35">
      <c r="A88" s="24" t="s">
        <v>3242</v>
      </c>
      <c r="B88" s="24" t="str">
        <f>"300494"</f>
        <v>300494</v>
      </c>
      <c r="C88" s="24" t="str">
        <f t="shared" si="1"/>
        <v>'300494.SZ'</v>
      </c>
      <c r="D88" s="24" t="s">
        <v>3480</v>
      </c>
      <c r="E88" s="24" t="s">
        <v>3481</v>
      </c>
      <c r="F88" s="24">
        <v>2.7759</v>
      </c>
      <c r="G88" s="24">
        <v>4172783585.2800002</v>
      </c>
      <c r="H88" s="24">
        <v>3.5398000000000001</v>
      </c>
      <c r="I88" s="24">
        <v>3.37</v>
      </c>
      <c r="J88" s="24">
        <v>1.9793000000000001</v>
      </c>
      <c r="K88" s="24">
        <v>145</v>
      </c>
      <c r="L88" s="24" t="s">
        <v>3482</v>
      </c>
    </row>
    <row r="89" spans="1:12" x14ac:dyDescent="0.35">
      <c r="A89" s="24" t="s">
        <v>3246</v>
      </c>
      <c r="B89" s="24" t="str">
        <f>"605077"</f>
        <v>605077</v>
      </c>
      <c r="C89" s="24" t="str">
        <f t="shared" si="1"/>
        <v>'605077.SS'</v>
      </c>
      <c r="D89" s="24" t="s">
        <v>3483</v>
      </c>
      <c r="E89" s="24" t="s">
        <v>3419</v>
      </c>
      <c r="F89" s="24">
        <v>2.7631999999999999</v>
      </c>
      <c r="G89" s="24">
        <v>7159861184</v>
      </c>
      <c r="H89" s="24">
        <v>2.6814</v>
      </c>
      <c r="I89" s="24">
        <v>2.2124999999999999</v>
      </c>
      <c r="J89" s="24">
        <v>1.5304</v>
      </c>
      <c r="K89" s="24">
        <v>106</v>
      </c>
      <c r="L89" s="24" t="s">
        <v>3484</v>
      </c>
    </row>
    <row r="90" spans="1:12" x14ac:dyDescent="0.35">
      <c r="A90" s="24" t="s">
        <v>3246</v>
      </c>
      <c r="B90" s="24" t="str">
        <f>"688169"</f>
        <v>688169</v>
      </c>
      <c r="C90" s="24" t="str">
        <f t="shared" si="1"/>
        <v>'688169.SS'</v>
      </c>
      <c r="D90" s="24" t="s">
        <v>3485</v>
      </c>
      <c r="E90" s="24" t="s">
        <v>3486</v>
      </c>
      <c r="F90" s="24">
        <v>2.7612999999999999</v>
      </c>
      <c r="G90" s="24">
        <v>25386680271.360001</v>
      </c>
      <c r="H90" s="24">
        <v>4.8338000000000001</v>
      </c>
      <c r="I90" s="24">
        <v>4.0307000000000004</v>
      </c>
      <c r="J90" s="24">
        <v>1.1180000000000001</v>
      </c>
      <c r="K90" s="24">
        <v>816</v>
      </c>
      <c r="L90" s="24" t="s">
        <v>3487</v>
      </c>
    </row>
    <row r="91" spans="1:12" x14ac:dyDescent="0.35">
      <c r="A91" s="24" t="s">
        <v>3242</v>
      </c>
      <c r="B91" s="24" t="str">
        <f>"002497"</f>
        <v>002497</v>
      </c>
      <c r="C91" s="24" t="str">
        <f t="shared" si="1"/>
        <v>'002497.SZ'</v>
      </c>
      <c r="D91" s="24" t="s">
        <v>3488</v>
      </c>
      <c r="E91" s="24" t="s">
        <v>3489</v>
      </c>
      <c r="F91" s="24">
        <v>2.7583000000000002</v>
      </c>
      <c r="G91" s="24">
        <v>28180153614</v>
      </c>
      <c r="H91" s="24">
        <v>3.1377999999999999</v>
      </c>
      <c r="I91" s="24">
        <v>2.2075</v>
      </c>
      <c r="J91" s="24">
        <v>0.94569999999999999</v>
      </c>
      <c r="K91" s="24">
        <v>537</v>
      </c>
      <c r="L91" s="24" t="s">
        <v>3490</v>
      </c>
    </row>
    <row r="92" spans="1:12" x14ac:dyDescent="0.35">
      <c r="A92" s="24" t="s">
        <v>3242</v>
      </c>
      <c r="B92" s="24" t="str">
        <f>"002749"</f>
        <v>002749</v>
      </c>
      <c r="C92" s="24" t="str">
        <f t="shared" si="1"/>
        <v>'002749.SZ'</v>
      </c>
      <c r="D92" s="24" t="s">
        <v>3491</v>
      </c>
      <c r="E92" s="24" t="s">
        <v>3492</v>
      </c>
      <c r="F92" s="24">
        <v>2.7578999999999998</v>
      </c>
      <c r="G92" s="24">
        <v>3936581750.3200002</v>
      </c>
      <c r="H92" s="24">
        <v>4.9284999999999997</v>
      </c>
      <c r="I92" s="24">
        <v>3.4860000000000002</v>
      </c>
      <c r="J92" s="24">
        <v>2.9571999999999998</v>
      </c>
      <c r="K92" s="24">
        <v>9767</v>
      </c>
      <c r="L92" s="24" t="s">
        <v>3493</v>
      </c>
    </row>
    <row r="93" spans="1:12" x14ac:dyDescent="0.35">
      <c r="A93" s="24" t="s">
        <v>3246</v>
      </c>
      <c r="B93" s="24" t="str">
        <f>"688061"</f>
        <v>688061</v>
      </c>
      <c r="C93" s="24" t="str">
        <f t="shared" si="1"/>
        <v>'688061.SS'</v>
      </c>
      <c r="D93" s="24" t="s">
        <v>3494</v>
      </c>
      <c r="E93" s="24" t="s">
        <v>3389</v>
      </c>
      <c r="F93" s="24">
        <v>2.7532000000000001</v>
      </c>
      <c r="G93" s="24">
        <v>7587326241.6000004</v>
      </c>
      <c r="H93" s="24">
        <v>4.6455000000000002</v>
      </c>
      <c r="I93" s="24">
        <v>3.4603999999999999</v>
      </c>
      <c r="J93" s="24">
        <v>0.84199999999999997</v>
      </c>
      <c r="K93" s="24">
        <v>11</v>
      </c>
      <c r="L93" s="24" t="s">
        <v>3495</v>
      </c>
    </row>
    <row r="94" spans="1:12" x14ac:dyDescent="0.35">
      <c r="A94" s="24" t="s">
        <v>3242</v>
      </c>
      <c r="B94" s="24" t="str">
        <f>"002651"</f>
        <v>002651</v>
      </c>
      <c r="C94" s="24" t="str">
        <f t="shared" si="1"/>
        <v>'002651.SZ'</v>
      </c>
      <c r="D94" s="24" t="s">
        <v>3496</v>
      </c>
      <c r="E94" s="24" t="s">
        <v>3497</v>
      </c>
      <c r="F94" s="24">
        <v>2.7473000000000001</v>
      </c>
      <c r="G94" s="24">
        <v>6903512800</v>
      </c>
      <c r="H94" s="24">
        <v>3.0051999999999999</v>
      </c>
      <c r="I94" s="24">
        <v>1.948</v>
      </c>
      <c r="J94" s="24">
        <v>1.5245</v>
      </c>
      <c r="K94" s="24">
        <v>132</v>
      </c>
      <c r="L94" s="24" t="s">
        <v>3498</v>
      </c>
    </row>
    <row r="95" spans="1:12" x14ac:dyDescent="0.35">
      <c r="A95" s="24" t="s">
        <v>3246</v>
      </c>
      <c r="B95" s="24" t="str">
        <f>"688076"</f>
        <v>688076</v>
      </c>
      <c r="C95" s="24" t="str">
        <f t="shared" si="1"/>
        <v>'688076.SS'</v>
      </c>
      <c r="D95" s="24" t="s">
        <v>3499</v>
      </c>
      <c r="E95" s="24" t="s">
        <v>3500</v>
      </c>
      <c r="F95" s="24">
        <v>2.7465999999999999</v>
      </c>
      <c r="G95" s="24">
        <v>5037533194</v>
      </c>
      <c r="H95" s="24">
        <v>2.1088</v>
      </c>
      <c r="I95" s="24">
        <v>1.4068000000000001</v>
      </c>
      <c r="J95" s="24">
        <v>0.88729999999999998</v>
      </c>
      <c r="K95" s="24">
        <v>55</v>
      </c>
      <c r="L95" s="24" t="s">
        <v>3501</v>
      </c>
    </row>
    <row r="96" spans="1:12" x14ac:dyDescent="0.35">
      <c r="A96" s="24" t="s">
        <v>3242</v>
      </c>
      <c r="B96" s="24" t="str">
        <f>"002486"</f>
        <v>002486</v>
      </c>
      <c r="C96" s="24" t="str">
        <f t="shared" si="1"/>
        <v>'002486.SZ'</v>
      </c>
      <c r="D96" s="24" t="s">
        <v>3502</v>
      </c>
      <c r="E96" s="24" t="s">
        <v>3357</v>
      </c>
      <c r="F96" s="24">
        <v>2.7462</v>
      </c>
      <c r="G96" s="24">
        <v>2803840000</v>
      </c>
      <c r="H96" s="24">
        <v>2.9276</v>
      </c>
      <c r="I96" s="24">
        <v>1.6313</v>
      </c>
      <c r="J96" s="24">
        <v>0.84450000000000003</v>
      </c>
      <c r="K96" s="24">
        <v>92</v>
      </c>
      <c r="L96" s="24" t="s">
        <v>3503</v>
      </c>
    </row>
    <row r="97" spans="1:12" x14ac:dyDescent="0.35">
      <c r="A97" s="24" t="s">
        <v>3242</v>
      </c>
      <c r="B97" s="24" t="str">
        <f>"300654"</f>
        <v>300654</v>
      </c>
      <c r="C97" s="24" t="str">
        <f t="shared" si="1"/>
        <v>'300654.SZ'</v>
      </c>
      <c r="D97" s="24" t="s">
        <v>3504</v>
      </c>
      <c r="E97" s="24" t="s">
        <v>3505</v>
      </c>
      <c r="F97" s="24">
        <v>2.7448000000000001</v>
      </c>
      <c r="G97" s="24">
        <v>2099686997.8</v>
      </c>
      <c r="H97" s="24">
        <v>2.9098999999999999</v>
      </c>
      <c r="I97" s="24">
        <v>2.7433000000000001</v>
      </c>
      <c r="J97" s="24">
        <v>0.95140000000000002</v>
      </c>
      <c r="K97" s="24">
        <v>77</v>
      </c>
      <c r="L97" s="24" t="s">
        <v>3506</v>
      </c>
    </row>
    <row r="98" spans="1:12" x14ac:dyDescent="0.35">
      <c r="A98" s="24" t="s">
        <v>3246</v>
      </c>
      <c r="B98" s="24" t="str">
        <f>"688689"</f>
        <v>688689</v>
      </c>
      <c r="C98" s="24" t="str">
        <f t="shared" si="1"/>
        <v>'688689.SS'</v>
      </c>
      <c r="D98" s="24" t="s">
        <v>3507</v>
      </c>
      <c r="E98" s="24" t="s">
        <v>3508</v>
      </c>
      <c r="F98" s="24">
        <v>2.7437</v>
      </c>
      <c r="G98" s="24">
        <v>3043210950</v>
      </c>
      <c r="H98" s="24">
        <v>6.1264000000000003</v>
      </c>
      <c r="I98" s="24">
        <v>5.4341999999999997</v>
      </c>
      <c r="J98" s="24">
        <v>1.3980999999999999</v>
      </c>
      <c r="K98" s="24">
        <v>65</v>
      </c>
      <c r="L98" s="24" t="s">
        <v>3509</v>
      </c>
    </row>
    <row r="99" spans="1:12" x14ac:dyDescent="0.35">
      <c r="A99" s="24" t="s">
        <v>3246</v>
      </c>
      <c r="B99" s="24" t="str">
        <f>"600749"</f>
        <v>600749</v>
      </c>
      <c r="C99" s="24" t="str">
        <f t="shared" si="1"/>
        <v>'600749.SS'</v>
      </c>
      <c r="D99" s="24" t="s">
        <v>3510</v>
      </c>
      <c r="E99" s="24" t="s">
        <v>3397</v>
      </c>
      <c r="F99" s="24">
        <v>2.7427999999999999</v>
      </c>
      <c r="G99" s="24">
        <v>2766709652.23</v>
      </c>
      <c r="H99" s="24">
        <v>3.3174000000000001</v>
      </c>
      <c r="I99" s="24">
        <v>3.2509999999999999</v>
      </c>
      <c r="J99" s="24">
        <v>2.3412999999999999</v>
      </c>
      <c r="K99" s="24">
        <v>115</v>
      </c>
      <c r="L99" s="24" t="s">
        <v>3511</v>
      </c>
    </row>
    <row r="100" spans="1:12" x14ac:dyDescent="0.35">
      <c r="A100" s="24" t="s">
        <v>3242</v>
      </c>
      <c r="B100" s="24" t="str">
        <f>"300502"</f>
        <v>300502</v>
      </c>
      <c r="C100" s="24" t="str">
        <f t="shared" si="1"/>
        <v>'300502.SZ'</v>
      </c>
      <c r="D100" s="24" t="s">
        <v>3512</v>
      </c>
      <c r="E100" s="24" t="s">
        <v>3314</v>
      </c>
      <c r="F100" s="24">
        <v>2.7410999999999999</v>
      </c>
      <c r="G100" s="24">
        <v>12788714443.18</v>
      </c>
      <c r="H100" s="24">
        <v>4.5095999999999998</v>
      </c>
      <c r="I100" s="24">
        <v>2.7484000000000002</v>
      </c>
      <c r="J100" s="24">
        <v>1.8241000000000001</v>
      </c>
      <c r="K100" s="24">
        <v>664</v>
      </c>
      <c r="L100" s="24" t="s">
        <v>3513</v>
      </c>
    </row>
    <row r="101" spans="1:12" x14ac:dyDescent="0.35">
      <c r="A101" s="24" t="s">
        <v>3242</v>
      </c>
      <c r="B101" s="24" t="str">
        <f>"002136"</f>
        <v>002136</v>
      </c>
      <c r="C101" s="24" t="str">
        <f t="shared" si="1"/>
        <v>'002136.SZ'</v>
      </c>
      <c r="D101" s="24" t="s">
        <v>3514</v>
      </c>
      <c r="E101" s="24" t="s">
        <v>3440</v>
      </c>
      <c r="F101" s="24">
        <v>2.7410999999999999</v>
      </c>
      <c r="G101" s="24">
        <v>2988778000</v>
      </c>
      <c r="H101" s="24">
        <v>2.0247999999999999</v>
      </c>
      <c r="I101" s="24">
        <v>1.6564000000000001</v>
      </c>
      <c r="J101" s="24">
        <v>0.84160000000000001</v>
      </c>
      <c r="K101" s="24">
        <v>142</v>
      </c>
      <c r="L101" s="24" t="s">
        <v>3515</v>
      </c>
    </row>
    <row r="102" spans="1:12" x14ac:dyDescent="0.35">
      <c r="A102" s="24" t="s">
        <v>3242</v>
      </c>
      <c r="B102" s="24" t="str">
        <f>"301298"</f>
        <v>301298</v>
      </c>
      <c r="C102" s="24" t="str">
        <f t="shared" si="1"/>
        <v>'301298.SZ'</v>
      </c>
      <c r="D102" s="24" t="s">
        <v>3516</v>
      </c>
      <c r="E102" s="24" t="s">
        <v>3299</v>
      </c>
      <c r="F102" s="24">
        <v>2.7406999999999999</v>
      </c>
      <c r="G102" s="24">
        <v>2290080000</v>
      </c>
      <c r="H102" s="24">
        <v>3.6419999999999999</v>
      </c>
      <c r="I102" s="24">
        <v>2.8666999999999998</v>
      </c>
      <c r="J102" s="24">
        <v>0.83660000000000001</v>
      </c>
      <c r="K102" s="24">
        <v>6</v>
      </c>
      <c r="L102" s="24" t="s">
        <v>3517</v>
      </c>
    </row>
    <row r="103" spans="1:12" x14ac:dyDescent="0.35">
      <c r="A103" s="24" t="s">
        <v>3242</v>
      </c>
      <c r="B103" s="24" t="str">
        <f>"301102"</f>
        <v>301102</v>
      </c>
      <c r="C103" s="24" t="str">
        <f t="shared" si="1"/>
        <v>'301102.SZ'</v>
      </c>
      <c r="D103" s="24" t="s">
        <v>3518</v>
      </c>
      <c r="E103" s="24" t="s">
        <v>3519</v>
      </c>
      <c r="F103" s="24">
        <v>2.7404999999999999</v>
      </c>
      <c r="G103" s="24">
        <v>7806000000</v>
      </c>
      <c r="H103" s="24">
        <v>12.0063</v>
      </c>
      <c r="I103" s="24">
        <v>11.991</v>
      </c>
      <c r="J103" s="24">
        <v>10.5169</v>
      </c>
      <c r="K103" s="24">
        <v>19</v>
      </c>
      <c r="L103" s="24" t="s">
        <v>3520</v>
      </c>
    </row>
    <row r="104" spans="1:12" x14ac:dyDescent="0.35">
      <c r="A104" s="24" t="s">
        <v>3242</v>
      </c>
      <c r="B104" s="24" t="str">
        <f>"300351"</f>
        <v>300351</v>
      </c>
      <c r="C104" s="24" t="str">
        <f t="shared" si="1"/>
        <v>'300351.SZ'</v>
      </c>
      <c r="D104" s="24" t="s">
        <v>3521</v>
      </c>
      <c r="E104" s="24" t="s">
        <v>3522</v>
      </c>
      <c r="F104" s="24">
        <v>2.7403</v>
      </c>
      <c r="G104" s="24">
        <v>6116370289.1599998</v>
      </c>
      <c r="H104" s="24">
        <v>3.7406000000000001</v>
      </c>
      <c r="I104" s="24">
        <v>2.8714</v>
      </c>
      <c r="J104" s="24">
        <v>1.2262</v>
      </c>
      <c r="K104" s="24">
        <v>246</v>
      </c>
      <c r="L104" s="24" t="s">
        <v>3523</v>
      </c>
    </row>
    <row r="105" spans="1:12" x14ac:dyDescent="0.35">
      <c r="A105" s="24" t="s">
        <v>3242</v>
      </c>
      <c r="B105" s="24" t="str">
        <f>"300451"</f>
        <v>300451</v>
      </c>
      <c r="C105" s="24" t="str">
        <f t="shared" si="1"/>
        <v>'300451.SZ'</v>
      </c>
      <c r="D105" s="24" t="s">
        <v>3524</v>
      </c>
      <c r="E105" s="24" t="s">
        <v>3368</v>
      </c>
      <c r="F105" s="24">
        <v>2.7244999999999999</v>
      </c>
      <c r="G105" s="24">
        <v>12797509511.92</v>
      </c>
      <c r="H105" s="24">
        <v>3.0026999999999999</v>
      </c>
      <c r="I105" s="24">
        <v>2.5749</v>
      </c>
      <c r="J105" s="24">
        <v>1.1279999999999999</v>
      </c>
      <c r="K105" s="24">
        <v>367</v>
      </c>
      <c r="L105" s="24" t="s">
        <v>3525</v>
      </c>
    </row>
    <row r="106" spans="1:12" x14ac:dyDescent="0.35">
      <c r="A106" s="24" t="s">
        <v>3242</v>
      </c>
      <c r="B106" s="24" t="str">
        <f>"002695"</f>
        <v>002695</v>
      </c>
      <c r="C106" s="24" t="str">
        <f t="shared" si="1"/>
        <v>'002695.SZ'</v>
      </c>
      <c r="D106" s="24" t="s">
        <v>3526</v>
      </c>
      <c r="E106" s="24" t="s">
        <v>3527</v>
      </c>
      <c r="F106" s="24">
        <v>2.7227999999999999</v>
      </c>
      <c r="G106" s="24">
        <v>6475525391.3599997</v>
      </c>
      <c r="H106" s="24">
        <v>4.3136000000000001</v>
      </c>
      <c r="I106" s="24">
        <v>3.0893999999999999</v>
      </c>
      <c r="J106" s="24">
        <v>2.2290999999999999</v>
      </c>
      <c r="K106" s="24">
        <v>637</v>
      </c>
      <c r="L106" s="24" t="s">
        <v>3528</v>
      </c>
    </row>
    <row r="107" spans="1:12" x14ac:dyDescent="0.35">
      <c r="A107" s="24" t="s">
        <v>3246</v>
      </c>
      <c r="B107" s="24" t="str">
        <f>"600602"</f>
        <v>600602</v>
      </c>
      <c r="C107" s="24" t="str">
        <f t="shared" si="1"/>
        <v>'600602.SS'</v>
      </c>
      <c r="D107" s="24" t="s">
        <v>3529</v>
      </c>
      <c r="E107" s="24" t="s">
        <v>3368</v>
      </c>
      <c r="F107" s="24">
        <v>2.7210000000000001</v>
      </c>
      <c r="G107" s="24">
        <v>12295384360.450001</v>
      </c>
      <c r="H107" s="24">
        <v>3.3016000000000001</v>
      </c>
      <c r="I107" s="24">
        <v>2.6478999999999999</v>
      </c>
      <c r="J107" s="24">
        <v>2.004</v>
      </c>
      <c r="K107" s="24">
        <v>156</v>
      </c>
      <c r="L107" s="24" t="s">
        <v>3530</v>
      </c>
    </row>
    <row r="108" spans="1:12" x14ac:dyDescent="0.35">
      <c r="A108" s="24" t="s">
        <v>3242</v>
      </c>
      <c r="B108" s="24" t="str">
        <f>"301138"</f>
        <v>301138</v>
      </c>
      <c r="C108" s="24" t="str">
        <f t="shared" si="1"/>
        <v>'301138.SZ'</v>
      </c>
      <c r="D108" s="24" t="s">
        <v>3531</v>
      </c>
      <c r="E108" s="24" t="s">
        <v>3532</v>
      </c>
      <c r="F108" s="24">
        <v>2.72</v>
      </c>
      <c r="G108" s="24">
        <v>2955600000</v>
      </c>
      <c r="H108" s="24">
        <v>4.0952999999999999</v>
      </c>
      <c r="I108" s="24">
        <v>2.8513000000000002</v>
      </c>
      <c r="J108" s="24">
        <v>2.496</v>
      </c>
      <c r="K108" s="24">
        <v>22</v>
      </c>
      <c r="L108" s="24" t="s">
        <v>3533</v>
      </c>
    </row>
    <row r="109" spans="1:12" x14ac:dyDescent="0.35">
      <c r="A109" s="24" t="s">
        <v>3242</v>
      </c>
      <c r="B109" s="24" t="str">
        <f>"002362"</f>
        <v>002362</v>
      </c>
      <c r="C109" s="24" t="str">
        <f t="shared" si="1"/>
        <v>'002362.SZ'</v>
      </c>
      <c r="D109" s="24" t="s">
        <v>3534</v>
      </c>
      <c r="E109" s="24" t="s">
        <v>3368</v>
      </c>
      <c r="F109" s="24">
        <v>2.7174</v>
      </c>
      <c r="G109" s="24">
        <v>4033501659</v>
      </c>
      <c r="H109" s="24">
        <v>4.6612</v>
      </c>
      <c r="I109" s="24">
        <v>2.9977999999999998</v>
      </c>
      <c r="J109" s="24">
        <v>0.96240000000000003</v>
      </c>
      <c r="K109" s="24">
        <v>207</v>
      </c>
      <c r="L109" s="24" t="s">
        <v>3535</v>
      </c>
    </row>
    <row r="110" spans="1:12" x14ac:dyDescent="0.35">
      <c r="A110" s="24" t="s">
        <v>3246</v>
      </c>
      <c r="B110" s="24" t="str">
        <f>"688410"</f>
        <v>688410</v>
      </c>
      <c r="C110" s="24" t="str">
        <f t="shared" si="1"/>
        <v>'688410.SS'</v>
      </c>
      <c r="D110" s="24" t="s">
        <v>3536</v>
      </c>
      <c r="E110" s="24" t="s">
        <v>3443</v>
      </c>
      <c r="F110" s="24">
        <v>2.7162999999999999</v>
      </c>
      <c r="G110" s="24">
        <v>4321645533.7399998</v>
      </c>
      <c r="H110" s="24">
        <v>4.0570000000000004</v>
      </c>
      <c r="I110" s="24">
        <v>3.1465000000000001</v>
      </c>
      <c r="J110" s="24">
        <v>1.1698</v>
      </c>
      <c r="L110" s="24" t="s">
        <v>3537</v>
      </c>
    </row>
    <row r="111" spans="1:12" x14ac:dyDescent="0.35">
      <c r="A111" s="24" t="s">
        <v>3246</v>
      </c>
      <c r="B111" s="24" t="str">
        <f>"600241"</f>
        <v>600241</v>
      </c>
      <c r="C111" s="24" t="str">
        <f t="shared" si="1"/>
        <v>'600241.SS'</v>
      </c>
      <c r="D111" s="24" t="s">
        <v>3538</v>
      </c>
      <c r="E111" s="24" t="s">
        <v>3539</v>
      </c>
      <c r="F111" s="24">
        <v>2.7149999999999999</v>
      </c>
      <c r="G111" s="24">
        <v>2869445621.25</v>
      </c>
      <c r="H111" s="24">
        <v>1.9578</v>
      </c>
      <c r="I111" s="24">
        <v>1.4508000000000001</v>
      </c>
      <c r="J111" s="24">
        <v>1.0556000000000001</v>
      </c>
      <c r="K111" s="24">
        <v>53</v>
      </c>
      <c r="L111" s="24" t="s">
        <v>3540</v>
      </c>
    </row>
    <row r="112" spans="1:12" x14ac:dyDescent="0.35">
      <c r="A112" s="24" t="s">
        <v>3246</v>
      </c>
      <c r="B112" s="24" t="str">
        <f>"605305"</f>
        <v>605305</v>
      </c>
      <c r="C112" s="24" t="str">
        <f t="shared" si="1"/>
        <v>'605305.SS'</v>
      </c>
      <c r="D112" s="24" t="s">
        <v>3541</v>
      </c>
      <c r="E112" s="24" t="s">
        <v>3542</v>
      </c>
      <c r="F112" s="24">
        <v>2.7027999999999999</v>
      </c>
      <c r="G112" s="24">
        <v>5792688000</v>
      </c>
      <c r="H112" s="24">
        <v>7.5509000000000004</v>
      </c>
      <c r="I112" s="24">
        <v>6.8556999999999997</v>
      </c>
      <c r="J112" s="24">
        <v>2.8551000000000002</v>
      </c>
      <c r="K112" s="24">
        <v>91</v>
      </c>
      <c r="L112" s="24" t="s">
        <v>3543</v>
      </c>
    </row>
    <row r="113" spans="1:12" x14ac:dyDescent="0.35">
      <c r="A113" s="24" t="s">
        <v>3242</v>
      </c>
      <c r="B113" s="24" t="str">
        <f>"301285"</f>
        <v>301285</v>
      </c>
      <c r="C113" s="24" t="str">
        <f t="shared" si="1"/>
        <v>'301285.SZ'</v>
      </c>
      <c r="D113" s="24" t="s">
        <v>3544</v>
      </c>
      <c r="F113" s="24">
        <v>2.7016</v>
      </c>
      <c r="G113" s="24">
        <v>2812778700</v>
      </c>
      <c r="H113" s="24">
        <v>2.1753999999999998</v>
      </c>
      <c r="I113" s="24">
        <v>1.7925</v>
      </c>
      <c r="J113" s="24">
        <v>1.3233999999999999</v>
      </c>
      <c r="K113" s="24">
        <v>2</v>
      </c>
      <c r="L113" s="24" t="s">
        <v>3545</v>
      </c>
    </row>
    <row r="114" spans="1:12" x14ac:dyDescent="0.35">
      <c r="A114" s="24" t="s">
        <v>3246</v>
      </c>
      <c r="B114" s="24" t="str">
        <f>"688033"</f>
        <v>688033</v>
      </c>
      <c r="C114" s="24" t="str">
        <f t="shared" si="1"/>
        <v>'688033.SS'</v>
      </c>
      <c r="D114" s="24" t="s">
        <v>3546</v>
      </c>
      <c r="E114" s="24" t="s">
        <v>3522</v>
      </c>
      <c r="F114" s="24">
        <v>2.6998000000000002</v>
      </c>
      <c r="G114" s="24">
        <v>13557049178.4</v>
      </c>
      <c r="H114" s="24">
        <v>4.2610999999999999</v>
      </c>
      <c r="I114" s="24">
        <v>3.8877999999999999</v>
      </c>
      <c r="J114" s="24">
        <v>2.7081</v>
      </c>
      <c r="K114" s="24">
        <v>103</v>
      </c>
      <c r="L114" s="24" t="s">
        <v>3547</v>
      </c>
    </row>
    <row r="115" spans="1:12" x14ac:dyDescent="0.35">
      <c r="A115" s="24" t="s">
        <v>3242</v>
      </c>
      <c r="B115" s="24" t="str">
        <f>"000935"</f>
        <v>000935</v>
      </c>
      <c r="C115" s="24" t="str">
        <f t="shared" si="1"/>
        <v>'000935.SZ'</v>
      </c>
      <c r="D115" s="24" t="s">
        <v>3548</v>
      </c>
      <c r="E115" s="24" t="s">
        <v>3549</v>
      </c>
      <c r="F115" s="24">
        <v>2.6985000000000001</v>
      </c>
      <c r="G115" s="24">
        <v>17368267575.75</v>
      </c>
      <c r="H115" s="24">
        <v>2.3632</v>
      </c>
      <c r="I115" s="24">
        <v>2.1482999999999999</v>
      </c>
      <c r="J115" s="24">
        <v>1.6008</v>
      </c>
      <c r="K115" s="24">
        <v>258</v>
      </c>
      <c r="L115" s="24" t="s">
        <v>3550</v>
      </c>
    </row>
    <row r="116" spans="1:12" x14ac:dyDescent="0.35">
      <c r="A116" s="24" t="s">
        <v>3246</v>
      </c>
      <c r="B116" s="24" t="str">
        <f>"688310"</f>
        <v>688310</v>
      </c>
      <c r="C116" s="24" t="str">
        <f t="shared" si="1"/>
        <v>'688310.SS'</v>
      </c>
      <c r="D116" s="24" t="s">
        <v>3551</v>
      </c>
      <c r="E116" s="24" t="s">
        <v>3552</v>
      </c>
      <c r="F116" s="24">
        <v>2.6983000000000001</v>
      </c>
      <c r="G116" s="24">
        <v>2064808974.98</v>
      </c>
      <c r="H116" s="24">
        <v>3.2115</v>
      </c>
      <c r="I116" s="24">
        <v>2.3698000000000001</v>
      </c>
      <c r="J116" s="24">
        <v>1.4297</v>
      </c>
      <c r="K116" s="24">
        <v>96</v>
      </c>
      <c r="L116" s="24" t="s">
        <v>3553</v>
      </c>
    </row>
    <row r="117" spans="1:12" x14ac:dyDescent="0.35">
      <c r="A117" s="24" t="s">
        <v>3242</v>
      </c>
      <c r="B117" s="24" t="str">
        <f>"002148"</f>
        <v>002148</v>
      </c>
      <c r="C117" s="24" t="str">
        <f t="shared" si="1"/>
        <v>'002148.SZ'</v>
      </c>
      <c r="D117" s="24" t="s">
        <v>3554</v>
      </c>
      <c r="E117" s="24" t="s">
        <v>3339</v>
      </c>
      <c r="F117" s="24">
        <v>2.6977000000000002</v>
      </c>
      <c r="G117" s="24">
        <v>3180299768.0999999</v>
      </c>
      <c r="H117" s="24">
        <v>6.5789</v>
      </c>
      <c r="I117" s="24">
        <v>6.4546999999999999</v>
      </c>
      <c r="J117" s="24">
        <v>2.9386000000000001</v>
      </c>
      <c r="K117" s="24">
        <v>114</v>
      </c>
      <c r="L117" s="24" t="s">
        <v>3555</v>
      </c>
    </row>
    <row r="118" spans="1:12" x14ac:dyDescent="0.35">
      <c r="A118" s="24" t="s">
        <v>3246</v>
      </c>
      <c r="B118" s="24" t="str">
        <f>"688409"</f>
        <v>688409</v>
      </c>
      <c r="C118" s="24" t="str">
        <f t="shared" si="1"/>
        <v>'688409.SS'</v>
      </c>
      <c r="D118" s="24" t="s">
        <v>3556</v>
      </c>
      <c r="E118" s="24" t="s">
        <v>3557</v>
      </c>
      <c r="F118" s="24">
        <v>2.6951000000000001</v>
      </c>
      <c r="G118" s="24">
        <v>22285085404.400002</v>
      </c>
      <c r="H118" s="24">
        <v>5.0856000000000003</v>
      </c>
      <c r="I118" s="24">
        <v>4.4800000000000004</v>
      </c>
      <c r="J118" s="24">
        <v>3.8645</v>
      </c>
      <c r="K118" s="24">
        <v>14</v>
      </c>
      <c r="L118" s="24" t="s">
        <v>3558</v>
      </c>
    </row>
    <row r="119" spans="1:12" x14ac:dyDescent="0.35">
      <c r="A119" s="24" t="s">
        <v>3246</v>
      </c>
      <c r="B119" s="24" t="str">
        <f>"601890"</f>
        <v>601890</v>
      </c>
      <c r="C119" s="24" t="str">
        <f t="shared" si="1"/>
        <v>'601890.SS'</v>
      </c>
      <c r="D119" s="24" t="s">
        <v>3559</v>
      </c>
      <c r="E119" s="24" t="s">
        <v>3560</v>
      </c>
      <c r="F119" s="24">
        <v>2.6924000000000001</v>
      </c>
      <c r="G119" s="24">
        <v>8625006000</v>
      </c>
      <c r="H119" s="24">
        <v>5.1940999999999997</v>
      </c>
      <c r="I119" s="24">
        <v>3.6349</v>
      </c>
      <c r="J119" s="24">
        <v>1.7974000000000001</v>
      </c>
      <c r="K119" s="24">
        <v>167</v>
      </c>
      <c r="L119" s="24" t="s">
        <v>3561</v>
      </c>
    </row>
    <row r="120" spans="1:12" x14ac:dyDescent="0.35">
      <c r="A120" s="24" t="s">
        <v>3246</v>
      </c>
      <c r="B120" s="24" t="str">
        <f>"688137"</f>
        <v>688137</v>
      </c>
      <c r="C120" s="24" t="str">
        <f t="shared" si="1"/>
        <v>'688137.SS'</v>
      </c>
      <c r="D120" s="24" t="s">
        <v>3562</v>
      </c>
      <c r="E120" s="24" t="s">
        <v>3282</v>
      </c>
      <c r="F120" s="24">
        <v>2.6911</v>
      </c>
      <c r="G120" s="24">
        <v>5912280735.75</v>
      </c>
      <c r="H120" s="24">
        <v>23.575399999999998</v>
      </c>
      <c r="I120" s="24">
        <v>22.675699999999999</v>
      </c>
      <c r="J120" s="24">
        <v>18.508700000000001</v>
      </c>
      <c r="K120" s="24">
        <v>14</v>
      </c>
      <c r="L120" s="24" t="s">
        <v>3563</v>
      </c>
    </row>
    <row r="121" spans="1:12" x14ac:dyDescent="0.35">
      <c r="A121" s="24" t="s">
        <v>3242</v>
      </c>
      <c r="B121" s="24" t="str">
        <f>"002835"</f>
        <v>002835</v>
      </c>
      <c r="C121" s="24" t="str">
        <f t="shared" si="1"/>
        <v>'002835.SZ'</v>
      </c>
      <c r="D121" s="24" t="s">
        <v>3564</v>
      </c>
      <c r="E121" s="24" t="s">
        <v>3565</v>
      </c>
      <c r="F121" s="24">
        <v>2.6888999999999998</v>
      </c>
      <c r="G121" s="24">
        <v>2357364818.9400001</v>
      </c>
      <c r="H121" s="24">
        <v>3.1398000000000001</v>
      </c>
      <c r="I121" s="24">
        <v>2.2595000000000001</v>
      </c>
      <c r="J121" s="24">
        <v>1.1773</v>
      </c>
      <c r="K121" s="24">
        <v>98</v>
      </c>
      <c r="L121" s="24" t="s">
        <v>3566</v>
      </c>
    </row>
    <row r="122" spans="1:12" x14ac:dyDescent="0.35">
      <c r="A122" s="24" t="s">
        <v>3242</v>
      </c>
      <c r="B122" s="24" t="str">
        <f>"300939"</f>
        <v>300939</v>
      </c>
      <c r="C122" s="24" t="str">
        <f t="shared" si="1"/>
        <v>'300939.SZ'</v>
      </c>
      <c r="D122" s="24" t="s">
        <v>3567</v>
      </c>
      <c r="E122" s="24" t="s">
        <v>3568</v>
      </c>
      <c r="F122" s="24">
        <v>2.6886000000000001</v>
      </c>
      <c r="G122" s="24">
        <v>3385200000</v>
      </c>
      <c r="H122" s="24">
        <v>5.0045000000000002</v>
      </c>
      <c r="I122" s="24">
        <v>4.5458999999999996</v>
      </c>
      <c r="J122" s="24">
        <v>1.0960000000000001</v>
      </c>
      <c r="K122" s="24">
        <v>48</v>
      </c>
      <c r="L122" s="24" t="s">
        <v>3569</v>
      </c>
    </row>
    <row r="123" spans="1:12" x14ac:dyDescent="0.35">
      <c r="A123" s="24" t="s">
        <v>3242</v>
      </c>
      <c r="B123" s="24" t="str">
        <f>"300888"</f>
        <v>300888</v>
      </c>
      <c r="C123" s="24" t="str">
        <f t="shared" si="1"/>
        <v>'300888.SZ'</v>
      </c>
      <c r="D123" s="24" t="s">
        <v>3570</v>
      </c>
      <c r="E123" s="24" t="s">
        <v>3571</v>
      </c>
      <c r="F123" s="24">
        <v>2.6825000000000001</v>
      </c>
      <c r="G123" s="24">
        <v>30502729868.16</v>
      </c>
      <c r="H123" s="24">
        <v>2.6280999999999999</v>
      </c>
      <c r="I123" s="24">
        <v>2.1196000000000002</v>
      </c>
      <c r="J123" s="24">
        <v>0.93230000000000002</v>
      </c>
      <c r="K123" s="24">
        <v>467</v>
      </c>
      <c r="L123" s="24" t="s">
        <v>3572</v>
      </c>
    </row>
    <row r="124" spans="1:12" x14ac:dyDescent="0.35">
      <c r="A124" s="24" t="s">
        <v>3246</v>
      </c>
      <c r="B124" s="24" t="str">
        <f>"603155"</f>
        <v>603155</v>
      </c>
      <c r="C124" s="24" t="str">
        <f t="shared" si="1"/>
        <v>'603155.SS'</v>
      </c>
      <c r="D124" s="24" t="s">
        <v>3573</v>
      </c>
      <c r="E124" s="24" t="s">
        <v>3322</v>
      </c>
      <c r="F124" s="24">
        <v>2.6768999999999998</v>
      </c>
      <c r="G124" s="24">
        <v>6182654420</v>
      </c>
      <c r="H124" s="24">
        <v>6.6052</v>
      </c>
      <c r="I124" s="24">
        <v>5.8808999999999996</v>
      </c>
      <c r="J124" s="24">
        <v>1.4117999999999999</v>
      </c>
      <c r="K124" s="24">
        <v>87</v>
      </c>
      <c r="L124" s="24" t="s">
        <v>3574</v>
      </c>
    </row>
    <row r="125" spans="1:12" x14ac:dyDescent="0.35">
      <c r="A125" s="24" t="s">
        <v>3246</v>
      </c>
      <c r="B125" s="24" t="str">
        <f>"688196"</f>
        <v>688196</v>
      </c>
      <c r="C125" s="24" t="str">
        <f t="shared" si="1"/>
        <v>'688196.SS'</v>
      </c>
      <c r="D125" s="24" t="s">
        <v>3575</v>
      </c>
      <c r="E125" s="24" t="s">
        <v>3271</v>
      </c>
      <c r="F125" s="24">
        <v>2.6743000000000001</v>
      </c>
      <c r="G125" s="24">
        <v>7387200000</v>
      </c>
      <c r="H125" s="24">
        <v>8.1268999999999991</v>
      </c>
      <c r="I125" s="24">
        <v>6.1154999999999999</v>
      </c>
      <c r="J125" s="24">
        <v>3.2040000000000002</v>
      </c>
      <c r="K125" s="24">
        <v>213</v>
      </c>
      <c r="L125" s="24" t="s">
        <v>3576</v>
      </c>
    </row>
    <row r="126" spans="1:12" x14ac:dyDescent="0.35">
      <c r="A126" s="24" t="s">
        <v>3242</v>
      </c>
      <c r="B126" s="24" t="str">
        <f>"300369"</f>
        <v>300369</v>
      </c>
      <c r="C126" s="24" t="str">
        <f t="shared" si="1"/>
        <v>'300369.SZ'</v>
      </c>
      <c r="D126" s="24" t="s">
        <v>3577</v>
      </c>
      <c r="E126" s="24" t="s">
        <v>3285</v>
      </c>
      <c r="F126" s="24">
        <v>2.6680000000000001</v>
      </c>
      <c r="G126" s="24">
        <v>9119833996.4599991</v>
      </c>
      <c r="H126" s="24">
        <v>3.6695000000000002</v>
      </c>
      <c r="I126" s="24">
        <v>3.3448000000000002</v>
      </c>
      <c r="J126" s="24">
        <v>0.83609999999999995</v>
      </c>
      <c r="K126" s="24">
        <v>422</v>
      </c>
      <c r="L126" s="24" t="s">
        <v>3578</v>
      </c>
    </row>
    <row r="127" spans="1:12" x14ac:dyDescent="0.35">
      <c r="A127" s="24" t="s">
        <v>3246</v>
      </c>
      <c r="B127" s="24" t="str">
        <f>"600426"</f>
        <v>600426</v>
      </c>
      <c r="C127" s="24" t="str">
        <f t="shared" si="1"/>
        <v>'600426.SS'</v>
      </c>
      <c r="D127" s="24" t="s">
        <v>3579</v>
      </c>
      <c r="E127" s="24" t="s">
        <v>3580</v>
      </c>
      <c r="F127" s="24">
        <v>2.6635</v>
      </c>
      <c r="G127" s="24">
        <v>69623662767.210007</v>
      </c>
      <c r="H127" s="24">
        <v>2.6560000000000001</v>
      </c>
      <c r="I127" s="24">
        <v>2.1852999999999998</v>
      </c>
      <c r="J127" s="24">
        <v>0.90429999999999999</v>
      </c>
      <c r="K127" s="24">
        <v>1092</v>
      </c>
      <c r="L127" s="24" t="s">
        <v>3581</v>
      </c>
    </row>
    <row r="128" spans="1:12" x14ac:dyDescent="0.35">
      <c r="A128" s="24" t="s">
        <v>3246</v>
      </c>
      <c r="B128" s="24" t="str">
        <f>"605009"</f>
        <v>605009</v>
      </c>
      <c r="C128" s="24" t="str">
        <f t="shared" si="1"/>
        <v>'605009.SS'</v>
      </c>
      <c r="D128" s="24" t="s">
        <v>3582</v>
      </c>
      <c r="E128" s="24" t="s">
        <v>3571</v>
      </c>
      <c r="F128" s="24">
        <v>2.6617000000000002</v>
      </c>
      <c r="G128" s="24">
        <v>7764451988.9799995</v>
      </c>
      <c r="H128" s="24">
        <v>2.5377000000000001</v>
      </c>
      <c r="I128" s="24">
        <v>2.1863000000000001</v>
      </c>
      <c r="J128" s="24">
        <v>1.474</v>
      </c>
      <c r="K128" s="24">
        <v>357</v>
      </c>
      <c r="L128" s="24" t="s">
        <v>3583</v>
      </c>
    </row>
    <row r="129" spans="1:12" x14ac:dyDescent="0.35">
      <c r="A129" s="24" t="s">
        <v>3242</v>
      </c>
      <c r="B129" s="24" t="str">
        <f>"002315"</f>
        <v>002315</v>
      </c>
      <c r="C129" s="24" t="str">
        <f t="shared" si="1"/>
        <v>'002315.SZ'</v>
      </c>
      <c r="D129" s="24" t="s">
        <v>3584</v>
      </c>
      <c r="E129" s="24" t="s">
        <v>3585</v>
      </c>
      <c r="F129" s="24">
        <v>2.6612</v>
      </c>
      <c r="G129" s="24">
        <v>5663145004.8000002</v>
      </c>
      <c r="H129" s="24">
        <v>2.0783999999999998</v>
      </c>
      <c r="I129" s="24">
        <v>2.0514999999999999</v>
      </c>
      <c r="J129" s="24">
        <v>1.542</v>
      </c>
      <c r="K129" s="24">
        <v>237</v>
      </c>
      <c r="L129" s="24" t="s">
        <v>3586</v>
      </c>
    </row>
    <row r="130" spans="1:12" x14ac:dyDescent="0.35">
      <c r="A130" s="24" t="s">
        <v>3242</v>
      </c>
      <c r="B130" s="24" t="str">
        <f>"300333"</f>
        <v>300333</v>
      </c>
      <c r="C130" s="24" t="str">
        <f t="shared" si="1"/>
        <v>'300333.SZ'</v>
      </c>
      <c r="D130" s="24" t="s">
        <v>3587</v>
      </c>
      <c r="E130" s="24" t="s">
        <v>3257</v>
      </c>
      <c r="F130" s="24">
        <v>2.6608000000000001</v>
      </c>
      <c r="G130" s="24">
        <v>2036160000</v>
      </c>
      <c r="H130" s="24">
        <v>19.0718</v>
      </c>
      <c r="I130" s="24">
        <v>16.447800000000001</v>
      </c>
      <c r="J130" s="24">
        <v>7.9080000000000004</v>
      </c>
      <c r="K130" s="24">
        <v>95</v>
      </c>
      <c r="L130" s="24" t="s">
        <v>3588</v>
      </c>
    </row>
    <row r="131" spans="1:12" x14ac:dyDescent="0.35">
      <c r="A131" s="24" t="s">
        <v>3242</v>
      </c>
      <c r="B131" s="24" t="str">
        <f>"301159"</f>
        <v>301159</v>
      </c>
      <c r="C131" s="24" t="str">
        <f t="shared" ref="C131:C194" si="2">CONCATENATE("'",B131,IF(A131="sh",".SS'",".SZ'"))</f>
        <v>'301159.SZ'</v>
      </c>
      <c r="D131" s="24" t="s">
        <v>3589</v>
      </c>
      <c r="E131" s="24" t="s">
        <v>3368</v>
      </c>
      <c r="F131" s="24">
        <v>2.6594000000000002</v>
      </c>
      <c r="G131" s="24">
        <v>2184364000</v>
      </c>
      <c r="H131" s="24">
        <v>6.0826000000000002</v>
      </c>
      <c r="I131" s="24">
        <v>5.0476999999999999</v>
      </c>
      <c r="J131" s="24">
        <v>3.5318000000000001</v>
      </c>
      <c r="K131" s="24">
        <v>21</v>
      </c>
      <c r="L131" s="24" t="s">
        <v>3590</v>
      </c>
    </row>
    <row r="132" spans="1:12" x14ac:dyDescent="0.35">
      <c r="A132" s="24" t="s">
        <v>3246</v>
      </c>
      <c r="B132" s="24" t="str">
        <f>"600576"</f>
        <v>600576</v>
      </c>
      <c r="C132" s="24" t="str">
        <f t="shared" si="2"/>
        <v>'600576.SS'</v>
      </c>
      <c r="D132" s="24" t="s">
        <v>3591</v>
      </c>
      <c r="E132" s="24" t="s">
        <v>3305</v>
      </c>
      <c r="F132" s="24">
        <v>2.6573000000000002</v>
      </c>
      <c r="G132" s="24">
        <v>7919545608.5200005</v>
      </c>
      <c r="H132" s="24">
        <v>8.0320999999999998</v>
      </c>
      <c r="I132" s="24">
        <v>6.4302999999999999</v>
      </c>
      <c r="J132" s="24">
        <v>2.2555000000000001</v>
      </c>
      <c r="K132" s="24">
        <v>88</v>
      </c>
      <c r="L132" s="24" t="s">
        <v>3592</v>
      </c>
    </row>
    <row r="133" spans="1:12" x14ac:dyDescent="0.35">
      <c r="A133" s="24" t="s">
        <v>3246</v>
      </c>
      <c r="B133" s="24" t="str">
        <f>"601595"</f>
        <v>601595</v>
      </c>
      <c r="C133" s="24" t="str">
        <f t="shared" si="2"/>
        <v>'601595.SS'</v>
      </c>
      <c r="D133" s="24" t="s">
        <v>3593</v>
      </c>
      <c r="E133" s="24" t="s">
        <v>3305</v>
      </c>
      <c r="F133" s="24">
        <v>2.6549</v>
      </c>
      <c r="G133" s="24">
        <v>4692654000</v>
      </c>
      <c r="H133" s="24">
        <v>2.6610999999999998</v>
      </c>
      <c r="I133" s="24">
        <v>2.625</v>
      </c>
      <c r="J133" s="24">
        <v>2.0762999999999998</v>
      </c>
      <c r="K133" s="24">
        <v>162</v>
      </c>
      <c r="L133" s="24" t="s">
        <v>3594</v>
      </c>
    </row>
    <row r="134" spans="1:12" x14ac:dyDescent="0.35">
      <c r="A134" s="24" t="s">
        <v>3242</v>
      </c>
      <c r="B134" s="24" t="str">
        <f>"300796"</f>
        <v>300796</v>
      </c>
      <c r="C134" s="24" t="str">
        <f t="shared" si="2"/>
        <v>'300796.SZ'</v>
      </c>
      <c r="D134" s="24" t="s">
        <v>3595</v>
      </c>
      <c r="E134" s="24" t="s">
        <v>3492</v>
      </c>
      <c r="F134" s="24">
        <v>2.6533000000000002</v>
      </c>
      <c r="G134" s="24">
        <v>4165181126.04</v>
      </c>
      <c r="H134" s="24">
        <v>4.6208999999999998</v>
      </c>
      <c r="I134" s="24">
        <v>4.3151999999999999</v>
      </c>
      <c r="J134" s="24">
        <v>3.3489</v>
      </c>
      <c r="K134" s="24">
        <v>48</v>
      </c>
      <c r="L134" s="24" t="s">
        <v>3596</v>
      </c>
    </row>
    <row r="135" spans="1:12" x14ac:dyDescent="0.35">
      <c r="A135" s="24" t="s">
        <v>3242</v>
      </c>
      <c r="B135" s="24" t="str">
        <f>"301181"</f>
        <v>301181</v>
      </c>
      <c r="C135" s="24" t="str">
        <f t="shared" si="2"/>
        <v>'301181.SZ'</v>
      </c>
      <c r="D135" s="24" t="s">
        <v>3597</v>
      </c>
      <c r="E135" s="24" t="s">
        <v>3299</v>
      </c>
      <c r="F135" s="24">
        <v>2.6516999999999999</v>
      </c>
      <c r="G135" s="24">
        <v>3393000000</v>
      </c>
      <c r="H135" s="24">
        <v>10.1205</v>
      </c>
      <c r="I135" s="24">
        <v>9.1586999999999996</v>
      </c>
      <c r="J135" s="24">
        <v>3.1116999999999999</v>
      </c>
      <c r="K135" s="24">
        <v>22</v>
      </c>
      <c r="L135" s="24" t="s">
        <v>3598</v>
      </c>
    </row>
    <row r="136" spans="1:12" x14ac:dyDescent="0.35">
      <c r="A136" s="24" t="s">
        <v>3242</v>
      </c>
      <c r="B136" s="24" t="str">
        <f>"301369"</f>
        <v>301369</v>
      </c>
      <c r="C136" s="24" t="str">
        <f t="shared" si="2"/>
        <v>'301369.SZ'</v>
      </c>
      <c r="D136" s="24" t="s">
        <v>3599</v>
      </c>
      <c r="E136" s="24" t="s">
        <v>3557</v>
      </c>
      <c r="F136" s="24">
        <v>2.6513</v>
      </c>
      <c r="G136" s="24">
        <v>4427969081.9700003</v>
      </c>
      <c r="H136" s="24">
        <v>15.8918</v>
      </c>
      <c r="I136" s="24">
        <v>14.616400000000001</v>
      </c>
      <c r="J136" s="24">
        <v>12.5252</v>
      </c>
      <c r="K136" s="24">
        <v>9</v>
      </c>
      <c r="L136" s="24" t="s">
        <v>3600</v>
      </c>
    </row>
    <row r="137" spans="1:12" x14ac:dyDescent="0.35">
      <c r="A137" s="24" t="s">
        <v>3242</v>
      </c>
      <c r="B137" s="24" t="str">
        <f>"001231"</f>
        <v>001231</v>
      </c>
      <c r="C137" s="24" t="str">
        <f t="shared" si="2"/>
        <v>'001231.SZ'</v>
      </c>
      <c r="D137" s="24" t="s">
        <v>3601</v>
      </c>
      <c r="E137" s="24" t="s">
        <v>3492</v>
      </c>
      <c r="F137" s="24">
        <v>2.65</v>
      </c>
      <c r="G137" s="24">
        <v>2317000000</v>
      </c>
      <c r="H137" s="24">
        <v>3.4085000000000001</v>
      </c>
      <c r="I137" s="24">
        <v>2.5257000000000001</v>
      </c>
      <c r="J137" s="24">
        <v>1.8794999999999999</v>
      </c>
      <c r="K137" s="24">
        <v>6</v>
      </c>
      <c r="L137" s="24" t="s">
        <v>3602</v>
      </c>
    </row>
    <row r="138" spans="1:12" x14ac:dyDescent="0.35">
      <c r="A138" s="24" t="s">
        <v>3246</v>
      </c>
      <c r="B138" s="24" t="str">
        <f>"605080"</f>
        <v>605080</v>
      </c>
      <c r="C138" s="24" t="str">
        <f t="shared" si="2"/>
        <v>'605080.SS'</v>
      </c>
      <c r="D138" s="24" t="s">
        <v>3603</v>
      </c>
      <c r="E138" s="24" t="s">
        <v>3296</v>
      </c>
      <c r="F138" s="24">
        <v>2.6471</v>
      </c>
      <c r="G138" s="24">
        <v>4694157512</v>
      </c>
      <c r="H138" s="24">
        <v>7.2788000000000004</v>
      </c>
      <c r="I138" s="24">
        <v>6.1516999999999999</v>
      </c>
      <c r="J138" s="24">
        <v>2.4853000000000001</v>
      </c>
      <c r="K138" s="24">
        <v>77</v>
      </c>
      <c r="L138" s="24" t="s">
        <v>3604</v>
      </c>
    </row>
    <row r="139" spans="1:12" x14ac:dyDescent="0.35">
      <c r="A139" s="24" t="s">
        <v>3242</v>
      </c>
      <c r="B139" s="24" t="str">
        <f>"002978"</f>
        <v>002978</v>
      </c>
      <c r="C139" s="24" t="str">
        <f t="shared" si="2"/>
        <v>'002978.SZ'</v>
      </c>
      <c r="D139" s="24" t="s">
        <v>3605</v>
      </c>
      <c r="E139" s="24" t="s">
        <v>3345</v>
      </c>
      <c r="F139" s="24">
        <v>2.6444999999999999</v>
      </c>
      <c r="G139" s="24">
        <v>13838510000</v>
      </c>
      <c r="H139" s="24">
        <v>4.1253000000000002</v>
      </c>
      <c r="I139" s="24">
        <v>4.0034000000000001</v>
      </c>
      <c r="J139" s="24">
        <v>2.927</v>
      </c>
      <c r="K139" s="24">
        <v>250</v>
      </c>
      <c r="L139" s="24" t="s">
        <v>3606</v>
      </c>
    </row>
    <row r="140" spans="1:12" x14ac:dyDescent="0.35">
      <c r="A140" s="24" t="s">
        <v>3246</v>
      </c>
      <c r="B140" s="24" t="str">
        <f>"688267"</f>
        <v>688267</v>
      </c>
      <c r="C140" s="24" t="str">
        <f t="shared" si="2"/>
        <v>'688267.SS'</v>
      </c>
      <c r="D140" s="24" t="s">
        <v>3607</v>
      </c>
      <c r="E140" s="24" t="s">
        <v>3271</v>
      </c>
      <c r="F140" s="24">
        <v>2.6423999999999999</v>
      </c>
      <c r="G140" s="24">
        <v>6790748000</v>
      </c>
      <c r="H140" s="24">
        <v>8.4643999999999995</v>
      </c>
      <c r="I140" s="24">
        <v>6.8288000000000002</v>
      </c>
      <c r="J140" s="24">
        <v>3.4716</v>
      </c>
      <c r="K140" s="24">
        <v>11</v>
      </c>
      <c r="L140" s="24" t="s">
        <v>3608</v>
      </c>
    </row>
    <row r="141" spans="1:12" x14ac:dyDescent="0.35">
      <c r="A141" s="24" t="s">
        <v>3242</v>
      </c>
      <c r="B141" s="24" t="str">
        <f>"301238"</f>
        <v>301238</v>
      </c>
      <c r="C141" s="24" t="str">
        <f t="shared" si="2"/>
        <v>'301238.SZ'</v>
      </c>
      <c r="D141" s="24" t="s">
        <v>3609</v>
      </c>
      <c r="E141" s="24" t="s">
        <v>3377</v>
      </c>
      <c r="F141" s="24">
        <v>2.6341999999999999</v>
      </c>
      <c r="G141" s="24">
        <v>17343332545</v>
      </c>
      <c r="H141" s="24">
        <v>2.7850999999999999</v>
      </c>
      <c r="I141" s="24">
        <v>2.5895999999999999</v>
      </c>
      <c r="J141" s="24">
        <v>1.5392999999999999</v>
      </c>
      <c r="K141" s="24">
        <v>22</v>
      </c>
      <c r="L141" s="24" t="s">
        <v>3610</v>
      </c>
    </row>
    <row r="142" spans="1:12" x14ac:dyDescent="0.35">
      <c r="A142" s="24" t="s">
        <v>3246</v>
      </c>
      <c r="B142" s="24" t="str">
        <f>"688246"</f>
        <v>688246</v>
      </c>
      <c r="C142" s="24" t="str">
        <f t="shared" si="2"/>
        <v>'688246.SS'</v>
      </c>
      <c r="D142" s="24" t="s">
        <v>3611</v>
      </c>
      <c r="E142" s="24" t="s">
        <v>3368</v>
      </c>
      <c r="F142" s="24">
        <v>2.6322000000000001</v>
      </c>
      <c r="G142" s="24">
        <v>4591320816.6000004</v>
      </c>
      <c r="H142" s="24">
        <v>4.0217000000000001</v>
      </c>
      <c r="I142" s="24">
        <v>2.2183000000000002</v>
      </c>
      <c r="J142" s="24">
        <v>1.4257</v>
      </c>
      <c r="K142" s="24">
        <v>19</v>
      </c>
      <c r="L142" s="24" t="s">
        <v>3612</v>
      </c>
    </row>
    <row r="143" spans="1:12" x14ac:dyDescent="0.35">
      <c r="A143" s="24" t="s">
        <v>3246</v>
      </c>
      <c r="B143" s="24" t="str">
        <f>"603583"</f>
        <v>603583</v>
      </c>
      <c r="C143" s="24" t="str">
        <f t="shared" si="2"/>
        <v>'603583.SS'</v>
      </c>
      <c r="D143" s="24" t="s">
        <v>3613</v>
      </c>
      <c r="E143" s="24" t="s">
        <v>3268</v>
      </c>
      <c r="F143" s="24">
        <v>2.6303999999999998</v>
      </c>
      <c r="G143" s="24">
        <v>10185857372.35</v>
      </c>
      <c r="H143" s="24">
        <v>1.8008999999999999</v>
      </c>
      <c r="I143" s="24">
        <v>1.3893</v>
      </c>
      <c r="J143" s="24">
        <v>1.1362000000000001</v>
      </c>
      <c r="K143" s="24">
        <v>708</v>
      </c>
      <c r="L143" s="24" t="s">
        <v>3614</v>
      </c>
    </row>
    <row r="144" spans="1:12" x14ac:dyDescent="0.35">
      <c r="A144" s="24" t="s">
        <v>3242</v>
      </c>
      <c r="B144" s="24" t="str">
        <f>"300791"</f>
        <v>300791</v>
      </c>
      <c r="C144" s="24" t="str">
        <f t="shared" si="2"/>
        <v>'300791.SZ'</v>
      </c>
      <c r="D144" s="24" t="s">
        <v>3615</v>
      </c>
      <c r="E144" s="24" t="s">
        <v>3616</v>
      </c>
      <c r="F144" s="24">
        <v>2.6291000000000002</v>
      </c>
      <c r="G144" s="24">
        <v>6497903520</v>
      </c>
      <c r="H144" s="24">
        <v>5.3929999999999998</v>
      </c>
      <c r="I144" s="24">
        <v>4.6055999999999999</v>
      </c>
      <c r="J144" s="24">
        <v>2.5002</v>
      </c>
      <c r="K144" s="24">
        <v>293</v>
      </c>
      <c r="L144" s="24" t="s">
        <v>3617</v>
      </c>
    </row>
    <row r="145" spans="1:12" x14ac:dyDescent="0.35">
      <c r="A145" s="24" t="s">
        <v>3242</v>
      </c>
      <c r="B145" s="24" t="str">
        <f>"000893"</f>
        <v>000893</v>
      </c>
      <c r="C145" s="24" t="str">
        <f t="shared" si="2"/>
        <v>'000893.SZ'</v>
      </c>
      <c r="D145" s="24" t="s">
        <v>3618</v>
      </c>
      <c r="E145" s="24" t="s">
        <v>3619</v>
      </c>
      <c r="F145" s="24">
        <v>2.6288</v>
      </c>
      <c r="G145" s="24">
        <v>25495572870.32</v>
      </c>
      <c r="H145" s="24">
        <v>3.1507999999999998</v>
      </c>
      <c r="I145" s="24">
        <v>2.7523</v>
      </c>
      <c r="J145" s="24">
        <v>2.2429999999999999</v>
      </c>
      <c r="K145" s="24">
        <v>192</v>
      </c>
      <c r="L145" s="24" t="s">
        <v>3620</v>
      </c>
    </row>
    <row r="146" spans="1:12" x14ac:dyDescent="0.35">
      <c r="A146" s="24" t="s">
        <v>3242</v>
      </c>
      <c r="B146" s="24" t="str">
        <f>"301083"</f>
        <v>301083</v>
      </c>
      <c r="C146" s="24" t="str">
        <f t="shared" si="2"/>
        <v>'301083.SZ'</v>
      </c>
      <c r="D146" s="24" t="s">
        <v>3621</v>
      </c>
      <c r="E146" s="24" t="s">
        <v>3244</v>
      </c>
      <c r="F146" s="24">
        <v>2.6278000000000001</v>
      </c>
      <c r="G146" s="24">
        <v>2020565337.1199999</v>
      </c>
      <c r="H146" s="24">
        <v>6.0808</v>
      </c>
      <c r="I146" s="24">
        <v>5.3711000000000002</v>
      </c>
      <c r="J146" s="24">
        <v>4.6208</v>
      </c>
      <c r="K146" s="24">
        <v>21</v>
      </c>
      <c r="L146" s="24" t="s">
        <v>3622</v>
      </c>
    </row>
    <row r="147" spans="1:12" x14ac:dyDescent="0.35">
      <c r="A147" s="24" t="s">
        <v>3242</v>
      </c>
      <c r="B147" s="24" t="str">
        <f>"301191"</f>
        <v>301191</v>
      </c>
      <c r="C147" s="24" t="str">
        <f t="shared" si="2"/>
        <v>'301191.SZ'</v>
      </c>
      <c r="D147" s="24" t="s">
        <v>3623</v>
      </c>
      <c r="E147" s="24" t="s">
        <v>3624</v>
      </c>
      <c r="F147" s="24">
        <v>2.6231</v>
      </c>
      <c r="G147" s="24">
        <v>4042105200</v>
      </c>
      <c r="H147" s="24">
        <v>3.5023</v>
      </c>
      <c r="I147" s="24">
        <v>2.5110000000000001</v>
      </c>
      <c r="J147" s="24">
        <v>2.1469</v>
      </c>
      <c r="K147" s="24">
        <v>10</v>
      </c>
      <c r="L147" s="24" t="s">
        <v>3625</v>
      </c>
    </row>
    <row r="148" spans="1:12" x14ac:dyDescent="0.35">
      <c r="A148" s="24" t="s">
        <v>3242</v>
      </c>
      <c r="B148" s="24" t="str">
        <f>"300770"</f>
        <v>300770</v>
      </c>
      <c r="C148" s="24" t="str">
        <f t="shared" si="2"/>
        <v>'300770.SZ'</v>
      </c>
      <c r="D148" s="24" t="s">
        <v>3626</v>
      </c>
      <c r="E148" s="24" t="s">
        <v>2859</v>
      </c>
      <c r="F148" s="24">
        <v>2.6219999999999999</v>
      </c>
      <c r="G148" s="24">
        <v>8625400590.1800003</v>
      </c>
      <c r="H148" s="24">
        <v>3.4695999999999998</v>
      </c>
      <c r="I148" s="24">
        <v>2.9767999999999999</v>
      </c>
      <c r="J148" s="24">
        <v>2.7772000000000001</v>
      </c>
      <c r="K148" s="24">
        <v>675</v>
      </c>
      <c r="L148" s="24" t="s">
        <v>3627</v>
      </c>
    </row>
    <row r="149" spans="1:12" x14ac:dyDescent="0.35">
      <c r="A149" s="24" t="s">
        <v>3242</v>
      </c>
      <c r="B149" s="24" t="str">
        <f>"300766"</f>
        <v>300766</v>
      </c>
      <c r="C149" s="24" t="str">
        <f t="shared" si="2"/>
        <v>'300766.SZ'</v>
      </c>
      <c r="D149" s="24" t="s">
        <v>3628</v>
      </c>
      <c r="E149" s="24" t="s">
        <v>3285</v>
      </c>
      <c r="F149" s="24">
        <v>2.6189</v>
      </c>
      <c r="G149" s="24">
        <v>4441110000</v>
      </c>
      <c r="H149" s="24">
        <v>4.9390999999999998</v>
      </c>
      <c r="I149" s="24">
        <v>4.7266000000000004</v>
      </c>
      <c r="J149" s="24">
        <v>3.8437999999999999</v>
      </c>
      <c r="K149" s="24">
        <v>148</v>
      </c>
      <c r="L149" s="24" t="s">
        <v>3629</v>
      </c>
    </row>
    <row r="150" spans="1:12" x14ac:dyDescent="0.35">
      <c r="A150" s="24" t="s">
        <v>3246</v>
      </c>
      <c r="B150" s="24" t="str">
        <f>"603237"</f>
        <v>603237</v>
      </c>
      <c r="C150" s="24" t="str">
        <f t="shared" si="2"/>
        <v>'603237.SS'</v>
      </c>
      <c r="D150" s="24" t="s">
        <v>3630</v>
      </c>
      <c r="E150" s="24" t="s">
        <v>3631</v>
      </c>
      <c r="F150" s="24">
        <v>2.6183999999999998</v>
      </c>
      <c r="G150" s="24">
        <v>4631155710</v>
      </c>
      <c r="H150" s="24">
        <v>2.7572999999999999</v>
      </c>
      <c r="I150" s="24">
        <v>2.3506</v>
      </c>
      <c r="J150" s="24">
        <v>1.9427000000000001</v>
      </c>
      <c r="K150" s="24">
        <v>24</v>
      </c>
      <c r="L150" s="24" t="s">
        <v>3632</v>
      </c>
    </row>
    <row r="151" spans="1:12" x14ac:dyDescent="0.35">
      <c r="A151" s="24" t="s">
        <v>3242</v>
      </c>
      <c r="B151" s="24" t="str">
        <f>"000538"</f>
        <v>000538</v>
      </c>
      <c r="C151" s="24" t="str">
        <f t="shared" si="2"/>
        <v>'000538.SZ'</v>
      </c>
      <c r="D151" s="24" t="s">
        <v>3633</v>
      </c>
      <c r="E151" s="24" t="s">
        <v>3311</v>
      </c>
      <c r="F151" s="24">
        <v>2.6145</v>
      </c>
      <c r="G151" s="24">
        <v>98899314696.960007</v>
      </c>
      <c r="H151" s="24">
        <v>2.718</v>
      </c>
      <c r="I151" s="24">
        <v>1.9757</v>
      </c>
      <c r="J151" s="24">
        <v>0.90349999999999997</v>
      </c>
      <c r="K151" s="24">
        <v>30809</v>
      </c>
      <c r="L151" s="24" t="s">
        <v>3634</v>
      </c>
    </row>
    <row r="152" spans="1:12" x14ac:dyDescent="0.35">
      <c r="A152" s="24" t="s">
        <v>3242</v>
      </c>
      <c r="B152" s="24" t="str">
        <f>"300993"</f>
        <v>300993</v>
      </c>
      <c r="C152" s="24" t="str">
        <f t="shared" si="2"/>
        <v>'300993.SZ'</v>
      </c>
      <c r="D152" s="24" t="s">
        <v>3635</v>
      </c>
      <c r="E152" s="24" t="s">
        <v>3636</v>
      </c>
      <c r="F152" s="24">
        <v>2.6141000000000001</v>
      </c>
      <c r="G152" s="24">
        <v>3223526400</v>
      </c>
      <c r="H152" s="24">
        <v>11.546799999999999</v>
      </c>
      <c r="I152" s="24">
        <v>9.0021000000000004</v>
      </c>
      <c r="J152" s="24">
        <v>5.6379999999999999</v>
      </c>
      <c r="K152" s="24">
        <v>40</v>
      </c>
      <c r="L152" s="24" t="s">
        <v>3637</v>
      </c>
    </row>
    <row r="153" spans="1:12" x14ac:dyDescent="0.35">
      <c r="A153" s="24" t="s">
        <v>3246</v>
      </c>
      <c r="B153" s="24" t="str">
        <f>"603922"</f>
        <v>603922</v>
      </c>
      <c r="C153" s="24" t="str">
        <f t="shared" si="2"/>
        <v>'603922.SS'</v>
      </c>
      <c r="D153" s="24" t="s">
        <v>3638</v>
      </c>
      <c r="E153" s="24" t="s">
        <v>3299</v>
      </c>
      <c r="F153" s="24">
        <v>2.6088</v>
      </c>
      <c r="G153" s="24">
        <v>2725120000</v>
      </c>
      <c r="H153" s="24">
        <v>5.4497999999999998</v>
      </c>
      <c r="I153" s="24">
        <v>4.0430000000000001</v>
      </c>
      <c r="J153" s="24">
        <v>2.1897000000000002</v>
      </c>
      <c r="K153" s="24">
        <v>73</v>
      </c>
      <c r="L153" s="24" t="s">
        <v>3639</v>
      </c>
    </row>
    <row r="154" spans="1:12" x14ac:dyDescent="0.35">
      <c r="A154" s="24" t="s">
        <v>3242</v>
      </c>
      <c r="B154" s="24" t="str">
        <f>"301215"</f>
        <v>301215</v>
      </c>
      <c r="C154" s="24" t="str">
        <f t="shared" si="2"/>
        <v>'301215.SZ'</v>
      </c>
      <c r="D154" s="24" t="s">
        <v>3640</v>
      </c>
      <c r="E154" s="24" t="s">
        <v>3641</v>
      </c>
      <c r="F154" s="24">
        <v>2.6070000000000002</v>
      </c>
      <c r="G154" s="24">
        <v>7008720000</v>
      </c>
      <c r="H154" s="24">
        <v>7.6654</v>
      </c>
      <c r="I154" s="24">
        <v>7.6505999999999998</v>
      </c>
      <c r="J154" s="24">
        <v>3.4540000000000002</v>
      </c>
      <c r="K154" s="24">
        <v>16</v>
      </c>
      <c r="L154" s="24" t="s">
        <v>3642</v>
      </c>
    </row>
    <row r="155" spans="1:12" x14ac:dyDescent="0.35">
      <c r="A155" s="24" t="s">
        <v>3242</v>
      </c>
      <c r="B155" s="24" t="str">
        <f>"301119"</f>
        <v>301119</v>
      </c>
      <c r="C155" s="24" t="str">
        <f t="shared" si="2"/>
        <v>'301119.SZ'</v>
      </c>
      <c r="D155" s="24" t="s">
        <v>3643</v>
      </c>
      <c r="E155" s="24" t="s">
        <v>3405</v>
      </c>
      <c r="F155" s="24">
        <v>2.5992999999999999</v>
      </c>
      <c r="G155" s="24">
        <v>2196000000</v>
      </c>
      <c r="H155" s="24">
        <v>3.4573999999999998</v>
      </c>
      <c r="I155" s="24">
        <v>3.1890000000000001</v>
      </c>
      <c r="J155" s="24">
        <v>2.3950999999999998</v>
      </c>
      <c r="K155" s="24">
        <v>26</v>
      </c>
      <c r="L155" s="24" t="s">
        <v>3644</v>
      </c>
    </row>
    <row r="156" spans="1:12" x14ac:dyDescent="0.35">
      <c r="A156" s="24" t="s">
        <v>3242</v>
      </c>
      <c r="B156" s="24" t="str">
        <f>"300819"</f>
        <v>300819</v>
      </c>
      <c r="C156" s="24" t="str">
        <f t="shared" si="2"/>
        <v>'300819.SZ'</v>
      </c>
      <c r="D156" s="24" t="s">
        <v>3645</v>
      </c>
      <c r="E156" s="24" t="s">
        <v>3357</v>
      </c>
      <c r="F156" s="24">
        <v>2.597</v>
      </c>
      <c r="G156" s="24">
        <v>2136615600</v>
      </c>
      <c r="H156" s="24">
        <v>2.8393000000000002</v>
      </c>
      <c r="I156" s="24">
        <v>2.2545999999999999</v>
      </c>
      <c r="J156" s="24">
        <v>1.6609</v>
      </c>
      <c r="K156" s="24">
        <v>55</v>
      </c>
      <c r="L156" s="24" t="s">
        <v>3646</v>
      </c>
    </row>
    <row r="157" spans="1:12" x14ac:dyDescent="0.35">
      <c r="A157" s="24" t="s">
        <v>3242</v>
      </c>
      <c r="B157" s="24" t="str">
        <f>"300915"</f>
        <v>300915</v>
      </c>
      <c r="C157" s="24" t="str">
        <f t="shared" si="2"/>
        <v>'300915.SZ'</v>
      </c>
      <c r="D157" s="24" t="s">
        <v>3647</v>
      </c>
      <c r="E157" s="24" t="s">
        <v>3648</v>
      </c>
      <c r="F157" s="24">
        <v>2.5960000000000001</v>
      </c>
      <c r="G157" s="24">
        <v>3744000000</v>
      </c>
      <c r="H157" s="24">
        <v>9.9893000000000001</v>
      </c>
      <c r="I157" s="24">
        <v>8.6837999999999997</v>
      </c>
      <c r="J157" s="24">
        <v>1.9051</v>
      </c>
      <c r="K157" s="24">
        <v>116</v>
      </c>
      <c r="L157" s="24" t="s">
        <v>3649</v>
      </c>
    </row>
    <row r="158" spans="1:12" x14ac:dyDescent="0.35">
      <c r="A158" s="24" t="s">
        <v>3246</v>
      </c>
      <c r="B158" s="24" t="str">
        <f>"603551"</f>
        <v>603551</v>
      </c>
      <c r="C158" s="24" t="str">
        <f t="shared" si="2"/>
        <v>'603551.SS'</v>
      </c>
      <c r="D158" s="24" t="s">
        <v>3650</v>
      </c>
      <c r="E158" s="24" t="s">
        <v>3651</v>
      </c>
      <c r="F158" s="24">
        <v>2.5950000000000002</v>
      </c>
      <c r="G158" s="24">
        <v>3775980000</v>
      </c>
      <c r="H158" s="24">
        <v>2.1730999999999998</v>
      </c>
      <c r="I158" s="24">
        <v>1.7623</v>
      </c>
      <c r="J158" s="24">
        <v>1.3454999999999999</v>
      </c>
      <c r="K158" s="24">
        <v>117</v>
      </c>
      <c r="L158" s="24" t="s">
        <v>3652</v>
      </c>
    </row>
    <row r="159" spans="1:12" x14ac:dyDescent="0.35">
      <c r="A159" s="24" t="s">
        <v>3246</v>
      </c>
      <c r="B159" s="24" t="str">
        <f>"688132"</f>
        <v>688132</v>
      </c>
      <c r="C159" s="24" t="str">
        <f t="shared" si="2"/>
        <v>'688132.SS'</v>
      </c>
      <c r="D159" s="24" t="s">
        <v>3653</v>
      </c>
      <c r="E159" s="24" t="s">
        <v>3383</v>
      </c>
      <c r="F159" s="24">
        <v>2.5947</v>
      </c>
      <c r="G159" s="24">
        <v>3939588279.52</v>
      </c>
      <c r="H159" s="24">
        <v>2.9049</v>
      </c>
      <c r="I159" s="24">
        <v>2.5400999999999998</v>
      </c>
      <c r="J159" s="24">
        <v>1.5447</v>
      </c>
      <c r="K159" s="24">
        <v>3</v>
      </c>
      <c r="L159" s="24" t="s">
        <v>3654</v>
      </c>
    </row>
    <row r="160" spans="1:12" x14ac:dyDescent="0.35">
      <c r="A160" s="24" t="s">
        <v>3246</v>
      </c>
      <c r="B160" s="24" t="str">
        <f>"603387"</f>
        <v>603387</v>
      </c>
      <c r="C160" s="24" t="str">
        <f t="shared" si="2"/>
        <v>'603387.SS'</v>
      </c>
      <c r="D160" s="24" t="s">
        <v>3655</v>
      </c>
      <c r="E160" s="24" t="s">
        <v>3432</v>
      </c>
      <c r="F160" s="24">
        <v>2.5926999999999998</v>
      </c>
      <c r="G160" s="24">
        <v>6374919708.6899996</v>
      </c>
      <c r="H160" s="24">
        <v>2.8889</v>
      </c>
      <c r="I160" s="24">
        <v>2.4032</v>
      </c>
      <c r="J160" s="24">
        <v>1.1898</v>
      </c>
      <c r="K160" s="24">
        <v>1835</v>
      </c>
      <c r="L160" s="24" t="s">
        <v>3656</v>
      </c>
    </row>
    <row r="161" spans="1:12" x14ac:dyDescent="0.35">
      <c r="A161" s="24" t="s">
        <v>3242</v>
      </c>
      <c r="B161" s="24" t="str">
        <f>"002001"</f>
        <v>002001</v>
      </c>
      <c r="C161" s="24" t="str">
        <f t="shared" si="2"/>
        <v>'002001.SZ'</v>
      </c>
      <c r="D161" s="24" t="s">
        <v>3657</v>
      </c>
      <c r="E161" s="24" t="s">
        <v>3658</v>
      </c>
      <c r="F161" s="24">
        <v>2.5889000000000002</v>
      </c>
      <c r="G161" s="24">
        <v>59499966603</v>
      </c>
      <c r="H161" s="24">
        <v>1.8668</v>
      </c>
      <c r="I161" s="24">
        <v>1.3373999999999999</v>
      </c>
      <c r="J161" s="24">
        <v>0.87280000000000002</v>
      </c>
      <c r="K161" s="24">
        <v>2057</v>
      </c>
      <c r="L161" s="24" t="s">
        <v>3659</v>
      </c>
    </row>
    <row r="162" spans="1:12" x14ac:dyDescent="0.35">
      <c r="A162" s="24" t="s">
        <v>3242</v>
      </c>
      <c r="B162" s="24" t="str">
        <f>"300667"</f>
        <v>300667</v>
      </c>
      <c r="C162" s="24" t="str">
        <f t="shared" si="2"/>
        <v>'300667.SZ'</v>
      </c>
      <c r="D162" s="24" t="s">
        <v>3660</v>
      </c>
      <c r="E162" s="24" t="s">
        <v>3476</v>
      </c>
      <c r="F162" s="24">
        <v>2.5871</v>
      </c>
      <c r="G162" s="24">
        <v>3199391379.27</v>
      </c>
      <c r="H162" s="24">
        <v>2.6539999999999999</v>
      </c>
      <c r="I162" s="24">
        <v>1.5430999999999999</v>
      </c>
      <c r="J162" s="24">
        <v>0.87590000000000001</v>
      </c>
      <c r="K162" s="24">
        <v>150</v>
      </c>
      <c r="L162" s="24" t="s">
        <v>3661</v>
      </c>
    </row>
    <row r="163" spans="1:12" x14ac:dyDescent="0.35">
      <c r="A163" s="24" t="s">
        <v>3242</v>
      </c>
      <c r="B163" s="24" t="str">
        <f>"000423"</f>
        <v>000423</v>
      </c>
      <c r="C163" s="24" t="str">
        <f t="shared" si="2"/>
        <v>'000423.SZ'</v>
      </c>
      <c r="D163" s="24" t="s">
        <v>3662</v>
      </c>
      <c r="E163" s="24" t="s">
        <v>3311</v>
      </c>
      <c r="F163" s="24">
        <v>2.5844999999999998</v>
      </c>
      <c r="G163" s="24">
        <v>26016976741.860001</v>
      </c>
      <c r="H163" s="24">
        <v>4.3143000000000002</v>
      </c>
      <c r="I163" s="24">
        <v>3.7437999999999998</v>
      </c>
      <c r="J163" s="24">
        <v>1.91</v>
      </c>
      <c r="K163" s="24">
        <v>24662</v>
      </c>
      <c r="L163" s="24" t="s">
        <v>3663</v>
      </c>
    </row>
    <row r="164" spans="1:12" x14ac:dyDescent="0.35">
      <c r="A164" s="24" t="s">
        <v>3246</v>
      </c>
      <c r="B164" s="24" t="str">
        <f>"603533"</f>
        <v>603533</v>
      </c>
      <c r="C164" s="24" t="str">
        <f t="shared" si="2"/>
        <v>'603533.SS'</v>
      </c>
      <c r="D164" s="24" t="s">
        <v>3664</v>
      </c>
      <c r="E164" s="24" t="s">
        <v>3665</v>
      </c>
      <c r="F164" s="24">
        <v>2.5783999999999998</v>
      </c>
      <c r="G164" s="24">
        <v>6596619430.0500002</v>
      </c>
      <c r="H164" s="24">
        <v>3.8969999999999998</v>
      </c>
      <c r="I164" s="24">
        <v>3.8069000000000002</v>
      </c>
      <c r="J164" s="24">
        <v>3.05</v>
      </c>
      <c r="K164" s="24">
        <v>870</v>
      </c>
      <c r="L164" s="24" t="s">
        <v>3666</v>
      </c>
    </row>
    <row r="165" spans="1:12" x14ac:dyDescent="0.35">
      <c r="A165" s="24" t="s">
        <v>3242</v>
      </c>
      <c r="B165" s="24" t="str">
        <f>"001216"</f>
        <v>001216</v>
      </c>
      <c r="C165" s="24" t="str">
        <f t="shared" si="2"/>
        <v>'001216.SZ'</v>
      </c>
      <c r="D165" s="24" t="s">
        <v>3667</v>
      </c>
      <c r="E165" s="24" t="s">
        <v>3636</v>
      </c>
      <c r="F165" s="24">
        <v>2.5733999999999999</v>
      </c>
      <c r="G165" s="24">
        <v>3717552492</v>
      </c>
      <c r="H165" s="24">
        <v>3.6309999999999998</v>
      </c>
      <c r="I165" s="24">
        <v>3.0436000000000001</v>
      </c>
      <c r="J165" s="24">
        <v>1.3403</v>
      </c>
      <c r="K165" s="24">
        <v>36</v>
      </c>
      <c r="L165" s="24" t="s">
        <v>3668</v>
      </c>
    </row>
    <row r="166" spans="1:12" x14ac:dyDescent="0.35">
      <c r="A166" s="24" t="s">
        <v>3242</v>
      </c>
      <c r="B166" s="24" t="str">
        <f>"300360"</f>
        <v>300360</v>
      </c>
      <c r="C166" s="24" t="str">
        <f t="shared" si="2"/>
        <v>'300360.SZ'</v>
      </c>
      <c r="D166" s="24" t="s">
        <v>3669</v>
      </c>
      <c r="E166" s="24" t="s">
        <v>3670</v>
      </c>
      <c r="F166" s="24">
        <v>2.5680999999999998</v>
      </c>
      <c r="G166" s="24">
        <v>7364052039.6000004</v>
      </c>
      <c r="H166" s="24">
        <v>4.0270000000000001</v>
      </c>
      <c r="I166" s="24">
        <v>3.0318000000000001</v>
      </c>
      <c r="J166" s="24">
        <v>2.3308</v>
      </c>
      <c r="K166" s="24">
        <v>969</v>
      </c>
      <c r="L166" s="24" t="s">
        <v>3671</v>
      </c>
    </row>
    <row r="167" spans="1:12" x14ac:dyDescent="0.35">
      <c r="A167" s="24" t="s">
        <v>3242</v>
      </c>
      <c r="B167" s="24" t="str">
        <f>"300922"</f>
        <v>300922</v>
      </c>
      <c r="C167" s="24" t="str">
        <f t="shared" si="2"/>
        <v>'300922.SZ'</v>
      </c>
      <c r="D167" s="24" t="s">
        <v>3672</v>
      </c>
      <c r="E167" s="24" t="s">
        <v>3446</v>
      </c>
      <c r="F167" s="24">
        <v>2.5583</v>
      </c>
      <c r="G167" s="24">
        <v>2204765472</v>
      </c>
      <c r="H167" s="24">
        <v>15.4876</v>
      </c>
      <c r="I167" s="24">
        <v>14.501099999999999</v>
      </c>
      <c r="J167" s="24">
        <v>9.2887000000000004</v>
      </c>
      <c r="K167" s="24">
        <v>86</v>
      </c>
      <c r="L167" s="24" t="s">
        <v>3673</v>
      </c>
    </row>
    <row r="168" spans="1:12" x14ac:dyDescent="0.35">
      <c r="A168" s="24" t="s">
        <v>3246</v>
      </c>
      <c r="B168" s="24" t="str">
        <f>"603757"</f>
        <v>603757</v>
      </c>
      <c r="C168" s="24" t="str">
        <f t="shared" si="2"/>
        <v>'603757.SS'</v>
      </c>
      <c r="D168" s="24" t="s">
        <v>3674</v>
      </c>
      <c r="E168" s="24" t="s">
        <v>3473</v>
      </c>
      <c r="F168" s="24">
        <v>2.5575000000000001</v>
      </c>
      <c r="G168" s="24">
        <v>3552354360</v>
      </c>
      <c r="H168" s="24">
        <v>2.5758000000000001</v>
      </c>
      <c r="I168" s="24">
        <v>1.8512999999999999</v>
      </c>
      <c r="J168" s="24">
        <v>1.0644</v>
      </c>
      <c r="K168" s="24">
        <v>537</v>
      </c>
      <c r="L168" s="24" t="s">
        <v>3675</v>
      </c>
    </row>
    <row r="169" spans="1:12" x14ac:dyDescent="0.35">
      <c r="A169" s="24" t="s">
        <v>3242</v>
      </c>
      <c r="B169" s="24" t="str">
        <f>"301016"</f>
        <v>301016</v>
      </c>
      <c r="C169" s="24" t="str">
        <f t="shared" si="2"/>
        <v>'301016.SZ'</v>
      </c>
      <c r="D169" s="24" t="s">
        <v>3676</v>
      </c>
      <c r="E169" s="24" t="s">
        <v>3522</v>
      </c>
      <c r="F169" s="24">
        <v>2.5531999999999999</v>
      </c>
      <c r="G169" s="24">
        <v>2424000000</v>
      </c>
      <c r="H169" s="24">
        <v>4.7934000000000001</v>
      </c>
      <c r="I169" s="24">
        <v>4.0293000000000001</v>
      </c>
      <c r="J169" s="24">
        <v>1.1744000000000001</v>
      </c>
      <c r="K169" s="24">
        <v>47</v>
      </c>
      <c r="L169" s="24" t="s">
        <v>3677</v>
      </c>
    </row>
    <row r="170" spans="1:12" x14ac:dyDescent="0.35">
      <c r="A170" s="24" t="s">
        <v>3242</v>
      </c>
      <c r="B170" s="24" t="str">
        <f>"300378"</f>
        <v>300378</v>
      </c>
      <c r="C170" s="24" t="str">
        <f t="shared" si="2"/>
        <v>'300378.SZ'</v>
      </c>
      <c r="D170" s="24" t="s">
        <v>3678</v>
      </c>
      <c r="E170" s="24" t="s">
        <v>3285</v>
      </c>
      <c r="F170" s="24">
        <v>2.5528</v>
      </c>
      <c r="G170" s="24">
        <v>4360668975.8999996</v>
      </c>
      <c r="H170" s="24">
        <v>2.1656</v>
      </c>
      <c r="I170" s="24">
        <v>2.0684</v>
      </c>
      <c r="J170" s="24">
        <v>1.2883</v>
      </c>
      <c r="K170" s="24">
        <v>202</v>
      </c>
      <c r="L170" s="24" t="s">
        <v>3679</v>
      </c>
    </row>
    <row r="171" spans="1:12" x14ac:dyDescent="0.35">
      <c r="A171" s="24" t="s">
        <v>3246</v>
      </c>
      <c r="B171" s="24" t="str">
        <f>"688244"</f>
        <v>688244</v>
      </c>
      <c r="C171" s="24" t="str">
        <f t="shared" si="2"/>
        <v>'688244.SS'</v>
      </c>
      <c r="D171" s="24" t="s">
        <v>3680</v>
      </c>
      <c r="E171" s="24" t="s">
        <v>3285</v>
      </c>
      <c r="F171" s="24">
        <v>2.5518000000000001</v>
      </c>
      <c r="G171" s="24">
        <v>2674067401.3000002</v>
      </c>
      <c r="H171" s="24">
        <v>7.3452000000000002</v>
      </c>
      <c r="I171" s="24">
        <v>6.7960000000000003</v>
      </c>
      <c r="J171" s="24">
        <v>4.6185999999999998</v>
      </c>
      <c r="K171" s="24">
        <v>6</v>
      </c>
      <c r="L171" s="24" t="s">
        <v>3681</v>
      </c>
    </row>
    <row r="172" spans="1:12" x14ac:dyDescent="0.35">
      <c r="A172" s="24" t="s">
        <v>3246</v>
      </c>
      <c r="B172" s="24" t="str">
        <f>"600566"</f>
        <v>600566</v>
      </c>
      <c r="C172" s="24" t="str">
        <f t="shared" si="2"/>
        <v>'600566.SS'</v>
      </c>
      <c r="D172" s="24" t="s">
        <v>3682</v>
      </c>
      <c r="E172" s="24" t="s">
        <v>3311</v>
      </c>
      <c r="F172" s="24">
        <v>2.5510999999999999</v>
      </c>
      <c r="G172" s="24">
        <v>25525255610.400002</v>
      </c>
      <c r="H172" s="24">
        <v>3.1947999999999999</v>
      </c>
      <c r="I172" s="24">
        <v>3.0326</v>
      </c>
      <c r="J172" s="24">
        <v>1.0414000000000001</v>
      </c>
      <c r="K172" s="24">
        <v>14071</v>
      </c>
      <c r="L172" s="24" t="s">
        <v>3683</v>
      </c>
    </row>
    <row r="173" spans="1:12" x14ac:dyDescent="0.35">
      <c r="A173" s="24" t="s">
        <v>3246</v>
      </c>
      <c r="B173" s="24" t="str">
        <f>"600538"</f>
        <v>600538</v>
      </c>
      <c r="C173" s="24" t="str">
        <f t="shared" si="2"/>
        <v>'600538.SS'</v>
      </c>
      <c r="D173" s="24" t="s">
        <v>3684</v>
      </c>
      <c r="E173" s="24" t="s">
        <v>3685</v>
      </c>
      <c r="F173" s="24">
        <v>2.5505</v>
      </c>
      <c r="G173" s="24">
        <v>2421796367.7600002</v>
      </c>
      <c r="H173" s="24">
        <v>3.4906000000000001</v>
      </c>
      <c r="I173" s="24">
        <v>2.8548</v>
      </c>
      <c r="J173" s="24">
        <v>0.97870000000000001</v>
      </c>
      <c r="K173" s="24">
        <v>76</v>
      </c>
      <c r="L173" s="24" t="s">
        <v>3686</v>
      </c>
    </row>
    <row r="174" spans="1:12" x14ac:dyDescent="0.35">
      <c r="A174" s="24" t="s">
        <v>3242</v>
      </c>
      <c r="B174" s="24" t="str">
        <f>"300414"</f>
        <v>300414</v>
      </c>
      <c r="C174" s="24" t="str">
        <f t="shared" si="2"/>
        <v>'300414.SZ'</v>
      </c>
      <c r="D174" s="24" t="s">
        <v>3687</v>
      </c>
      <c r="E174" s="24" t="s">
        <v>3374</v>
      </c>
      <c r="F174" s="24">
        <v>2.5472000000000001</v>
      </c>
      <c r="G174" s="24">
        <v>2481008136.2600002</v>
      </c>
      <c r="H174" s="24">
        <v>4.2222999999999997</v>
      </c>
      <c r="I174" s="24">
        <v>3.323</v>
      </c>
      <c r="J174" s="24">
        <v>0.97719999999999996</v>
      </c>
      <c r="K174" s="24">
        <v>220</v>
      </c>
      <c r="L174" s="24" t="s">
        <v>3688</v>
      </c>
    </row>
    <row r="175" spans="1:12" x14ac:dyDescent="0.35">
      <c r="A175" s="24" t="s">
        <v>3242</v>
      </c>
      <c r="B175" s="24" t="str">
        <f>"002760"</f>
        <v>002760</v>
      </c>
      <c r="C175" s="24" t="str">
        <f t="shared" si="2"/>
        <v>'002760.SZ'</v>
      </c>
      <c r="D175" s="24" t="s">
        <v>3689</v>
      </c>
      <c r="E175" s="24" t="s">
        <v>3690</v>
      </c>
      <c r="F175" s="24">
        <v>2.5455000000000001</v>
      </c>
      <c r="G175" s="24">
        <v>2470781593.2800002</v>
      </c>
      <c r="H175" s="24">
        <v>2.4666000000000001</v>
      </c>
      <c r="I175" s="24">
        <v>1.9401999999999999</v>
      </c>
      <c r="J175" s="24">
        <v>1.1986000000000001</v>
      </c>
      <c r="K175" s="24">
        <v>81</v>
      </c>
      <c r="L175" s="24" t="s">
        <v>3691</v>
      </c>
    </row>
    <row r="176" spans="1:12" x14ac:dyDescent="0.35">
      <c r="A176" s="24" t="s">
        <v>3242</v>
      </c>
      <c r="B176" s="24" t="str">
        <f>"002580"</f>
        <v>002580</v>
      </c>
      <c r="C176" s="24" t="str">
        <f t="shared" si="2"/>
        <v>'002580.SZ'</v>
      </c>
      <c r="D176" s="24" t="s">
        <v>3692</v>
      </c>
      <c r="E176" s="24" t="s">
        <v>3693</v>
      </c>
      <c r="F176" s="24">
        <v>2.544</v>
      </c>
      <c r="G176" s="24">
        <v>4643079798.3900003</v>
      </c>
      <c r="H176" s="24">
        <v>2.9639000000000002</v>
      </c>
      <c r="I176" s="24">
        <v>2.1469999999999998</v>
      </c>
      <c r="J176" s="24">
        <v>0.88890000000000002</v>
      </c>
      <c r="K176" s="24">
        <v>132</v>
      </c>
      <c r="L176" s="24" t="s">
        <v>3694</v>
      </c>
    </row>
    <row r="177" spans="1:12" x14ac:dyDescent="0.35">
      <c r="A177" s="24" t="s">
        <v>3246</v>
      </c>
      <c r="B177" s="24" t="str">
        <f>"688566"</f>
        <v>688566</v>
      </c>
      <c r="C177" s="24" t="str">
        <f t="shared" si="2"/>
        <v>'688566.SS'</v>
      </c>
      <c r="D177" s="24" t="s">
        <v>3695</v>
      </c>
      <c r="E177" s="24" t="s">
        <v>3696</v>
      </c>
      <c r="F177" s="24">
        <v>2.544</v>
      </c>
      <c r="G177" s="24">
        <v>4090282208</v>
      </c>
      <c r="H177" s="24">
        <v>6.9714999999999998</v>
      </c>
      <c r="I177" s="24">
        <v>6.7717000000000001</v>
      </c>
      <c r="J177" s="24">
        <v>4.1805000000000003</v>
      </c>
      <c r="K177" s="24">
        <v>72</v>
      </c>
      <c r="L177" s="24" t="s">
        <v>3697</v>
      </c>
    </row>
    <row r="178" spans="1:12" x14ac:dyDescent="0.35">
      <c r="A178" s="24" t="s">
        <v>3242</v>
      </c>
      <c r="B178" s="24" t="str">
        <f>"002984"</f>
        <v>002984</v>
      </c>
      <c r="C178" s="24" t="str">
        <f t="shared" si="2"/>
        <v>'002984.SZ'</v>
      </c>
      <c r="D178" s="24" t="s">
        <v>3698</v>
      </c>
      <c r="E178" s="24" t="s">
        <v>3699</v>
      </c>
      <c r="F178" s="24">
        <v>2.5428999999999999</v>
      </c>
      <c r="G178" s="24">
        <v>18515615149.5</v>
      </c>
      <c r="H178" s="24">
        <v>3.6717</v>
      </c>
      <c r="I178" s="24">
        <v>2.4123000000000001</v>
      </c>
      <c r="J178" s="24">
        <v>1.4399</v>
      </c>
      <c r="K178" s="24">
        <v>223</v>
      </c>
      <c r="L178" s="24" t="s">
        <v>3700</v>
      </c>
    </row>
    <row r="179" spans="1:12" x14ac:dyDescent="0.35">
      <c r="A179" s="24" t="s">
        <v>3242</v>
      </c>
      <c r="B179" s="24" t="str">
        <f>"003027"</f>
        <v>003027</v>
      </c>
      <c r="C179" s="24" t="str">
        <f t="shared" si="2"/>
        <v>'003027.SZ'</v>
      </c>
      <c r="D179" s="24" t="s">
        <v>3701</v>
      </c>
      <c r="E179" s="24" t="s">
        <v>3702</v>
      </c>
      <c r="F179" s="24">
        <v>2.5411000000000001</v>
      </c>
      <c r="G179" s="24">
        <v>4212248390</v>
      </c>
      <c r="H179" s="24">
        <v>2.5889000000000002</v>
      </c>
      <c r="I179" s="24">
        <v>1.9061999999999999</v>
      </c>
      <c r="J179" s="24">
        <v>0.93830000000000002</v>
      </c>
      <c r="K179" s="24">
        <v>68</v>
      </c>
      <c r="L179" s="24" t="s">
        <v>3703</v>
      </c>
    </row>
    <row r="180" spans="1:12" x14ac:dyDescent="0.35">
      <c r="A180" s="24" t="s">
        <v>3242</v>
      </c>
      <c r="B180" s="24" t="str">
        <f>"301282"</f>
        <v>301282</v>
      </c>
      <c r="C180" s="24" t="str">
        <f t="shared" si="2"/>
        <v>'301282.SZ'</v>
      </c>
      <c r="D180" s="24" t="s">
        <v>3704</v>
      </c>
      <c r="E180" s="24" t="s">
        <v>3466</v>
      </c>
      <c r="F180" s="24">
        <v>2.5404</v>
      </c>
      <c r="G180" s="24">
        <v>4180531514.8800001</v>
      </c>
      <c r="H180" s="24">
        <v>2.2206000000000001</v>
      </c>
      <c r="I180" s="24">
        <v>1.9931000000000001</v>
      </c>
      <c r="J180" s="24">
        <v>1.2709999999999999</v>
      </c>
      <c r="K180" s="24">
        <v>5</v>
      </c>
      <c r="L180" s="24" t="s">
        <v>3705</v>
      </c>
    </row>
    <row r="181" spans="1:12" x14ac:dyDescent="0.35">
      <c r="A181" s="24" t="s">
        <v>3242</v>
      </c>
      <c r="B181" s="24" t="str">
        <f>"301331"</f>
        <v>301331</v>
      </c>
      <c r="C181" s="24" t="str">
        <f t="shared" si="2"/>
        <v>'301331.SZ'</v>
      </c>
      <c r="D181" s="24" t="s">
        <v>3706</v>
      </c>
      <c r="E181" s="24" t="s">
        <v>3311</v>
      </c>
      <c r="F181" s="24">
        <v>2.5387</v>
      </c>
      <c r="G181" s="24">
        <v>2880582404.1300001</v>
      </c>
      <c r="H181" s="24">
        <v>4.8109000000000002</v>
      </c>
      <c r="I181" s="24">
        <v>4.2403000000000004</v>
      </c>
      <c r="J181" s="24">
        <v>2.9375</v>
      </c>
      <c r="K181" s="24">
        <v>5</v>
      </c>
      <c r="L181" s="24" t="s">
        <v>3707</v>
      </c>
    </row>
    <row r="182" spans="1:12" x14ac:dyDescent="0.35">
      <c r="A182" s="24" t="s">
        <v>3242</v>
      </c>
      <c r="B182" s="24" t="str">
        <f>"300497"</f>
        <v>300497</v>
      </c>
      <c r="C182" s="24" t="str">
        <f t="shared" si="2"/>
        <v>'300497.SZ'</v>
      </c>
      <c r="D182" s="24" t="s">
        <v>3708</v>
      </c>
      <c r="E182" s="24" t="s">
        <v>3658</v>
      </c>
      <c r="F182" s="24">
        <v>2.5384000000000002</v>
      </c>
      <c r="G182" s="24">
        <v>7271063905.4799995</v>
      </c>
      <c r="H182" s="24">
        <v>1.9870000000000001</v>
      </c>
      <c r="I182" s="24">
        <v>1.4965999999999999</v>
      </c>
      <c r="J182" s="24">
        <v>1.0125999999999999</v>
      </c>
      <c r="K182" s="24">
        <v>4699</v>
      </c>
      <c r="L182" s="24" t="s">
        <v>3709</v>
      </c>
    </row>
    <row r="183" spans="1:12" x14ac:dyDescent="0.35">
      <c r="A183" s="24" t="s">
        <v>3242</v>
      </c>
      <c r="B183" s="24" t="str">
        <f>"300294"</f>
        <v>300294</v>
      </c>
      <c r="C183" s="24" t="str">
        <f t="shared" si="2"/>
        <v>'300294.SZ'</v>
      </c>
      <c r="D183" s="24" t="s">
        <v>3710</v>
      </c>
      <c r="E183" s="24" t="s">
        <v>3711</v>
      </c>
      <c r="F183" s="24">
        <v>2.5367999999999999</v>
      </c>
      <c r="G183" s="24">
        <v>18193294467.040001</v>
      </c>
      <c r="H183" s="24">
        <v>8.9994999999999994</v>
      </c>
      <c r="I183" s="24">
        <v>8.0046999999999997</v>
      </c>
      <c r="J183" s="24">
        <v>1.651</v>
      </c>
      <c r="K183" s="24">
        <v>510</v>
      </c>
      <c r="L183" s="24" t="s">
        <v>3712</v>
      </c>
    </row>
    <row r="184" spans="1:12" x14ac:dyDescent="0.35">
      <c r="A184" s="24" t="s">
        <v>3242</v>
      </c>
      <c r="B184" s="24" t="str">
        <f>"300018"</f>
        <v>300018</v>
      </c>
      <c r="C184" s="24" t="str">
        <f t="shared" si="2"/>
        <v>'300018.SZ'</v>
      </c>
      <c r="D184" s="24" t="s">
        <v>3713</v>
      </c>
      <c r="E184" s="24" t="s">
        <v>3354</v>
      </c>
      <c r="F184" s="24">
        <v>2.5360999999999998</v>
      </c>
      <c r="G184" s="24">
        <v>3038855307.52</v>
      </c>
      <c r="H184" s="24">
        <v>6.3609</v>
      </c>
      <c r="I184" s="24">
        <v>5.1986999999999997</v>
      </c>
      <c r="J184" s="24">
        <v>0.94279999999999997</v>
      </c>
      <c r="K184" s="24">
        <v>130</v>
      </c>
      <c r="L184" s="24" t="s">
        <v>3714</v>
      </c>
    </row>
    <row r="185" spans="1:12" x14ac:dyDescent="0.35">
      <c r="A185" s="24" t="s">
        <v>3242</v>
      </c>
      <c r="B185" s="24" t="str">
        <f>"301130"</f>
        <v>301130</v>
      </c>
      <c r="C185" s="24" t="str">
        <f t="shared" si="2"/>
        <v>'301130.SZ'</v>
      </c>
      <c r="D185" s="24" t="s">
        <v>3715</v>
      </c>
      <c r="E185" s="24" t="s">
        <v>3696</v>
      </c>
      <c r="F185" s="24">
        <v>2.5354000000000001</v>
      </c>
      <c r="G185" s="24">
        <v>2374827884.77</v>
      </c>
      <c r="H185" s="24">
        <v>22.186900000000001</v>
      </c>
      <c r="I185" s="24">
        <v>21.256799999999998</v>
      </c>
      <c r="J185" s="24">
        <v>5.9901</v>
      </c>
      <c r="K185" s="24">
        <v>17</v>
      </c>
      <c r="L185" s="24" t="s">
        <v>3716</v>
      </c>
    </row>
    <row r="186" spans="1:12" x14ac:dyDescent="0.35">
      <c r="A186" s="24" t="s">
        <v>3246</v>
      </c>
      <c r="B186" s="24" t="str">
        <f>"688030"</f>
        <v>688030</v>
      </c>
      <c r="C186" s="24" t="str">
        <f t="shared" si="2"/>
        <v>'688030.SS'</v>
      </c>
      <c r="D186" s="24" t="s">
        <v>3717</v>
      </c>
      <c r="E186" s="24" t="s">
        <v>3285</v>
      </c>
      <c r="F186" s="24">
        <v>2.5346000000000002</v>
      </c>
      <c r="G186" s="24">
        <v>3716319340.6399999</v>
      </c>
      <c r="H186" s="24">
        <v>5.0545999999999998</v>
      </c>
      <c r="I186" s="24">
        <v>4.4307999999999996</v>
      </c>
      <c r="J186" s="24">
        <v>0.86799999999999999</v>
      </c>
      <c r="K186" s="24">
        <v>158</v>
      </c>
      <c r="L186" s="24" t="s">
        <v>3718</v>
      </c>
    </row>
    <row r="187" spans="1:12" x14ac:dyDescent="0.35">
      <c r="A187" s="24" t="s">
        <v>3246</v>
      </c>
      <c r="B187" s="24" t="str">
        <f>"600557"</f>
        <v>600557</v>
      </c>
      <c r="C187" s="24" t="str">
        <f t="shared" si="2"/>
        <v>'600557.SS'</v>
      </c>
      <c r="D187" s="24" t="s">
        <v>3719</v>
      </c>
      <c r="E187" s="24" t="s">
        <v>3311</v>
      </c>
      <c r="F187" s="24">
        <v>2.5344000000000002</v>
      </c>
      <c r="G187" s="24">
        <v>11621807285.76</v>
      </c>
      <c r="H187" s="24">
        <v>2.3706999999999998</v>
      </c>
      <c r="I187" s="24">
        <v>2.1562999999999999</v>
      </c>
      <c r="J187" s="24">
        <v>0.91020000000000001</v>
      </c>
      <c r="K187" s="24">
        <v>448</v>
      </c>
      <c r="L187" s="24" t="s">
        <v>3720</v>
      </c>
    </row>
    <row r="188" spans="1:12" x14ac:dyDescent="0.35">
      <c r="A188" s="24" t="s">
        <v>3242</v>
      </c>
      <c r="B188" s="24" t="str">
        <f>"301218"</f>
        <v>301218</v>
      </c>
      <c r="C188" s="24" t="str">
        <f t="shared" si="2"/>
        <v>'301218.SZ'</v>
      </c>
      <c r="D188" s="24" t="s">
        <v>3721</v>
      </c>
      <c r="E188" s="24" t="s">
        <v>3722</v>
      </c>
      <c r="F188" s="24">
        <v>2.5324</v>
      </c>
      <c r="G188" s="24">
        <v>2220358800</v>
      </c>
      <c r="H188" s="24">
        <v>3.0893999999999999</v>
      </c>
      <c r="I188" s="24">
        <v>2.3172000000000001</v>
      </c>
      <c r="J188" s="24">
        <v>1.5176000000000001</v>
      </c>
      <c r="K188" s="24">
        <v>18</v>
      </c>
      <c r="L188" s="24" t="s">
        <v>3723</v>
      </c>
    </row>
    <row r="189" spans="1:12" x14ac:dyDescent="0.35">
      <c r="A189" s="24" t="s">
        <v>3246</v>
      </c>
      <c r="B189" s="24" t="str">
        <f>"688303"</f>
        <v>688303</v>
      </c>
      <c r="C189" s="24" t="str">
        <f t="shared" si="2"/>
        <v>'688303.SS'</v>
      </c>
      <c r="D189" s="24" t="s">
        <v>3724</v>
      </c>
      <c r="E189" s="24" t="s">
        <v>3725</v>
      </c>
      <c r="F189" s="24">
        <v>2.5322</v>
      </c>
      <c r="G189" s="24">
        <v>104839284345.75</v>
      </c>
      <c r="H189" s="24">
        <v>4.4656000000000002</v>
      </c>
      <c r="I189" s="24">
        <v>4.3903999999999996</v>
      </c>
      <c r="J189" s="24">
        <v>2.7930999999999999</v>
      </c>
      <c r="K189" s="24">
        <v>199</v>
      </c>
      <c r="L189" s="24" t="s">
        <v>3726</v>
      </c>
    </row>
    <row r="190" spans="1:12" x14ac:dyDescent="0.35">
      <c r="A190" s="24" t="s">
        <v>3242</v>
      </c>
      <c r="B190" s="24" t="str">
        <f>"002982"</f>
        <v>002982</v>
      </c>
      <c r="C190" s="24" t="str">
        <f t="shared" si="2"/>
        <v>'002982.SZ'</v>
      </c>
      <c r="D190" s="24" t="s">
        <v>3727</v>
      </c>
      <c r="E190" s="24" t="s">
        <v>3728</v>
      </c>
      <c r="F190" s="24">
        <v>2.5295999999999998</v>
      </c>
      <c r="G190" s="24">
        <v>4314659757.1000004</v>
      </c>
      <c r="H190" s="24">
        <v>2.3513999999999999</v>
      </c>
      <c r="I190" s="24">
        <v>1.4742</v>
      </c>
      <c r="J190" s="24">
        <v>0.95599999999999996</v>
      </c>
      <c r="K190" s="24">
        <v>150</v>
      </c>
      <c r="L190" s="24" t="s">
        <v>3729</v>
      </c>
    </row>
    <row r="191" spans="1:12" x14ac:dyDescent="0.35">
      <c r="A191" s="24" t="s">
        <v>3246</v>
      </c>
      <c r="B191" s="24" t="str">
        <f>"688286"</f>
        <v>688286</v>
      </c>
      <c r="C191" s="24" t="str">
        <f t="shared" si="2"/>
        <v>'688286.SS'</v>
      </c>
      <c r="D191" s="24" t="s">
        <v>3730</v>
      </c>
      <c r="E191" s="24" t="s">
        <v>3389</v>
      </c>
      <c r="F191" s="24">
        <v>2.5257000000000001</v>
      </c>
      <c r="G191" s="24">
        <v>2717682470.1399999</v>
      </c>
      <c r="H191" s="24">
        <v>17.681100000000001</v>
      </c>
      <c r="I191" s="24">
        <v>12.4506</v>
      </c>
      <c r="J191" s="24">
        <v>7.2652999999999999</v>
      </c>
      <c r="K191" s="24">
        <v>108</v>
      </c>
      <c r="L191" s="24" t="s">
        <v>3731</v>
      </c>
    </row>
    <row r="192" spans="1:12" x14ac:dyDescent="0.35">
      <c r="A192" s="24" t="s">
        <v>3246</v>
      </c>
      <c r="B192" s="24" t="str">
        <f>"688087"</f>
        <v>688087</v>
      </c>
      <c r="C192" s="24" t="str">
        <f t="shared" si="2"/>
        <v>'688087.SS'</v>
      </c>
      <c r="D192" s="24" t="s">
        <v>3732</v>
      </c>
      <c r="E192" s="24" t="s">
        <v>3733</v>
      </c>
      <c r="F192" s="24">
        <v>2.5236000000000001</v>
      </c>
      <c r="G192" s="24">
        <v>5204702745.3800001</v>
      </c>
      <c r="H192" s="24">
        <v>2.8224</v>
      </c>
      <c r="I192" s="24">
        <v>1.9535</v>
      </c>
      <c r="J192" s="24">
        <v>1.3099000000000001</v>
      </c>
      <c r="K192" s="24">
        <v>36</v>
      </c>
      <c r="L192" s="24" t="s">
        <v>3734</v>
      </c>
    </row>
    <row r="193" spans="1:12" x14ac:dyDescent="0.35">
      <c r="A193" s="24" t="s">
        <v>3242</v>
      </c>
      <c r="B193" s="24" t="str">
        <f>"002646"</f>
        <v>002646</v>
      </c>
      <c r="C193" s="24" t="str">
        <f t="shared" si="2"/>
        <v>'002646.SZ'</v>
      </c>
      <c r="D193" s="24" t="s">
        <v>3735</v>
      </c>
      <c r="E193" s="24" t="s">
        <v>3362</v>
      </c>
      <c r="F193" s="24">
        <v>2.5217000000000001</v>
      </c>
      <c r="G193" s="24">
        <v>7027011423.3800001</v>
      </c>
      <c r="H193" s="24">
        <v>5.2516999999999996</v>
      </c>
      <c r="I193" s="24">
        <v>1.6518999999999999</v>
      </c>
      <c r="J193" s="24">
        <v>1.5891999999999999</v>
      </c>
      <c r="K193" s="24">
        <v>271</v>
      </c>
      <c r="L193" s="24" t="s">
        <v>3736</v>
      </c>
    </row>
    <row r="194" spans="1:12" x14ac:dyDescent="0.35">
      <c r="A194" s="24" t="s">
        <v>3242</v>
      </c>
      <c r="B194" s="24" t="str">
        <f>"002833"</f>
        <v>002833</v>
      </c>
      <c r="C194" s="24" t="str">
        <f t="shared" si="2"/>
        <v>'002833.SZ'</v>
      </c>
      <c r="D194" s="24" t="s">
        <v>3737</v>
      </c>
      <c r="E194" s="24" t="s">
        <v>3244</v>
      </c>
      <c r="F194" s="24">
        <v>2.5196000000000001</v>
      </c>
      <c r="G194" s="24">
        <v>5828920419.8400002</v>
      </c>
      <c r="H194" s="24">
        <v>5.0244999999999997</v>
      </c>
      <c r="I194" s="24">
        <v>4.2013999999999996</v>
      </c>
      <c r="J194" s="24">
        <v>2.238</v>
      </c>
      <c r="K194" s="24">
        <v>2930</v>
      </c>
      <c r="L194" s="24" t="s">
        <v>3738</v>
      </c>
    </row>
    <row r="195" spans="1:12" x14ac:dyDescent="0.35">
      <c r="A195" s="24" t="s">
        <v>3242</v>
      </c>
      <c r="B195" s="24" t="str">
        <f>"300531"</f>
        <v>300531</v>
      </c>
      <c r="C195" s="24" t="str">
        <f t="shared" ref="C195:C258" si="3">CONCATENATE("'",B195,IF(A195="sh",".SS'",".SZ'"))</f>
        <v>'300531.SZ'</v>
      </c>
      <c r="D195" s="24" t="s">
        <v>3739</v>
      </c>
      <c r="E195" s="24" t="s">
        <v>3257</v>
      </c>
      <c r="F195" s="24">
        <v>2.5158</v>
      </c>
      <c r="G195" s="24">
        <v>4394765835</v>
      </c>
      <c r="H195" s="24">
        <v>2.7197</v>
      </c>
      <c r="I195" s="24">
        <v>2.0081000000000002</v>
      </c>
      <c r="J195" s="24">
        <v>1.1194</v>
      </c>
      <c r="K195" s="24">
        <v>175</v>
      </c>
      <c r="L195" s="24" t="s">
        <v>3740</v>
      </c>
    </row>
    <row r="196" spans="1:12" x14ac:dyDescent="0.35">
      <c r="A196" s="24" t="s">
        <v>3242</v>
      </c>
      <c r="B196" s="24" t="str">
        <f>"300673"</f>
        <v>300673</v>
      </c>
      <c r="C196" s="24" t="str">
        <f t="shared" si="3"/>
        <v>'300673.SZ'</v>
      </c>
      <c r="D196" s="24" t="s">
        <v>3741</v>
      </c>
      <c r="E196" s="24" t="s">
        <v>3742</v>
      </c>
      <c r="F196" s="24">
        <v>2.5154000000000001</v>
      </c>
      <c r="G196" s="24">
        <v>4513415186.8000002</v>
      </c>
      <c r="H196" s="24">
        <v>4.0054999999999996</v>
      </c>
      <c r="I196" s="24">
        <v>2.5691999999999999</v>
      </c>
      <c r="J196" s="24">
        <v>1.5096000000000001</v>
      </c>
      <c r="K196" s="24">
        <v>521</v>
      </c>
      <c r="L196" s="24" t="s">
        <v>3743</v>
      </c>
    </row>
    <row r="197" spans="1:12" x14ac:dyDescent="0.35">
      <c r="A197" s="24" t="s">
        <v>3242</v>
      </c>
      <c r="B197" s="24" t="str">
        <f>"300397"</f>
        <v>300397</v>
      </c>
      <c r="C197" s="24" t="str">
        <f t="shared" si="3"/>
        <v>'300397.SZ'</v>
      </c>
      <c r="D197" s="24" t="s">
        <v>3744</v>
      </c>
      <c r="E197" s="24" t="s">
        <v>3383</v>
      </c>
      <c r="F197" s="24">
        <v>2.5133999999999999</v>
      </c>
      <c r="G197" s="24">
        <v>4886490872.8000002</v>
      </c>
      <c r="H197" s="24">
        <v>3.6789000000000001</v>
      </c>
      <c r="I197" s="24">
        <v>2.5920000000000001</v>
      </c>
      <c r="J197" s="24">
        <v>1.7175</v>
      </c>
      <c r="K197" s="24">
        <v>235</v>
      </c>
      <c r="L197" s="24" t="s">
        <v>3745</v>
      </c>
    </row>
    <row r="198" spans="1:12" x14ac:dyDescent="0.35">
      <c r="A198" s="24" t="s">
        <v>3242</v>
      </c>
      <c r="B198" s="24" t="str">
        <f>"301067"</f>
        <v>301067</v>
      </c>
      <c r="C198" s="24" t="str">
        <f t="shared" si="3"/>
        <v>'301067.SZ'</v>
      </c>
      <c r="D198" s="24" t="s">
        <v>3746</v>
      </c>
      <c r="E198" s="24" t="s">
        <v>3327</v>
      </c>
      <c r="F198" s="24">
        <v>2.5112999999999999</v>
      </c>
      <c r="G198" s="24">
        <v>2112722200</v>
      </c>
      <c r="H198" s="24">
        <v>3.4470999999999998</v>
      </c>
      <c r="I198" s="24">
        <v>2.8328000000000002</v>
      </c>
      <c r="J198" s="24">
        <v>1.6177999999999999</v>
      </c>
      <c r="K198" s="24">
        <v>29</v>
      </c>
      <c r="L198" s="24" t="s">
        <v>3747</v>
      </c>
    </row>
    <row r="199" spans="1:12" x14ac:dyDescent="0.35">
      <c r="A199" s="24" t="s">
        <v>3242</v>
      </c>
      <c r="B199" s="24" t="str">
        <f>"000403"</f>
        <v>000403</v>
      </c>
      <c r="C199" s="24" t="str">
        <f t="shared" si="3"/>
        <v>'000403.SZ'</v>
      </c>
      <c r="D199" s="24" t="s">
        <v>3748</v>
      </c>
      <c r="E199" s="24" t="s">
        <v>3711</v>
      </c>
      <c r="F199" s="24">
        <v>2.5110999999999999</v>
      </c>
      <c r="G199" s="24">
        <v>16580632686.639999</v>
      </c>
      <c r="H199" s="24">
        <v>3.4077999999999999</v>
      </c>
      <c r="I199" s="24">
        <v>2.3538999999999999</v>
      </c>
      <c r="J199" s="24">
        <v>0.998</v>
      </c>
      <c r="K199" s="24">
        <v>313</v>
      </c>
      <c r="L199" s="24" t="s">
        <v>3749</v>
      </c>
    </row>
    <row r="200" spans="1:12" x14ac:dyDescent="0.35">
      <c r="A200" s="24" t="s">
        <v>3246</v>
      </c>
      <c r="B200" s="24" t="str">
        <f>"605028"</f>
        <v>605028</v>
      </c>
      <c r="C200" s="24" t="str">
        <f t="shared" si="3"/>
        <v>'605028.SS'</v>
      </c>
      <c r="D200" s="24" t="s">
        <v>3750</v>
      </c>
      <c r="E200" s="24" t="s">
        <v>3332</v>
      </c>
      <c r="F200" s="24">
        <v>2.5068000000000001</v>
      </c>
      <c r="G200" s="24">
        <v>2752000000</v>
      </c>
      <c r="H200" s="24">
        <v>8.3947000000000003</v>
      </c>
      <c r="I200" s="24">
        <v>7.5858999999999996</v>
      </c>
      <c r="J200" s="24">
        <v>5.2042999999999999</v>
      </c>
      <c r="K200" s="24">
        <v>68</v>
      </c>
      <c r="L200" s="24" t="s">
        <v>3751</v>
      </c>
    </row>
    <row r="201" spans="1:12" x14ac:dyDescent="0.35">
      <c r="A201" s="24" t="s">
        <v>3242</v>
      </c>
      <c r="B201" s="24" t="str">
        <f>"002354"</f>
        <v>002354</v>
      </c>
      <c r="C201" s="24" t="str">
        <f t="shared" si="3"/>
        <v>'002354.SZ'</v>
      </c>
      <c r="D201" s="24" t="s">
        <v>3752</v>
      </c>
      <c r="E201" s="24" t="s">
        <v>3481</v>
      </c>
      <c r="F201" s="24">
        <v>2.5021</v>
      </c>
      <c r="G201" s="24">
        <v>6535613989</v>
      </c>
      <c r="H201" s="24">
        <v>4.0876999999999999</v>
      </c>
      <c r="I201" s="24">
        <v>3.895</v>
      </c>
      <c r="J201" s="24">
        <v>1.3394999999999999</v>
      </c>
      <c r="K201" s="24">
        <v>269</v>
      </c>
      <c r="L201" s="24" t="s">
        <v>3753</v>
      </c>
    </row>
    <row r="202" spans="1:12" x14ac:dyDescent="0.35">
      <c r="A202" s="24" t="s">
        <v>3242</v>
      </c>
      <c r="B202" s="24" t="str">
        <f>"300792"</f>
        <v>300792</v>
      </c>
      <c r="C202" s="24" t="str">
        <f t="shared" si="3"/>
        <v>'300792.SZ'</v>
      </c>
      <c r="D202" s="24" t="s">
        <v>3754</v>
      </c>
      <c r="E202" s="24" t="s">
        <v>3755</v>
      </c>
      <c r="F202" s="24">
        <v>2.5017999999999998</v>
      </c>
      <c r="G202" s="24">
        <v>6787358008.5500002</v>
      </c>
      <c r="H202" s="24">
        <v>5.1967999999999996</v>
      </c>
      <c r="I202" s="24">
        <v>4.0831</v>
      </c>
      <c r="J202" s="24">
        <v>2.7381000000000002</v>
      </c>
      <c r="K202" s="24">
        <v>368</v>
      </c>
      <c r="L202" s="24" t="s">
        <v>3756</v>
      </c>
    </row>
    <row r="203" spans="1:12" x14ac:dyDescent="0.35">
      <c r="A203" s="24" t="s">
        <v>3242</v>
      </c>
      <c r="B203" s="24" t="str">
        <f>"301185"</f>
        <v>301185</v>
      </c>
      <c r="C203" s="24" t="str">
        <f t="shared" si="3"/>
        <v>'301185.SZ'</v>
      </c>
      <c r="D203" s="24" t="s">
        <v>3757</v>
      </c>
      <c r="E203" s="24" t="s">
        <v>3722</v>
      </c>
      <c r="F203" s="24">
        <v>2.4994000000000001</v>
      </c>
      <c r="G203" s="24">
        <v>2393314560</v>
      </c>
      <c r="H203" s="24">
        <v>32.804000000000002</v>
      </c>
      <c r="I203" s="24">
        <v>32.060499999999998</v>
      </c>
      <c r="J203" s="24">
        <v>13.873200000000001</v>
      </c>
      <c r="K203" s="24">
        <v>28</v>
      </c>
      <c r="L203" s="24" t="s">
        <v>3758</v>
      </c>
    </row>
    <row r="204" spans="1:12" x14ac:dyDescent="0.35">
      <c r="A204" s="24" t="s">
        <v>3242</v>
      </c>
      <c r="B204" s="24" t="str">
        <f>"002033"</f>
        <v>002033</v>
      </c>
      <c r="C204" s="24" t="str">
        <f t="shared" si="3"/>
        <v>'002033.SZ'</v>
      </c>
      <c r="D204" s="24" t="s">
        <v>3759</v>
      </c>
      <c r="E204" s="24" t="s">
        <v>3397</v>
      </c>
      <c r="F204" s="24">
        <v>2.492</v>
      </c>
      <c r="G204" s="24">
        <v>6077367263.6599998</v>
      </c>
      <c r="H204" s="24">
        <v>5.2141000000000002</v>
      </c>
      <c r="I204" s="24">
        <v>5.0488</v>
      </c>
      <c r="J204" s="24">
        <v>3.7961</v>
      </c>
      <c r="K204" s="24">
        <v>292</v>
      </c>
      <c r="L204" s="24" t="s">
        <v>3760</v>
      </c>
    </row>
    <row r="205" spans="1:12" x14ac:dyDescent="0.35">
      <c r="A205" s="24" t="s">
        <v>3242</v>
      </c>
      <c r="B205" s="24" t="str">
        <f>"300066"</f>
        <v>300066</v>
      </c>
      <c r="C205" s="24" t="str">
        <f t="shared" si="3"/>
        <v>'300066.SZ'</v>
      </c>
      <c r="D205" s="24" t="s">
        <v>3761</v>
      </c>
      <c r="E205" s="24" t="s">
        <v>3476</v>
      </c>
      <c r="F205" s="24">
        <v>2.4906000000000001</v>
      </c>
      <c r="G205" s="24">
        <v>5356171299.3000002</v>
      </c>
      <c r="H205" s="24">
        <v>5.0256999999999996</v>
      </c>
      <c r="I205" s="24">
        <v>3.5448</v>
      </c>
      <c r="J205" s="24">
        <v>1.0077</v>
      </c>
      <c r="K205" s="24">
        <v>200</v>
      </c>
      <c r="L205" s="24" t="s">
        <v>3762</v>
      </c>
    </row>
    <row r="206" spans="1:12" x14ac:dyDescent="0.35">
      <c r="A206" s="24" t="s">
        <v>3246</v>
      </c>
      <c r="B206" s="24" t="str">
        <f>"688613"</f>
        <v>688613</v>
      </c>
      <c r="C206" s="24" t="str">
        <f t="shared" si="3"/>
        <v>'688613.SS'</v>
      </c>
      <c r="D206" s="24" t="s">
        <v>3763</v>
      </c>
      <c r="E206" s="24" t="s">
        <v>3319</v>
      </c>
      <c r="F206" s="24">
        <v>2.4882</v>
      </c>
      <c r="G206" s="24">
        <v>3168000015.8400002</v>
      </c>
      <c r="H206" s="24">
        <v>19.240300000000001</v>
      </c>
      <c r="I206" s="24">
        <v>18.692799999999998</v>
      </c>
      <c r="J206" s="24">
        <v>4.8723000000000001</v>
      </c>
      <c r="K206" s="24">
        <v>57</v>
      </c>
      <c r="L206" s="24" t="s">
        <v>3764</v>
      </c>
    </row>
    <row r="207" spans="1:12" x14ac:dyDescent="0.35">
      <c r="A207" s="24" t="s">
        <v>3242</v>
      </c>
      <c r="B207" s="24" t="str">
        <f>"002970"</f>
        <v>002970</v>
      </c>
      <c r="C207" s="24" t="str">
        <f t="shared" si="3"/>
        <v>'002970.SZ'</v>
      </c>
      <c r="D207" s="24" t="s">
        <v>3765</v>
      </c>
      <c r="E207" s="24" t="s">
        <v>3257</v>
      </c>
      <c r="F207" s="24">
        <v>2.4845999999999999</v>
      </c>
      <c r="G207" s="24">
        <v>3472029720</v>
      </c>
      <c r="H207" s="24">
        <v>2.3746999999999998</v>
      </c>
      <c r="I207" s="24">
        <v>1.5801000000000001</v>
      </c>
      <c r="J207" s="24">
        <v>0.85489999999999999</v>
      </c>
      <c r="K207" s="24">
        <v>567</v>
      </c>
      <c r="L207" s="24" t="s">
        <v>3766</v>
      </c>
    </row>
    <row r="208" spans="1:12" x14ac:dyDescent="0.35">
      <c r="A208" s="24" t="s">
        <v>3246</v>
      </c>
      <c r="B208" s="24" t="str">
        <f>"688981"</f>
        <v>688981</v>
      </c>
      <c r="C208" s="24" t="str">
        <f t="shared" si="3"/>
        <v>'688981.SS'</v>
      </c>
      <c r="D208" s="24" t="s">
        <v>1039</v>
      </c>
      <c r="E208" s="24" t="s">
        <v>3767</v>
      </c>
      <c r="F208" s="24">
        <v>2.4834000000000001</v>
      </c>
      <c r="G208" s="24">
        <v>329799864529.28003</v>
      </c>
      <c r="H208" s="24">
        <v>2.9815</v>
      </c>
      <c r="I208" s="24">
        <v>2.7031000000000001</v>
      </c>
      <c r="J208" s="24">
        <v>2.0865999999999998</v>
      </c>
      <c r="K208" s="24">
        <v>1160</v>
      </c>
      <c r="L208" s="24" t="s">
        <v>3768</v>
      </c>
    </row>
    <row r="209" spans="1:12" x14ac:dyDescent="0.35">
      <c r="A209" s="24" t="s">
        <v>3242</v>
      </c>
      <c r="B209" s="24" t="str">
        <f>"301300"</f>
        <v>301300</v>
      </c>
      <c r="C209" s="24" t="str">
        <f t="shared" si="3"/>
        <v>'301300.SZ'</v>
      </c>
      <c r="D209" s="24" t="s">
        <v>3769</v>
      </c>
      <c r="E209" s="24" t="s">
        <v>3770</v>
      </c>
      <c r="F209" s="24">
        <v>2.4824000000000002</v>
      </c>
      <c r="G209" s="24">
        <v>2031630500</v>
      </c>
      <c r="H209" s="24">
        <v>6.3632999999999997</v>
      </c>
      <c r="I209" s="24">
        <v>6.0545999999999998</v>
      </c>
      <c r="J209" s="24">
        <v>4.5815999999999999</v>
      </c>
      <c r="K209" s="24">
        <v>5</v>
      </c>
      <c r="L209" s="24" t="s">
        <v>3771</v>
      </c>
    </row>
    <row r="210" spans="1:12" x14ac:dyDescent="0.35">
      <c r="A210" s="24" t="s">
        <v>3242</v>
      </c>
      <c r="B210" s="24" t="str">
        <f>"002561"</f>
        <v>002561</v>
      </c>
      <c r="C210" s="24" t="str">
        <f t="shared" si="3"/>
        <v>'002561.SZ'</v>
      </c>
      <c r="D210" s="24" t="s">
        <v>3772</v>
      </c>
      <c r="E210" s="24" t="s">
        <v>3773</v>
      </c>
      <c r="F210" s="24">
        <v>2.4773999999999998</v>
      </c>
      <c r="G210" s="24">
        <v>5479756340</v>
      </c>
      <c r="H210" s="24">
        <v>5.4474999999999998</v>
      </c>
      <c r="I210" s="24">
        <v>5.3487</v>
      </c>
      <c r="J210" s="24">
        <v>2.7317999999999998</v>
      </c>
      <c r="K210" s="24">
        <v>193</v>
      </c>
      <c r="L210" s="24" t="s">
        <v>3774</v>
      </c>
    </row>
    <row r="211" spans="1:12" x14ac:dyDescent="0.35">
      <c r="A211" s="24" t="s">
        <v>3246</v>
      </c>
      <c r="B211" s="24" t="str">
        <f>"601089"</f>
        <v>601089</v>
      </c>
      <c r="C211" s="24" t="str">
        <f t="shared" si="3"/>
        <v>'601089.SS'</v>
      </c>
      <c r="D211" s="24" t="s">
        <v>3775</v>
      </c>
      <c r="E211" s="24" t="s">
        <v>3696</v>
      </c>
      <c r="F211" s="24">
        <v>2.4773000000000001</v>
      </c>
      <c r="G211" s="24">
        <v>7603200000</v>
      </c>
      <c r="H211" s="24">
        <v>3.3944000000000001</v>
      </c>
      <c r="I211" s="24">
        <v>3.0127000000000002</v>
      </c>
      <c r="J211" s="24">
        <v>2.1373000000000002</v>
      </c>
      <c r="K211" s="24">
        <v>21</v>
      </c>
      <c r="L211" s="24" t="s">
        <v>3776</v>
      </c>
    </row>
    <row r="212" spans="1:12" x14ac:dyDescent="0.35">
      <c r="A212" s="24" t="s">
        <v>3242</v>
      </c>
      <c r="B212" s="24" t="str">
        <f>"300288"</f>
        <v>300288</v>
      </c>
      <c r="C212" s="24" t="str">
        <f t="shared" si="3"/>
        <v>'300288.SZ'</v>
      </c>
      <c r="D212" s="24" t="s">
        <v>3777</v>
      </c>
      <c r="E212" s="24" t="s">
        <v>3722</v>
      </c>
      <c r="F212" s="24">
        <v>2.4727000000000001</v>
      </c>
      <c r="G212" s="24">
        <v>3768046632.3000002</v>
      </c>
      <c r="H212" s="24">
        <v>1.899</v>
      </c>
      <c r="I212" s="24">
        <v>1.8048999999999999</v>
      </c>
      <c r="J212" s="24">
        <v>1.4274</v>
      </c>
      <c r="K212" s="24">
        <v>227</v>
      </c>
      <c r="L212" s="24" t="s">
        <v>3778</v>
      </c>
    </row>
    <row r="213" spans="1:12" x14ac:dyDescent="0.35">
      <c r="A213" s="24" t="s">
        <v>3242</v>
      </c>
      <c r="B213" s="24" t="str">
        <f>"300527"</f>
        <v>300527</v>
      </c>
      <c r="C213" s="24" t="str">
        <f t="shared" si="3"/>
        <v>'300527.SZ'</v>
      </c>
      <c r="D213" s="24" t="s">
        <v>3779</v>
      </c>
      <c r="E213" s="24" t="s">
        <v>3446</v>
      </c>
      <c r="F213" s="24">
        <v>2.4617</v>
      </c>
      <c r="G213" s="24">
        <v>6540370756.0799999</v>
      </c>
      <c r="H213" s="24">
        <v>3.3834</v>
      </c>
      <c r="I213" s="24">
        <v>1.4413</v>
      </c>
      <c r="J213" s="24">
        <v>1.0827</v>
      </c>
      <c r="K213" s="24">
        <v>151</v>
      </c>
      <c r="L213" s="24" t="s">
        <v>3780</v>
      </c>
    </row>
    <row r="214" spans="1:12" x14ac:dyDescent="0.35">
      <c r="A214" s="24" t="s">
        <v>3246</v>
      </c>
      <c r="B214" s="24" t="str">
        <f>"688302"</f>
        <v>688302</v>
      </c>
      <c r="C214" s="24" t="str">
        <f t="shared" si="3"/>
        <v>'688302.SS'</v>
      </c>
      <c r="D214" s="24" t="s">
        <v>3781</v>
      </c>
      <c r="E214" s="24" t="s">
        <v>3696</v>
      </c>
      <c r="F214" s="24">
        <v>2.4597000000000002</v>
      </c>
      <c r="G214" s="24">
        <v>4025974214.6799998</v>
      </c>
      <c r="H214" s="24">
        <v>10.9</v>
      </c>
      <c r="I214" s="24">
        <v>10.7964</v>
      </c>
      <c r="J214" s="24">
        <v>1.7346999999999999</v>
      </c>
      <c r="K214" s="24">
        <v>9</v>
      </c>
      <c r="L214" s="24" t="s">
        <v>3782</v>
      </c>
    </row>
    <row r="215" spans="1:12" x14ac:dyDescent="0.35">
      <c r="A215" s="24" t="s">
        <v>3242</v>
      </c>
      <c r="B215" s="24" t="str">
        <f>"002194"</f>
        <v>002194</v>
      </c>
      <c r="C215" s="24" t="str">
        <f t="shared" si="3"/>
        <v>'002194.SZ'</v>
      </c>
      <c r="D215" s="24" t="s">
        <v>3783</v>
      </c>
      <c r="E215" s="24" t="s">
        <v>3314</v>
      </c>
      <c r="F215" s="24">
        <v>2.4573</v>
      </c>
      <c r="G215" s="24">
        <v>6547386871.4799995</v>
      </c>
      <c r="H215" s="24">
        <v>3.9157999999999999</v>
      </c>
      <c r="I215" s="24">
        <v>3.2947000000000002</v>
      </c>
      <c r="J215" s="24">
        <v>2.0110999999999999</v>
      </c>
      <c r="K215" s="24">
        <v>919</v>
      </c>
      <c r="L215" s="24" t="s">
        <v>3784</v>
      </c>
    </row>
    <row r="216" spans="1:12" x14ac:dyDescent="0.35">
      <c r="A216" s="24" t="s">
        <v>3246</v>
      </c>
      <c r="B216" s="24" t="str">
        <f>"600750"</f>
        <v>600750</v>
      </c>
      <c r="C216" s="24" t="str">
        <f t="shared" si="3"/>
        <v>'600750.SS'</v>
      </c>
      <c r="D216" s="24" t="s">
        <v>3785</v>
      </c>
      <c r="E216" s="24" t="s">
        <v>3311</v>
      </c>
      <c r="F216" s="24">
        <v>2.4556</v>
      </c>
      <c r="G216" s="24">
        <v>9311517158.8199997</v>
      </c>
      <c r="H216" s="24">
        <v>2.9839000000000002</v>
      </c>
      <c r="I216" s="24">
        <v>2.6635</v>
      </c>
      <c r="J216" s="24">
        <v>0.88270000000000004</v>
      </c>
      <c r="K216" s="24">
        <v>878</v>
      </c>
      <c r="L216" s="24" t="s">
        <v>3786</v>
      </c>
    </row>
    <row r="217" spans="1:12" x14ac:dyDescent="0.35">
      <c r="A217" s="24" t="s">
        <v>3242</v>
      </c>
      <c r="B217" s="24" t="str">
        <f>"301188"</f>
        <v>301188</v>
      </c>
      <c r="C217" s="24" t="str">
        <f t="shared" si="3"/>
        <v>'301188.SZ'</v>
      </c>
      <c r="D217" s="24" t="s">
        <v>3787</v>
      </c>
      <c r="E217" s="24" t="s">
        <v>3636</v>
      </c>
      <c r="F217" s="24">
        <v>2.4533</v>
      </c>
      <c r="G217" s="24">
        <v>3437343900</v>
      </c>
      <c r="H217" s="24">
        <v>5.5784000000000002</v>
      </c>
      <c r="I217" s="24">
        <v>4.3705999999999996</v>
      </c>
      <c r="J217" s="24">
        <v>2.3148</v>
      </c>
      <c r="K217" s="24">
        <v>23</v>
      </c>
      <c r="L217" s="24" t="s">
        <v>3788</v>
      </c>
    </row>
    <row r="218" spans="1:12" x14ac:dyDescent="0.35">
      <c r="A218" s="24" t="s">
        <v>3242</v>
      </c>
      <c r="B218" s="24" t="str">
        <f>"300642"</f>
        <v>300642</v>
      </c>
      <c r="C218" s="24" t="str">
        <f t="shared" si="3"/>
        <v>'300642.SZ'</v>
      </c>
      <c r="D218" s="24" t="s">
        <v>3789</v>
      </c>
      <c r="E218" s="24" t="s">
        <v>3432</v>
      </c>
      <c r="F218" s="24">
        <v>2.448</v>
      </c>
      <c r="G218" s="24">
        <v>3499506650.1599998</v>
      </c>
      <c r="H218" s="24">
        <v>8.4</v>
      </c>
      <c r="I218" s="24">
        <v>6.5110000000000001</v>
      </c>
      <c r="J218" s="24">
        <v>2.2225999999999999</v>
      </c>
      <c r="K218" s="24">
        <v>415</v>
      </c>
      <c r="L218" s="24" t="s">
        <v>3790</v>
      </c>
    </row>
    <row r="219" spans="1:12" x14ac:dyDescent="0.35">
      <c r="A219" s="24" t="s">
        <v>3246</v>
      </c>
      <c r="B219" s="24" t="str">
        <f>"688273"</f>
        <v>688273</v>
      </c>
      <c r="C219" s="24" t="str">
        <f t="shared" si="3"/>
        <v>'688273.SS'</v>
      </c>
      <c r="D219" s="24" t="s">
        <v>3791</v>
      </c>
      <c r="E219" s="24" t="s">
        <v>3443</v>
      </c>
      <c r="F219" s="24">
        <v>2.4449999999999998</v>
      </c>
      <c r="G219" s="24">
        <v>3269000000</v>
      </c>
      <c r="H219" s="24">
        <v>13.795299999999999</v>
      </c>
      <c r="I219" s="24">
        <v>13.0402</v>
      </c>
      <c r="J219" s="24">
        <v>10.584300000000001</v>
      </c>
      <c r="K219" s="24">
        <v>7</v>
      </c>
      <c r="L219" s="24" t="s">
        <v>3792</v>
      </c>
    </row>
    <row r="220" spans="1:12" x14ac:dyDescent="0.35">
      <c r="A220" s="24" t="s">
        <v>3242</v>
      </c>
      <c r="B220" s="24" t="str">
        <f>"002166"</f>
        <v>002166</v>
      </c>
      <c r="C220" s="24" t="str">
        <f t="shared" si="3"/>
        <v>'002166.SZ'</v>
      </c>
      <c r="D220" s="24" t="s">
        <v>3793</v>
      </c>
      <c r="E220" s="24" t="s">
        <v>3419</v>
      </c>
      <c r="F220" s="24">
        <v>2.4449000000000001</v>
      </c>
      <c r="G220" s="24">
        <v>7650869801.75</v>
      </c>
      <c r="H220" s="24">
        <v>2.4409000000000001</v>
      </c>
      <c r="I220" s="24">
        <v>1.3545</v>
      </c>
      <c r="J220" s="24">
        <v>0.92330000000000001</v>
      </c>
      <c r="K220" s="24">
        <v>214</v>
      </c>
      <c r="L220" s="24" t="s">
        <v>3794</v>
      </c>
    </row>
    <row r="221" spans="1:12" x14ac:dyDescent="0.35">
      <c r="A221" s="24" t="s">
        <v>3242</v>
      </c>
      <c r="B221" s="24" t="str">
        <f>"301103"</f>
        <v>301103</v>
      </c>
      <c r="C221" s="24" t="str">
        <f t="shared" si="3"/>
        <v>'301103.SZ'</v>
      </c>
      <c r="D221" s="24" t="s">
        <v>3795</v>
      </c>
      <c r="E221" s="24" t="s">
        <v>3796</v>
      </c>
      <c r="F221" s="24">
        <v>2.4369000000000001</v>
      </c>
      <c r="G221" s="24">
        <v>5377640808.1300001</v>
      </c>
      <c r="H221" s="24">
        <v>10.8414</v>
      </c>
      <c r="I221" s="24">
        <v>10.3056</v>
      </c>
      <c r="J221" s="24">
        <v>10.032299999999999</v>
      </c>
      <c r="K221" s="24">
        <v>17</v>
      </c>
      <c r="L221" s="24" t="s">
        <v>3797</v>
      </c>
    </row>
    <row r="222" spans="1:12" x14ac:dyDescent="0.35">
      <c r="A222" s="24" t="s">
        <v>3242</v>
      </c>
      <c r="B222" s="24" t="str">
        <f>"002609"</f>
        <v>002609</v>
      </c>
      <c r="C222" s="24" t="str">
        <f t="shared" si="3"/>
        <v>'002609.SZ'</v>
      </c>
      <c r="D222" s="24" t="s">
        <v>3798</v>
      </c>
      <c r="E222" s="24" t="s">
        <v>3722</v>
      </c>
      <c r="F222" s="24">
        <v>2.4306999999999999</v>
      </c>
      <c r="G222" s="24">
        <v>5695963021.9799995</v>
      </c>
      <c r="H222" s="24">
        <v>3.0377000000000001</v>
      </c>
      <c r="I222" s="24">
        <v>2.3359999999999999</v>
      </c>
      <c r="J222" s="24">
        <v>0.89939999999999998</v>
      </c>
      <c r="K222" s="24">
        <v>219</v>
      </c>
      <c r="L222" s="24" t="s">
        <v>3799</v>
      </c>
    </row>
    <row r="223" spans="1:12" x14ac:dyDescent="0.35">
      <c r="A223" s="24" t="s">
        <v>3246</v>
      </c>
      <c r="B223" s="24" t="str">
        <f>"603189"</f>
        <v>603189</v>
      </c>
      <c r="C223" s="24" t="str">
        <f t="shared" si="3"/>
        <v>'603189.SS'</v>
      </c>
      <c r="D223" s="24" t="s">
        <v>3800</v>
      </c>
      <c r="E223" s="24" t="s">
        <v>3368</v>
      </c>
      <c r="F223" s="24">
        <v>2.4289999999999998</v>
      </c>
      <c r="G223" s="24">
        <v>4142958124.1300001</v>
      </c>
      <c r="H223" s="24">
        <v>14.256600000000001</v>
      </c>
      <c r="I223" s="24">
        <v>13.069000000000001</v>
      </c>
      <c r="J223" s="24">
        <v>3.8094000000000001</v>
      </c>
      <c r="K223" s="24">
        <v>174</v>
      </c>
      <c r="L223" s="24" t="s">
        <v>3801</v>
      </c>
    </row>
    <row r="224" spans="1:12" x14ac:dyDescent="0.35">
      <c r="A224" s="24" t="s">
        <v>3242</v>
      </c>
      <c r="B224" s="24" t="str">
        <f>"301009"</f>
        <v>301009</v>
      </c>
      <c r="C224" s="24" t="str">
        <f t="shared" si="3"/>
        <v>'301009.SZ'</v>
      </c>
      <c r="D224" s="24" t="s">
        <v>3802</v>
      </c>
      <c r="E224" s="24" t="s">
        <v>3571</v>
      </c>
      <c r="F224" s="24">
        <v>2.4285999999999999</v>
      </c>
      <c r="G224" s="24">
        <v>3425436000</v>
      </c>
      <c r="H224" s="24">
        <v>2.4009999999999998</v>
      </c>
      <c r="I224" s="24">
        <v>2.0226000000000002</v>
      </c>
      <c r="J224" s="24">
        <v>1.5126999999999999</v>
      </c>
      <c r="K224" s="24">
        <v>61</v>
      </c>
      <c r="L224" s="24" t="s">
        <v>3803</v>
      </c>
    </row>
    <row r="225" spans="1:12" x14ac:dyDescent="0.35">
      <c r="A225" s="24" t="s">
        <v>3246</v>
      </c>
      <c r="B225" s="24" t="str">
        <f>"603128"</f>
        <v>603128</v>
      </c>
      <c r="C225" s="24" t="str">
        <f t="shared" si="3"/>
        <v>'603128.SS'</v>
      </c>
      <c r="D225" s="24" t="s">
        <v>3804</v>
      </c>
      <c r="E225" s="24" t="s">
        <v>3805</v>
      </c>
      <c r="F225" s="24">
        <v>2.4251</v>
      </c>
      <c r="G225" s="24">
        <v>13670793417.24</v>
      </c>
      <c r="H225" s="24">
        <v>2.3933</v>
      </c>
      <c r="I225" s="24">
        <v>2.2837999999999998</v>
      </c>
      <c r="J225" s="24">
        <v>0.8569</v>
      </c>
      <c r="K225" s="24">
        <v>300</v>
      </c>
      <c r="L225" s="24" t="s">
        <v>3806</v>
      </c>
    </row>
    <row r="226" spans="1:12" x14ac:dyDescent="0.35">
      <c r="A226" s="24" t="s">
        <v>3242</v>
      </c>
      <c r="B226" s="24" t="str">
        <f>"300112"</f>
        <v>300112</v>
      </c>
      <c r="C226" s="24" t="str">
        <f t="shared" si="3"/>
        <v>'300112.SZ'</v>
      </c>
      <c r="D226" s="24" t="s">
        <v>3807</v>
      </c>
      <c r="E226" s="24" t="s">
        <v>3476</v>
      </c>
      <c r="F226" s="24">
        <v>2.4228000000000001</v>
      </c>
      <c r="G226" s="24">
        <v>2706538026.9000001</v>
      </c>
      <c r="H226" s="24">
        <v>3.4005000000000001</v>
      </c>
      <c r="I226" s="24">
        <v>2.3835999999999999</v>
      </c>
      <c r="J226" s="24">
        <v>0.95609999999999995</v>
      </c>
      <c r="K226" s="24">
        <v>131</v>
      </c>
      <c r="L226" s="24" t="s">
        <v>3808</v>
      </c>
    </row>
    <row r="227" spans="1:12" x14ac:dyDescent="0.35">
      <c r="A227" s="24" t="s">
        <v>3242</v>
      </c>
      <c r="B227" s="24" t="str">
        <f>"300109"</f>
        <v>300109</v>
      </c>
      <c r="C227" s="24" t="str">
        <f t="shared" si="3"/>
        <v>'300109.SZ'</v>
      </c>
      <c r="D227" s="24" t="s">
        <v>3809</v>
      </c>
      <c r="E227" s="24" t="s">
        <v>3271</v>
      </c>
      <c r="F227" s="24">
        <v>2.4218999999999999</v>
      </c>
      <c r="G227" s="24">
        <v>8081438158.1499996</v>
      </c>
      <c r="H227" s="24">
        <v>4.3061999999999996</v>
      </c>
      <c r="I227" s="24">
        <v>3.6686000000000001</v>
      </c>
      <c r="J227" s="24">
        <v>1.1822999999999999</v>
      </c>
      <c r="K227" s="24">
        <v>127</v>
      </c>
      <c r="L227" s="24" t="s">
        <v>3810</v>
      </c>
    </row>
    <row r="228" spans="1:12" x14ac:dyDescent="0.35">
      <c r="A228" s="24" t="s">
        <v>3242</v>
      </c>
      <c r="B228" s="24" t="str">
        <f>"301132"</f>
        <v>301132</v>
      </c>
      <c r="C228" s="24" t="str">
        <f t="shared" si="3"/>
        <v>'301132.SZ'</v>
      </c>
      <c r="D228" s="24" t="s">
        <v>3811</v>
      </c>
      <c r="E228" s="24" t="s">
        <v>3466</v>
      </c>
      <c r="F228" s="24">
        <v>2.4216000000000002</v>
      </c>
      <c r="G228" s="24">
        <v>3910904400</v>
      </c>
      <c r="H228" s="24">
        <v>3.2240000000000002</v>
      </c>
      <c r="I228" s="24">
        <v>2.9941</v>
      </c>
      <c r="J228" s="24">
        <v>2.0436000000000001</v>
      </c>
      <c r="K228" s="24">
        <v>8</v>
      </c>
      <c r="L228" s="24" t="s">
        <v>3812</v>
      </c>
    </row>
    <row r="229" spans="1:12" x14ac:dyDescent="0.35">
      <c r="A229" s="24" t="s">
        <v>3242</v>
      </c>
      <c r="B229" s="24" t="str">
        <f>"300765"</f>
        <v>300765</v>
      </c>
      <c r="C229" s="24" t="str">
        <f t="shared" si="3"/>
        <v>'300765.SZ'</v>
      </c>
      <c r="D229" s="24" t="s">
        <v>3813</v>
      </c>
      <c r="E229" s="24" t="s">
        <v>3658</v>
      </c>
      <c r="F229" s="24">
        <v>2.4190999999999998</v>
      </c>
      <c r="G229" s="24">
        <v>10001846777.92</v>
      </c>
      <c r="H229" s="24">
        <v>9.2128999999999994</v>
      </c>
      <c r="I229" s="24">
        <v>8.3598999999999997</v>
      </c>
      <c r="J229" s="24">
        <v>5.4343000000000004</v>
      </c>
      <c r="K229" s="24">
        <v>183</v>
      </c>
      <c r="L229" s="24" t="s">
        <v>3814</v>
      </c>
    </row>
    <row r="230" spans="1:12" x14ac:dyDescent="0.35">
      <c r="A230" s="24" t="s">
        <v>3246</v>
      </c>
      <c r="B230" s="24" t="str">
        <f>"605398"</f>
        <v>605398</v>
      </c>
      <c r="C230" s="24" t="str">
        <f t="shared" si="3"/>
        <v>'605398.SS'</v>
      </c>
      <c r="D230" s="24" t="s">
        <v>3815</v>
      </c>
      <c r="E230" s="24" t="s">
        <v>3722</v>
      </c>
      <c r="F230" s="24">
        <v>2.4127999999999998</v>
      </c>
      <c r="G230" s="24">
        <v>2398967769.5999999</v>
      </c>
      <c r="H230" s="24">
        <v>6.1242999999999999</v>
      </c>
      <c r="I230" s="24">
        <v>4.4166999999999996</v>
      </c>
      <c r="J230" s="24">
        <v>3.8828999999999998</v>
      </c>
      <c r="K230" s="24">
        <v>48</v>
      </c>
      <c r="L230" s="24" t="s">
        <v>3816</v>
      </c>
    </row>
    <row r="231" spans="1:12" x14ac:dyDescent="0.35">
      <c r="A231" s="24" t="s">
        <v>3242</v>
      </c>
      <c r="B231" s="24" t="str">
        <f>"300928"</f>
        <v>300928</v>
      </c>
      <c r="C231" s="24" t="str">
        <f t="shared" si="3"/>
        <v>'300928.SZ'</v>
      </c>
      <c r="D231" s="24" t="s">
        <v>3817</v>
      </c>
      <c r="E231" s="24" t="s">
        <v>3274</v>
      </c>
      <c r="F231" s="24">
        <v>2.4112</v>
      </c>
      <c r="G231" s="24">
        <v>3123200000</v>
      </c>
      <c r="H231" s="24">
        <v>24.116800000000001</v>
      </c>
      <c r="I231" s="24">
        <v>22.8644</v>
      </c>
      <c r="J231" s="24">
        <v>9.2213999999999992</v>
      </c>
      <c r="K231" s="24">
        <v>40</v>
      </c>
      <c r="L231" s="24" t="s">
        <v>3818</v>
      </c>
    </row>
    <row r="232" spans="1:12" x14ac:dyDescent="0.35">
      <c r="A232" s="24" t="s">
        <v>3242</v>
      </c>
      <c r="B232" s="24" t="str">
        <f>"002956"</f>
        <v>002956</v>
      </c>
      <c r="C232" s="24" t="str">
        <f t="shared" si="3"/>
        <v>'002956.SZ'</v>
      </c>
      <c r="D232" s="24" t="s">
        <v>3819</v>
      </c>
      <c r="E232" s="24" t="s">
        <v>3365</v>
      </c>
      <c r="F232" s="24">
        <v>2.407</v>
      </c>
      <c r="G232" s="24">
        <v>3324604491.4099998</v>
      </c>
      <c r="H232" s="24">
        <v>3.2004999999999999</v>
      </c>
      <c r="I232" s="24">
        <v>2.8443000000000001</v>
      </c>
      <c r="J232" s="24">
        <v>0.96079999999999999</v>
      </c>
      <c r="K232" s="24">
        <v>291</v>
      </c>
      <c r="L232" s="24" t="s">
        <v>3820</v>
      </c>
    </row>
    <row r="233" spans="1:12" x14ac:dyDescent="0.35">
      <c r="A233" s="24" t="s">
        <v>3246</v>
      </c>
      <c r="B233" s="24" t="str">
        <f>"603217"</f>
        <v>603217</v>
      </c>
      <c r="C233" s="24" t="str">
        <f t="shared" si="3"/>
        <v>'603217.SS'</v>
      </c>
      <c r="D233" s="24" t="s">
        <v>3821</v>
      </c>
      <c r="E233" s="24" t="s">
        <v>3271</v>
      </c>
      <c r="F233" s="24">
        <v>2.4066999999999998</v>
      </c>
      <c r="G233" s="24">
        <v>6972832336</v>
      </c>
      <c r="H233" s="24">
        <v>5.1292999999999997</v>
      </c>
      <c r="I233" s="24">
        <v>4.2191000000000001</v>
      </c>
      <c r="J233" s="24">
        <v>1.954</v>
      </c>
      <c r="K233" s="24">
        <v>86</v>
      </c>
      <c r="L233" s="24" t="s">
        <v>3822</v>
      </c>
    </row>
    <row r="234" spans="1:12" x14ac:dyDescent="0.35">
      <c r="A234" s="24" t="s">
        <v>3246</v>
      </c>
      <c r="B234" s="24" t="str">
        <f>"688580"</f>
        <v>688580</v>
      </c>
      <c r="C234" s="24" t="str">
        <f t="shared" si="3"/>
        <v>'688580.SS'</v>
      </c>
      <c r="D234" s="24" t="s">
        <v>3823</v>
      </c>
      <c r="E234" s="24" t="s">
        <v>3443</v>
      </c>
      <c r="F234" s="24">
        <v>2.4062999999999999</v>
      </c>
      <c r="G234" s="24">
        <v>3636378712.3299999</v>
      </c>
      <c r="H234" s="24">
        <v>19.271899999999999</v>
      </c>
      <c r="I234" s="24">
        <v>18.800799999999999</v>
      </c>
      <c r="J234" s="24">
        <v>18.340299999999999</v>
      </c>
      <c r="K234" s="24">
        <v>244</v>
      </c>
      <c r="L234" s="24" t="s">
        <v>3824</v>
      </c>
    </row>
    <row r="235" spans="1:12" x14ac:dyDescent="0.35">
      <c r="A235" s="24" t="s">
        <v>3246</v>
      </c>
      <c r="B235" s="24" t="str">
        <f>"688136"</f>
        <v>688136</v>
      </c>
      <c r="C235" s="24" t="str">
        <f t="shared" si="3"/>
        <v>'688136.SS'</v>
      </c>
      <c r="D235" s="24" t="s">
        <v>3825</v>
      </c>
      <c r="E235" s="24" t="s">
        <v>3282</v>
      </c>
      <c r="F235" s="24">
        <v>2.4037000000000002</v>
      </c>
      <c r="G235" s="24">
        <v>4421089462.5</v>
      </c>
      <c r="H235" s="24">
        <v>2.0552999999999999</v>
      </c>
      <c r="I235" s="24">
        <v>1.7394000000000001</v>
      </c>
      <c r="J235" s="24">
        <v>0.94369999999999998</v>
      </c>
      <c r="K235" s="24">
        <v>68</v>
      </c>
      <c r="L235" s="24" t="s">
        <v>3826</v>
      </c>
    </row>
    <row r="236" spans="1:12" x14ac:dyDescent="0.35">
      <c r="A236" s="24" t="s">
        <v>3242</v>
      </c>
      <c r="B236" s="24" t="str">
        <f>"002127"</f>
        <v>002127</v>
      </c>
      <c r="C236" s="24" t="str">
        <f t="shared" si="3"/>
        <v>'002127.SZ'</v>
      </c>
      <c r="D236" s="24" t="s">
        <v>3827</v>
      </c>
      <c r="E236" s="24" t="s">
        <v>3755</v>
      </c>
      <c r="F236" s="24">
        <v>2.395</v>
      </c>
      <c r="G236" s="24">
        <v>11807926638.43</v>
      </c>
      <c r="H236" s="24">
        <v>5.2831999999999999</v>
      </c>
      <c r="I236" s="24">
        <v>4.4821999999999997</v>
      </c>
      <c r="J236" s="24">
        <v>2.3609</v>
      </c>
      <c r="K236" s="24">
        <v>1706</v>
      </c>
      <c r="L236" s="24" t="s">
        <v>3828</v>
      </c>
    </row>
    <row r="237" spans="1:12" x14ac:dyDescent="0.35">
      <c r="A237" s="24" t="s">
        <v>3242</v>
      </c>
      <c r="B237" s="24" t="str">
        <f>"002755"</f>
        <v>002755</v>
      </c>
      <c r="C237" s="24" t="str">
        <f t="shared" si="3"/>
        <v>'002755.SZ'</v>
      </c>
      <c r="D237" s="24" t="s">
        <v>3829</v>
      </c>
      <c r="E237" s="24" t="s">
        <v>3696</v>
      </c>
      <c r="F237" s="24">
        <v>2.3942000000000001</v>
      </c>
      <c r="G237" s="24">
        <v>7499535636.0799999</v>
      </c>
      <c r="H237" s="24">
        <v>7.3525999999999998</v>
      </c>
      <c r="I237" s="24">
        <v>6.7454000000000001</v>
      </c>
      <c r="J237" s="24">
        <v>2.6274999999999999</v>
      </c>
      <c r="K237" s="24">
        <v>300</v>
      </c>
      <c r="L237" s="24" t="s">
        <v>3830</v>
      </c>
    </row>
    <row r="238" spans="1:12" x14ac:dyDescent="0.35">
      <c r="A238" s="24" t="s">
        <v>3246</v>
      </c>
      <c r="B238" s="24" t="str">
        <f>"688387"</f>
        <v>688387</v>
      </c>
      <c r="C238" s="24" t="str">
        <f t="shared" si="3"/>
        <v>'688387.SS'</v>
      </c>
      <c r="D238" s="24" t="s">
        <v>3831</v>
      </c>
      <c r="E238" s="24" t="s">
        <v>3314</v>
      </c>
      <c r="F238" s="24">
        <v>2.3929999999999998</v>
      </c>
      <c r="G238" s="24">
        <v>17435625000</v>
      </c>
      <c r="H238" s="24">
        <v>2.1101999999999999</v>
      </c>
      <c r="I238" s="24">
        <v>1.7031000000000001</v>
      </c>
      <c r="J238" s="24">
        <v>0.93569999999999998</v>
      </c>
      <c r="K238" s="24">
        <v>4</v>
      </c>
      <c r="L238" s="24" t="s">
        <v>3832</v>
      </c>
    </row>
    <row r="239" spans="1:12" x14ac:dyDescent="0.35">
      <c r="A239" s="24" t="s">
        <v>3242</v>
      </c>
      <c r="B239" s="24" t="str">
        <f>"301152"</f>
        <v>301152</v>
      </c>
      <c r="C239" s="24" t="str">
        <f t="shared" si="3"/>
        <v>'301152.SZ'</v>
      </c>
      <c r="D239" s="24" t="s">
        <v>3833</v>
      </c>
      <c r="E239" s="24" t="s">
        <v>3377</v>
      </c>
      <c r="F239" s="24">
        <v>2.3879000000000001</v>
      </c>
      <c r="G239" s="24">
        <v>6033244904.2200003</v>
      </c>
      <c r="H239" s="24">
        <v>3.0821999999999998</v>
      </c>
      <c r="I239" s="24">
        <v>2.3081</v>
      </c>
      <c r="J239" s="24">
        <v>1.4413</v>
      </c>
      <c r="K239" s="24">
        <v>10</v>
      </c>
      <c r="L239" s="24" t="s">
        <v>3834</v>
      </c>
    </row>
    <row r="240" spans="1:12" x14ac:dyDescent="0.35">
      <c r="A240" s="24" t="s">
        <v>3242</v>
      </c>
      <c r="B240" s="24" t="str">
        <f>"300785"</f>
        <v>300785</v>
      </c>
      <c r="C240" s="24" t="str">
        <f t="shared" si="3"/>
        <v>'300785.SZ'</v>
      </c>
      <c r="D240" s="24" t="s">
        <v>3835</v>
      </c>
      <c r="E240" s="24" t="s">
        <v>3348</v>
      </c>
      <c r="F240" s="24">
        <v>2.3866999999999998</v>
      </c>
      <c r="G240" s="24">
        <v>4207693840.8400002</v>
      </c>
      <c r="H240" s="24">
        <v>6.3083</v>
      </c>
      <c r="I240" s="24">
        <v>6.1906999999999996</v>
      </c>
      <c r="J240" s="24">
        <v>3.7523</v>
      </c>
      <c r="K240" s="24">
        <v>331</v>
      </c>
      <c r="L240" s="24" t="s">
        <v>3836</v>
      </c>
    </row>
    <row r="241" spans="1:12" x14ac:dyDescent="0.35">
      <c r="A241" s="24" t="s">
        <v>3242</v>
      </c>
      <c r="B241" s="24" t="str">
        <f>"300825"</f>
        <v>300825</v>
      </c>
      <c r="C241" s="24" t="str">
        <f t="shared" si="3"/>
        <v>'300825.SZ'</v>
      </c>
      <c r="D241" s="24" t="s">
        <v>3837</v>
      </c>
      <c r="E241" s="24" t="s">
        <v>3641</v>
      </c>
      <c r="F241" s="24">
        <v>2.3866999999999998</v>
      </c>
      <c r="G241" s="24">
        <v>5776327676.1599998</v>
      </c>
      <c r="H241" s="24">
        <v>5.2839999999999998</v>
      </c>
      <c r="I241" s="24">
        <v>3.7444000000000002</v>
      </c>
      <c r="J241" s="24">
        <v>1.4177999999999999</v>
      </c>
      <c r="K241" s="24">
        <v>87</v>
      </c>
      <c r="L241" s="24" t="s">
        <v>3838</v>
      </c>
    </row>
    <row r="242" spans="1:12" x14ac:dyDescent="0.35">
      <c r="A242" s="24" t="s">
        <v>3242</v>
      </c>
      <c r="B242" s="24" t="str">
        <f>"001332"</f>
        <v>001332</v>
      </c>
      <c r="C242" s="24" t="str">
        <f t="shared" si="3"/>
        <v>'001332.SZ'</v>
      </c>
      <c r="D242" s="24" t="s">
        <v>3839</v>
      </c>
      <c r="E242" s="24" t="s">
        <v>3840</v>
      </c>
      <c r="F242" s="24">
        <v>2.3866999999999998</v>
      </c>
      <c r="G242" s="24">
        <v>4943200000</v>
      </c>
      <c r="H242" s="24">
        <v>3.4312999999999998</v>
      </c>
      <c r="I242" s="24">
        <v>2.4954999999999998</v>
      </c>
      <c r="J242" s="24">
        <v>1.9806999999999999</v>
      </c>
      <c r="K242" s="24">
        <v>7</v>
      </c>
      <c r="L242" s="24" t="s">
        <v>3841</v>
      </c>
    </row>
    <row r="243" spans="1:12" x14ac:dyDescent="0.35">
      <c r="A243" s="24" t="s">
        <v>3242</v>
      </c>
      <c r="B243" s="24" t="str">
        <f>"300786"</f>
        <v>300786</v>
      </c>
      <c r="C243" s="24" t="str">
        <f t="shared" si="3"/>
        <v>'300786.SZ'</v>
      </c>
      <c r="D243" s="24" t="s">
        <v>3842</v>
      </c>
      <c r="E243" s="24" t="s">
        <v>3843</v>
      </c>
      <c r="F243" s="24">
        <v>2.383</v>
      </c>
      <c r="G243" s="24">
        <v>2964495810.6900001</v>
      </c>
      <c r="H243" s="24">
        <v>2.8919999999999999</v>
      </c>
      <c r="I243" s="24">
        <v>1.8353999999999999</v>
      </c>
      <c r="J243" s="24">
        <v>0.88219999999999998</v>
      </c>
      <c r="K243" s="24">
        <v>117</v>
      </c>
      <c r="L243" s="24" t="s">
        <v>3844</v>
      </c>
    </row>
    <row r="244" spans="1:12" x14ac:dyDescent="0.35">
      <c r="A244" s="24" t="s">
        <v>3242</v>
      </c>
      <c r="B244" s="24" t="str">
        <f>"301136"</f>
        <v>301136</v>
      </c>
      <c r="C244" s="24" t="str">
        <f t="shared" si="3"/>
        <v>'301136.SZ'</v>
      </c>
      <c r="D244" s="24" t="s">
        <v>3845</v>
      </c>
      <c r="E244" s="24" t="s">
        <v>3846</v>
      </c>
      <c r="F244" s="24">
        <v>2.3780000000000001</v>
      </c>
      <c r="G244" s="24">
        <v>3539133985.1999998</v>
      </c>
      <c r="H244" s="24">
        <v>3.0754999999999999</v>
      </c>
      <c r="I244" s="24">
        <v>2.4218999999999999</v>
      </c>
      <c r="J244" s="24">
        <v>1.2417</v>
      </c>
      <c r="K244" s="24">
        <v>18</v>
      </c>
      <c r="L244" s="24" t="s">
        <v>3847</v>
      </c>
    </row>
    <row r="245" spans="1:12" x14ac:dyDescent="0.35">
      <c r="A245" s="24" t="s">
        <v>3242</v>
      </c>
      <c r="B245" s="24" t="str">
        <f>"300985"</f>
        <v>300985</v>
      </c>
      <c r="C245" s="24" t="str">
        <f t="shared" si="3"/>
        <v>'300985.SZ'</v>
      </c>
      <c r="D245" s="24" t="s">
        <v>3848</v>
      </c>
      <c r="E245" s="24" t="s">
        <v>3351</v>
      </c>
      <c r="F245" s="24">
        <v>2.3769999999999998</v>
      </c>
      <c r="G245" s="24">
        <v>2890668112</v>
      </c>
      <c r="H245" s="24">
        <v>3.0573999999999999</v>
      </c>
      <c r="I245" s="24">
        <v>1.6741999999999999</v>
      </c>
      <c r="J245" s="24">
        <v>1.3599000000000001</v>
      </c>
      <c r="K245" s="24">
        <v>39</v>
      </c>
      <c r="L245" s="24" t="s">
        <v>3849</v>
      </c>
    </row>
    <row r="246" spans="1:12" x14ac:dyDescent="0.35">
      <c r="A246" s="24" t="s">
        <v>3242</v>
      </c>
      <c r="B246" s="24" t="str">
        <f>"300873"</f>
        <v>300873</v>
      </c>
      <c r="C246" s="24" t="str">
        <f t="shared" si="3"/>
        <v>'300873.SZ'</v>
      </c>
      <c r="D246" s="24" t="s">
        <v>3850</v>
      </c>
      <c r="E246" s="24" t="s">
        <v>3851</v>
      </c>
      <c r="F246" s="24">
        <v>2.3765000000000001</v>
      </c>
      <c r="G246" s="24">
        <v>6212411926.2600002</v>
      </c>
      <c r="H246" s="24">
        <v>4.1349999999999998</v>
      </c>
      <c r="I246" s="24">
        <v>4.0979000000000001</v>
      </c>
      <c r="J246" s="24">
        <v>2.0173000000000001</v>
      </c>
      <c r="K246" s="24">
        <v>116</v>
      </c>
      <c r="L246" s="24" t="s">
        <v>3852</v>
      </c>
    </row>
    <row r="247" spans="1:12" x14ac:dyDescent="0.35">
      <c r="A247" s="24" t="s">
        <v>3246</v>
      </c>
      <c r="B247" s="24" t="str">
        <f>"600616"</f>
        <v>600616</v>
      </c>
      <c r="C247" s="24" t="str">
        <f t="shared" si="3"/>
        <v>'600616.SS'</v>
      </c>
      <c r="D247" s="24" t="s">
        <v>3853</v>
      </c>
      <c r="E247" s="24" t="s">
        <v>3854</v>
      </c>
      <c r="F247" s="24">
        <v>2.3725999999999998</v>
      </c>
      <c r="G247" s="24">
        <v>4475643115.5</v>
      </c>
      <c r="H247" s="24">
        <v>6.4103000000000003</v>
      </c>
      <c r="I247" s="24">
        <v>3.4033000000000002</v>
      </c>
      <c r="J247" s="24">
        <v>1.2892999999999999</v>
      </c>
      <c r="K247" s="24">
        <v>187</v>
      </c>
      <c r="L247" s="24" t="s">
        <v>3855</v>
      </c>
    </row>
    <row r="248" spans="1:12" x14ac:dyDescent="0.35">
      <c r="A248" s="24" t="s">
        <v>3242</v>
      </c>
      <c r="B248" s="24" t="str">
        <f>"300365"</f>
        <v>300365</v>
      </c>
      <c r="C248" s="24" t="str">
        <f t="shared" si="3"/>
        <v>'300365.SZ'</v>
      </c>
      <c r="D248" s="24" t="s">
        <v>3856</v>
      </c>
      <c r="E248" s="24" t="s">
        <v>3368</v>
      </c>
      <c r="F248" s="24">
        <v>2.3711000000000002</v>
      </c>
      <c r="G248" s="24">
        <v>5140761369.3299999</v>
      </c>
      <c r="H248" s="24">
        <v>7.4076000000000004</v>
      </c>
      <c r="I248" s="24">
        <v>5.7093999999999996</v>
      </c>
      <c r="J248" s="24">
        <v>1.0364</v>
      </c>
      <c r="K248" s="24">
        <v>348</v>
      </c>
      <c r="L248" s="24" t="s">
        <v>3857</v>
      </c>
    </row>
    <row r="249" spans="1:12" x14ac:dyDescent="0.35">
      <c r="A249" s="24" t="s">
        <v>3246</v>
      </c>
      <c r="B249" s="24" t="str">
        <f>"605599"</f>
        <v>605599</v>
      </c>
      <c r="C249" s="24" t="str">
        <f t="shared" si="3"/>
        <v>'605599.SS'</v>
      </c>
      <c r="D249" s="24" t="s">
        <v>3858</v>
      </c>
      <c r="E249" s="24" t="s">
        <v>3859</v>
      </c>
      <c r="F249" s="24">
        <v>2.3706999999999998</v>
      </c>
      <c r="G249" s="24">
        <v>7801111334</v>
      </c>
      <c r="H249" s="24">
        <v>2.7296999999999998</v>
      </c>
      <c r="I249" s="24">
        <v>1.4991000000000001</v>
      </c>
      <c r="J249" s="24">
        <v>0.88119999999999998</v>
      </c>
      <c r="K249" s="24">
        <v>29</v>
      </c>
      <c r="L249" s="24" t="s">
        <v>3860</v>
      </c>
    </row>
    <row r="250" spans="1:12" x14ac:dyDescent="0.35">
      <c r="A250" s="24" t="s">
        <v>3246</v>
      </c>
      <c r="B250" s="24" t="str">
        <f>"603040"</f>
        <v>603040</v>
      </c>
      <c r="C250" s="24" t="str">
        <f t="shared" si="3"/>
        <v>'603040.SS'</v>
      </c>
      <c r="D250" s="24" t="s">
        <v>3861</v>
      </c>
      <c r="E250" s="24" t="s">
        <v>3405</v>
      </c>
      <c r="F250" s="24">
        <v>2.3694999999999999</v>
      </c>
      <c r="G250" s="24">
        <v>2504320866.6799998</v>
      </c>
      <c r="H250" s="24">
        <v>6.3913000000000002</v>
      </c>
      <c r="I250" s="24">
        <v>4.7203999999999997</v>
      </c>
      <c r="J250" s="24">
        <v>2.5091000000000001</v>
      </c>
      <c r="K250" s="24">
        <v>657</v>
      </c>
      <c r="L250" s="24" t="s">
        <v>3862</v>
      </c>
    </row>
    <row r="251" spans="1:12" x14ac:dyDescent="0.35">
      <c r="A251" s="24" t="s">
        <v>3242</v>
      </c>
      <c r="B251" s="24" t="str">
        <f>"300317"</f>
        <v>300317</v>
      </c>
      <c r="C251" s="24" t="str">
        <f t="shared" si="3"/>
        <v>'300317.SZ'</v>
      </c>
      <c r="D251" s="24" t="s">
        <v>3863</v>
      </c>
      <c r="E251" s="24" t="s">
        <v>3254</v>
      </c>
      <c r="F251" s="24">
        <v>2.3683999999999998</v>
      </c>
      <c r="G251" s="24">
        <v>4319247452.6000004</v>
      </c>
      <c r="H251" s="24">
        <v>2.2915000000000001</v>
      </c>
      <c r="I251" s="24">
        <v>1.9550000000000001</v>
      </c>
      <c r="J251" s="24">
        <v>0.8508</v>
      </c>
      <c r="K251" s="24">
        <v>145</v>
      </c>
      <c r="L251" s="24" t="s">
        <v>3864</v>
      </c>
    </row>
    <row r="252" spans="1:12" x14ac:dyDescent="0.35">
      <c r="A252" s="24" t="s">
        <v>3246</v>
      </c>
      <c r="B252" s="24" t="str">
        <f>"688658"</f>
        <v>688658</v>
      </c>
      <c r="C252" s="24" t="str">
        <f t="shared" si="3"/>
        <v>'688658.SS'</v>
      </c>
      <c r="D252" s="24" t="s">
        <v>3865</v>
      </c>
      <c r="E252" s="24" t="s">
        <v>3696</v>
      </c>
      <c r="F252" s="24">
        <v>2.3660999999999999</v>
      </c>
      <c r="G252" s="24">
        <v>9504000000</v>
      </c>
      <c r="H252" s="24">
        <v>2.1535000000000002</v>
      </c>
      <c r="I252" s="24">
        <v>1.7224999999999999</v>
      </c>
      <c r="J252" s="24">
        <v>0.91520000000000001</v>
      </c>
      <c r="K252" s="24">
        <v>77</v>
      </c>
      <c r="L252" s="24" t="s">
        <v>3866</v>
      </c>
    </row>
    <row r="253" spans="1:12" x14ac:dyDescent="0.35">
      <c r="A253" s="24" t="s">
        <v>3246</v>
      </c>
      <c r="B253" s="24" t="str">
        <f>"688608"</f>
        <v>688608</v>
      </c>
      <c r="C253" s="24" t="str">
        <f t="shared" si="3"/>
        <v>'688608.SS'</v>
      </c>
      <c r="D253" s="24" t="s">
        <v>3867</v>
      </c>
      <c r="E253" s="24" t="s">
        <v>3277</v>
      </c>
      <c r="F253" s="24">
        <v>2.3654999999999999</v>
      </c>
      <c r="G253" s="24">
        <v>14170800000</v>
      </c>
      <c r="H253" s="24">
        <v>12.8847</v>
      </c>
      <c r="I253" s="24">
        <v>10.917400000000001</v>
      </c>
      <c r="J253" s="24">
        <v>3.7589000000000001</v>
      </c>
      <c r="K253" s="24">
        <v>161</v>
      </c>
      <c r="L253" s="24" t="s">
        <v>3868</v>
      </c>
    </row>
    <row r="254" spans="1:12" x14ac:dyDescent="0.35">
      <c r="A254" s="24" t="s">
        <v>3242</v>
      </c>
      <c r="B254" s="24" t="str">
        <f>"301000"</f>
        <v>301000</v>
      </c>
      <c r="C254" s="24" t="str">
        <f t="shared" si="3"/>
        <v>'301000.SZ'</v>
      </c>
      <c r="D254" s="24" t="s">
        <v>3869</v>
      </c>
      <c r="E254" s="24" t="s">
        <v>3299</v>
      </c>
      <c r="F254" s="24">
        <v>2.3637999999999999</v>
      </c>
      <c r="G254" s="24">
        <v>2600648127</v>
      </c>
      <c r="H254" s="24">
        <v>7.8335999999999997</v>
      </c>
      <c r="I254" s="24">
        <v>6.915</v>
      </c>
      <c r="J254" s="24">
        <v>0.95489999999999997</v>
      </c>
      <c r="K254" s="24">
        <v>31</v>
      </c>
      <c r="L254" s="24" t="s">
        <v>3870</v>
      </c>
    </row>
    <row r="255" spans="1:12" x14ac:dyDescent="0.35">
      <c r="A255" s="24" t="s">
        <v>3246</v>
      </c>
      <c r="B255" s="24" t="str">
        <f>"603599"</f>
        <v>603599</v>
      </c>
      <c r="C255" s="24" t="str">
        <f t="shared" si="3"/>
        <v>'603599.SS'</v>
      </c>
      <c r="D255" s="24" t="s">
        <v>3871</v>
      </c>
      <c r="E255" s="24" t="s">
        <v>3492</v>
      </c>
      <c r="F255" s="24">
        <v>2.3597999999999999</v>
      </c>
      <c r="G255" s="24">
        <v>19293077391.630001</v>
      </c>
      <c r="H255" s="24">
        <v>2.4664999999999999</v>
      </c>
      <c r="I255" s="24">
        <v>2.1629999999999998</v>
      </c>
      <c r="J255" s="24">
        <v>0.86470000000000002</v>
      </c>
      <c r="K255" s="24">
        <v>340</v>
      </c>
      <c r="L255" s="24" t="s">
        <v>3872</v>
      </c>
    </row>
    <row r="256" spans="1:12" x14ac:dyDescent="0.35">
      <c r="A256" s="24" t="s">
        <v>3242</v>
      </c>
      <c r="B256" s="24" t="str">
        <f>"001212"</f>
        <v>001212</v>
      </c>
      <c r="C256" s="24" t="str">
        <f t="shared" si="3"/>
        <v>'001212.SZ'</v>
      </c>
      <c r="D256" s="24" t="s">
        <v>3873</v>
      </c>
      <c r="E256" s="24" t="s">
        <v>3260</v>
      </c>
      <c r="F256" s="24">
        <v>2.3584999999999998</v>
      </c>
      <c r="G256" s="24">
        <v>3288600900</v>
      </c>
      <c r="H256" s="24">
        <v>5.9595000000000002</v>
      </c>
      <c r="I256" s="24">
        <v>5.1341999999999999</v>
      </c>
      <c r="J256" s="24">
        <v>3.9344000000000001</v>
      </c>
      <c r="K256" s="24">
        <v>32</v>
      </c>
      <c r="L256" s="24" t="s">
        <v>3874</v>
      </c>
    </row>
    <row r="257" spans="1:12" x14ac:dyDescent="0.35">
      <c r="A257" s="24" t="s">
        <v>3242</v>
      </c>
      <c r="B257" s="24" t="str">
        <f>"002660"</f>
        <v>002660</v>
      </c>
      <c r="C257" s="24" t="str">
        <f t="shared" si="3"/>
        <v>'002660.SZ'</v>
      </c>
      <c r="D257" s="24" t="s">
        <v>3875</v>
      </c>
      <c r="E257" s="24" t="s">
        <v>3327</v>
      </c>
      <c r="F257" s="24">
        <v>2.3536000000000001</v>
      </c>
      <c r="G257" s="24">
        <v>2910068315.04</v>
      </c>
      <c r="H257" s="24">
        <v>2.0853999999999999</v>
      </c>
      <c r="I257" s="24">
        <v>1.7990999999999999</v>
      </c>
      <c r="J257" s="24">
        <v>0.85709999999999997</v>
      </c>
      <c r="K257" s="24">
        <v>135</v>
      </c>
      <c r="L257" s="24" t="s">
        <v>3876</v>
      </c>
    </row>
    <row r="258" spans="1:12" x14ac:dyDescent="0.35">
      <c r="A258" s="24" t="s">
        <v>3242</v>
      </c>
      <c r="B258" s="24" t="str">
        <f>"301100"</f>
        <v>301100</v>
      </c>
      <c r="C258" s="24" t="str">
        <f t="shared" si="3"/>
        <v>'301100.SZ'</v>
      </c>
      <c r="D258" s="24" t="s">
        <v>3877</v>
      </c>
      <c r="E258" s="24" t="s">
        <v>3271</v>
      </c>
      <c r="F258" s="24">
        <v>2.3515999999999999</v>
      </c>
      <c r="G258" s="24">
        <v>4914000000</v>
      </c>
      <c r="H258" s="24">
        <v>7.2961999999999998</v>
      </c>
      <c r="I258" s="24">
        <v>6.7057000000000002</v>
      </c>
      <c r="J258" s="24">
        <v>4.9164000000000003</v>
      </c>
      <c r="K258" s="24">
        <v>16</v>
      </c>
      <c r="L258" s="24" t="s">
        <v>3878</v>
      </c>
    </row>
    <row r="259" spans="1:12" x14ac:dyDescent="0.35">
      <c r="A259" s="24" t="s">
        <v>3246</v>
      </c>
      <c r="B259" s="24" t="str">
        <f>"600226"</f>
        <v>600226</v>
      </c>
      <c r="C259" s="24" t="str">
        <f t="shared" ref="C259:C322" si="4">CONCATENATE("'",B259,IF(A259="sh",".SS'",".SZ'"))</f>
        <v>'600226.SS'</v>
      </c>
      <c r="D259" s="24" t="s">
        <v>3879</v>
      </c>
      <c r="E259" s="24" t="s">
        <v>3332</v>
      </c>
      <c r="F259" s="24">
        <v>2.3472</v>
      </c>
      <c r="G259" s="24">
        <v>7414093333.0799999</v>
      </c>
      <c r="H259" s="24">
        <v>7.1513</v>
      </c>
      <c r="I259" s="24">
        <v>6.7283999999999997</v>
      </c>
      <c r="J259" s="24">
        <v>4.202</v>
      </c>
      <c r="K259" s="24">
        <v>110</v>
      </c>
      <c r="L259" s="24" t="s">
        <v>3880</v>
      </c>
    </row>
    <row r="260" spans="1:12" x14ac:dyDescent="0.35">
      <c r="A260" s="24" t="s">
        <v>3242</v>
      </c>
      <c r="B260" s="24" t="str">
        <f>"301121"</f>
        <v>301121</v>
      </c>
      <c r="C260" s="24" t="str">
        <f t="shared" si="4"/>
        <v>'301121.SZ'</v>
      </c>
      <c r="D260" s="24" t="s">
        <v>3881</v>
      </c>
      <c r="E260" s="24" t="s">
        <v>3539</v>
      </c>
      <c r="F260" s="24">
        <v>2.3403</v>
      </c>
      <c r="G260" s="24">
        <v>3834700445.4400001</v>
      </c>
      <c r="H260" s="24">
        <v>3.3376999999999999</v>
      </c>
      <c r="I260" s="24">
        <v>2.7048999999999999</v>
      </c>
      <c r="J260" s="24">
        <v>1.1565000000000001</v>
      </c>
      <c r="K260" s="24">
        <v>10</v>
      </c>
      <c r="L260" s="24" t="s">
        <v>3882</v>
      </c>
    </row>
    <row r="261" spans="1:12" x14ac:dyDescent="0.35">
      <c r="A261" s="24" t="s">
        <v>3242</v>
      </c>
      <c r="B261" s="24" t="str">
        <f>"301107"</f>
        <v>301107</v>
      </c>
      <c r="C261" s="24" t="str">
        <f t="shared" si="4"/>
        <v>'301107.SZ'</v>
      </c>
      <c r="D261" s="24" t="s">
        <v>3883</v>
      </c>
      <c r="E261" s="24" t="s">
        <v>3473</v>
      </c>
      <c r="F261" s="24">
        <v>2.3397999999999999</v>
      </c>
      <c r="G261" s="24">
        <v>2091900000</v>
      </c>
      <c r="H261" s="24">
        <v>5.1562999999999999</v>
      </c>
      <c r="I261" s="24">
        <v>4.1670999999999996</v>
      </c>
      <c r="J261" s="24">
        <v>3.3731</v>
      </c>
      <c r="K261" s="24">
        <v>10</v>
      </c>
      <c r="L261" s="24" t="s">
        <v>3884</v>
      </c>
    </row>
    <row r="262" spans="1:12" x14ac:dyDescent="0.35">
      <c r="A262" s="24" t="s">
        <v>3246</v>
      </c>
      <c r="B262" s="24" t="str">
        <f>"600783"</f>
        <v>600783</v>
      </c>
      <c r="C262" s="24" t="str">
        <f t="shared" si="4"/>
        <v>'600783.SS'</v>
      </c>
      <c r="D262" s="24" t="s">
        <v>3885</v>
      </c>
      <c r="E262" s="24" t="s">
        <v>3690</v>
      </c>
      <c r="F262" s="24">
        <v>2.3382999999999998</v>
      </c>
      <c r="G262" s="24">
        <v>9691558007.8799992</v>
      </c>
      <c r="H262" s="24">
        <v>4.4713000000000003</v>
      </c>
      <c r="I262" s="24">
        <v>4.4359999999999999</v>
      </c>
      <c r="J262" s="24">
        <v>2.0773999999999999</v>
      </c>
      <c r="K262" s="24">
        <v>132</v>
      </c>
      <c r="L262" s="24" t="s">
        <v>3886</v>
      </c>
    </row>
    <row r="263" spans="1:12" x14ac:dyDescent="0.35">
      <c r="A263" s="24" t="s">
        <v>3242</v>
      </c>
      <c r="B263" s="24" t="str">
        <f>"300305"</f>
        <v>300305</v>
      </c>
      <c r="C263" s="24" t="str">
        <f t="shared" si="4"/>
        <v>'300305.SZ'</v>
      </c>
      <c r="D263" s="24" t="s">
        <v>3887</v>
      </c>
      <c r="E263" s="24" t="s">
        <v>3888</v>
      </c>
      <c r="F263" s="24">
        <v>2.3380000000000001</v>
      </c>
      <c r="G263" s="24">
        <v>4420813865.0500002</v>
      </c>
      <c r="H263" s="24">
        <v>2.8397000000000001</v>
      </c>
      <c r="I263" s="24">
        <v>2.3995000000000002</v>
      </c>
      <c r="J263" s="24">
        <v>0.97270000000000001</v>
      </c>
      <c r="K263" s="24">
        <v>154</v>
      </c>
      <c r="L263" s="24" t="s">
        <v>3889</v>
      </c>
    </row>
    <row r="264" spans="1:12" x14ac:dyDescent="0.35">
      <c r="A264" s="24" t="s">
        <v>3246</v>
      </c>
      <c r="B264" s="24" t="str">
        <f>"601969"</f>
        <v>601969</v>
      </c>
      <c r="C264" s="24" t="str">
        <f t="shared" si="4"/>
        <v>'601969.SS'</v>
      </c>
      <c r="D264" s="24" t="s">
        <v>3890</v>
      </c>
      <c r="E264" s="24" t="s">
        <v>3891</v>
      </c>
      <c r="F264" s="24">
        <v>2.3376000000000001</v>
      </c>
      <c r="G264" s="24">
        <v>14790791219.83</v>
      </c>
      <c r="H264" s="24">
        <v>2.2069000000000001</v>
      </c>
      <c r="I264" s="24">
        <v>2.0463</v>
      </c>
      <c r="J264" s="24">
        <v>1.3162</v>
      </c>
      <c r="K264" s="24">
        <v>163</v>
      </c>
      <c r="L264" s="24" t="s">
        <v>3892</v>
      </c>
    </row>
    <row r="265" spans="1:12" x14ac:dyDescent="0.35">
      <c r="A265" s="24" t="s">
        <v>3242</v>
      </c>
      <c r="B265" s="24" t="str">
        <f>"301019"</f>
        <v>301019</v>
      </c>
      <c r="C265" s="24" t="str">
        <f t="shared" si="4"/>
        <v>'301019.SZ'</v>
      </c>
      <c r="D265" s="24" t="s">
        <v>3893</v>
      </c>
      <c r="E265" s="24" t="s">
        <v>3733</v>
      </c>
      <c r="F265" s="24">
        <v>2.3357000000000001</v>
      </c>
      <c r="G265" s="24">
        <v>2376000000</v>
      </c>
      <c r="H265" s="24">
        <v>20.952200000000001</v>
      </c>
      <c r="I265" s="24">
        <v>19.4924</v>
      </c>
      <c r="J265" s="24">
        <v>10.843500000000001</v>
      </c>
      <c r="K265" s="24">
        <v>44</v>
      </c>
      <c r="L265" s="24" t="s">
        <v>3894</v>
      </c>
    </row>
    <row r="266" spans="1:12" x14ac:dyDescent="0.35">
      <c r="A266" s="24" t="s">
        <v>3246</v>
      </c>
      <c r="B266" s="24" t="str">
        <f>"688203"</f>
        <v>688203</v>
      </c>
      <c r="C266" s="24" t="str">
        <f t="shared" si="4"/>
        <v>'688203.SS'</v>
      </c>
      <c r="D266" s="24" t="s">
        <v>3895</v>
      </c>
      <c r="E266" s="24" t="s">
        <v>3896</v>
      </c>
      <c r="F266" s="24">
        <v>2.3336999999999999</v>
      </c>
      <c r="G266" s="24">
        <v>3376616612.8800001</v>
      </c>
      <c r="H266" s="24">
        <v>3.7450000000000001</v>
      </c>
      <c r="I266" s="24">
        <v>3.3087</v>
      </c>
      <c r="J266" s="24">
        <v>3.0750000000000002</v>
      </c>
      <c r="K266" s="24">
        <v>4</v>
      </c>
      <c r="L266" s="24" t="s">
        <v>3897</v>
      </c>
    </row>
    <row r="267" spans="1:12" x14ac:dyDescent="0.35">
      <c r="A267" s="24" t="s">
        <v>3242</v>
      </c>
      <c r="B267" s="24" t="str">
        <f>"002650"</f>
        <v>002650</v>
      </c>
      <c r="C267" s="24" t="str">
        <f t="shared" si="4"/>
        <v>'002650.SZ'</v>
      </c>
      <c r="D267" s="24" t="s">
        <v>3898</v>
      </c>
      <c r="E267" s="24" t="s">
        <v>3899</v>
      </c>
      <c r="F267" s="24">
        <v>2.3332000000000002</v>
      </c>
      <c r="G267" s="24">
        <v>5437440000</v>
      </c>
      <c r="H267" s="24">
        <v>2.9889000000000001</v>
      </c>
      <c r="I267" s="24">
        <v>1.1998</v>
      </c>
      <c r="J267" s="24">
        <v>0.88970000000000005</v>
      </c>
      <c r="K267" s="24">
        <v>216</v>
      </c>
      <c r="L267" s="24" t="s">
        <v>3900</v>
      </c>
    </row>
    <row r="268" spans="1:12" x14ac:dyDescent="0.35">
      <c r="A268" s="24" t="s">
        <v>3242</v>
      </c>
      <c r="B268" s="24" t="str">
        <f>"000416"</f>
        <v>000416</v>
      </c>
      <c r="C268" s="24" t="str">
        <f t="shared" si="4"/>
        <v>'000416.SZ'</v>
      </c>
      <c r="D268" s="24" t="s">
        <v>3901</v>
      </c>
      <c r="E268" s="24" t="s">
        <v>3902</v>
      </c>
      <c r="F268" s="24">
        <v>2.3331</v>
      </c>
      <c r="G268" s="24">
        <v>2042386536.96</v>
      </c>
      <c r="H268" s="24">
        <v>38.3003</v>
      </c>
      <c r="I268" s="24">
        <v>38.292999999999999</v>
      </c>
      <c r="J268" s="24">
        <v>2.1419999999999999</v>
      </c>
      <c r="K268" s="24">
        <v>126</v>
      </c>
      <c r="L268" s="24" t="s">
        <v>3903</v>
      </c>
    </row>
    <row r="269" spans="1:12" x14ac:dyDescent="0.35">
      <c r="A269" s="24" t="s">
        <v>3242</v>
      </c>
      <c r="B269" s="24" t="str">
        <f>"301077"</f>
        <v>301077</v>
      </c>
      <c r="C269" s="24" t="str">
        <f t="shared" si="4"/>
        <v>'301077.SZ'</v>
      </c>
      <c r="D269" s="24" t="s">
        <v>3904</v>
      </c>
      <c r="E269" s="24" t="s">
        <v>3271</v>
      </c>
      <c r="F269" s="24">
        <v>2.3311999999999999</v>
      </c>
      <c r="G269" s="24">
        <v>2769600000</v>
      </c>
      <c r="H269" s="24">
        <v>3.3174000000000001</v>
      </c>
      <c r="I269" s="24">
        <v>2.9197000000000002</v>
      </c>
      <c r="J269" s="24">
        <v>2.5846</v>
      </c>
      <c r="K269" s="24">
        <v>40</v>
      </c>
      <c r="L269" s="24" t="s">
        <v>3905</v>
      </c>
    </row>
    <row r="270" spans="1:12" x14ac:dyDescent="0.35">
      <c r="A270" s="24" t="s">
        <v>3242</v>
      </c>
      <c r="B270" s="24" t="str">
        <f>"002643"</f>
        <v>002643</v>
      </c>
      <c r="C270" s="24" t="str">
        <f t="shared" si="4"/>
        <v>'002643.SZ'</v>
      </c>
      <c r="D270" s="24" t="s">
        <v>3906</v>
      </c>
      <c r="E270" s="24" t="s">
        <v>3907</v>
      </c>
      <c r="F270" s="24">
        <v>2.3304999999999998</v>
      </c>
      <c r="G270" s="24">
        <v>14519332656.15</v>
      </c>
      <c r="H270" s="24">
        <v>2.4843000000000002</v>
      </c>
      <c r="I270" s="24">
        <v>1.1355999999999999</v>
      </c>
      <c r="J270" s="24">
        <v>0.80289999999999995</v>
      </c>
      <c r="K270" s="24">
        <v>422</v>
      </c>
      <c r="L270" s="24" t="s">
        <v>3908</v>
      </c>
    </row>
    <row r="271" spans="1:12" x14ac:dyDescent="0.35">
      <c r="A271" s="24" t="s">
        <v>3246</v>
      </c>
      <c r="B271" s="24" t="str">
        <f>"605086"</f>
        <v>605086</v>
      </c>
      <c r="C271" s="24" t="str">
        <f t="shared" si="4"/>
        <v>'605086.SS'</v>
      </c>
      <c r="D271" s="24" t="s">
        <v>3909</v>
      </c>
      <c r="E271" s="24" t="s">
        <v>3910</v>
      </c>
      <c r="F271" s="24">
        <v>2.3298000000000001</v>
      </c>
      <c r="G271" s="24">
        <v>2539520000</v>
      </c>
      <c r="H271" s="24">
        <v>7.5948000000000002</v>
      </c>
      <c r="I271" s="24">
        <v>7.2946</v>
      </c>
      <c r="J271" s="24">
        <v>6.5125999999999999</v>
      </c>
      <c r="K271" s="24">
        <v>38</v>
      </c>
      <c r="L271" s="24" t="s">
        <v>3911</v>
      </c>
    </row>
    <row r="272" spans="1:12" x14ac:dyDescent="0.35">
      <c r="A272" s="24" t="s">
        <v>3246</v>
      </c>
      <c r="B272" s="24" t="str">
        <f>"600645"</f>
        <v>600645</v>
      </c>
      <c r="C272" s="24" t="str">
        <f t="shared" si="4"/>
        <v>'600645.SS'</v>
      </c>
      <c r="D272" s="24" t="s">
        <v>3912</v>
      </c>
      <c r="E272" s="24" t="s">
        <v>3432</v>
      </c>
      <c r="F272" s="24">
        <v>2.3252000000000002</v>
      </c>
      <c r="G272" s="24">
        <v>8245259441.8000002</v>
      </c>
      <c r="H272" s="24">
        <v>1.5752999999999999</v>
      </c>
      <c r="I272" s="24">
        <v>1.3734</v>
      </c>
      <c r="J272" s="24">
        <v>0.9173</v>
      </c>
      <c r="K272" s="24">
        <v>224</v>
      </c>
      <c r="L272" s="24" t="s">
        <v>3913</v>
      </c>
    </row>
    <row r="273" spans="1:12" x14ac:dyDescent="0.35">
      <c r="A273" s="24" t="s">
        <v>3246</v>
      </c>
      <c r="B273" s="24" t="str">
        <f>"603068"</f>
        <v>603068</v>
      </c>
      <c r="C273" s="24" t="str">
        <f t="shared" si="4"/>
        <v>'603068.SS'</v>
      </c>
      <c r="D273" s="24" t="s">
        <v>3914</v>
      </c>
      <c r="E273" s="24" t="s">
        <v>3389</v>
      </c>
      <c r="F273" s="24">
        <v>2.3209</v>
      </c>
      <c r="G273" s="24">
        <v>4399221411.2799997</v>
      </c>
      <c r="H273" s="24">
        <v>7.1178999999999997</v>
      </c>
      <c r="I273" s="24">
        <v>5.0911</v>
      </c>
      <c r="J273" s="24">
        <v>4.1802000000000001</v>
      </c>
      <c r="K273" s="24">
        <v>366</v>
      </c>
      <c r="L273" s="24" t="s">
        <v>3915</v>
      </c>
    </row>
    <row r="274" spans="1:12" x14ac:dyDescent="0.35">
      <c r="A274" s="24" t="s">
        <v>3246</v>
      </c>
      <c r="B274" s="24" t="str">
        <f>"605377"</f>
        <v>605377</v>
      </c>
      <c r="C274" s="24" t="str">
        <f t="shared" si="4"/>
        <v>'605377.SS'</v>
      </c>
      <c r="D274" s="24" t="s">
        <v>3916</v>
      </c>
      <c r="E274" s="24" t="s">
        <v>3917</v>
      </c>
      <c r="F274" s="24">
        <v>2.3201999999999998</v>
      </c>
      <c r="G274" s="24">
        <v>8139915280</v>
      </c>
      <c r="H274" s="24">
        <v>2.1833</v>
      </c>
      <c r="I274" s="24">
        <v>1.7935000000000001</v>
      </c>
      <c r="J274" s="24">
        <v>0.94510000000000005</v>
      </c>
      <c r="K274" s="24">
        <v>78</v>
      </c>
      <c r="L274" s="24" t="s">
        <v>3918</v>
      </c>
    </row>
    <row r="275" spans="1:12" x14ac:dyDescent="0.35">
      <c r="A275" s="24" t="s">
        <v>3246</v>
      </c>
      <c r="B275" s="24" t="str">
        <f>"600053"</f>
        <v>600053</v>
      </c>
      <c r="C275" s="24" t="str">
        <f t="shared" si="4"/>
        <v>'600053.SS'</v>
      </c>
      <c r="D275" s="24" t="s">
        <v>3919</v>
      </c>
      <c r="E275" s="24" t="s">
        <v>3920</v>
      </c>
      <c r="F275" s="24">
        <v>2.3199999999999998</v>
      </c>
      <c r="G275" s="24">
        <v>6641845056</v>
      </c>
      <c r="H275" s="24">
        <v>7.3960999999999997</v>
      </c>
      <c r="I275" s="24">
        <v>1.6418999999999999</v>
      </c>
      <c r="J275" s="24">
        <v>0.86780000000000002</v>
      </c>
      <c r="K275" s="24">
        <v>233</v>
      </c>
      <c r="L275" s="24" t="s">
        <v>3921</v>
      </c>
    </row>
    <row r="276" spans="1:12" x14ac:dyDescent="0.35">
      <c r="A276" s="24" t="s">
        <v>3242</v>
      </c>
      <c r="B276" s="24" t="str">
        <f>"301049"</f>
        <v>301049</v>
      </c>
      <c r="C276" s="24" t="str">
        <f t="shared" si="4"/>
        <v>'301049.SZ'</v>
      </c>
      <c r="D276" s="24" t="s">
        <v>3922</v>
      </c>
      <c r="E276" s="24" t="s">
        <v>3422</v>
      </c>
      <c r="F276" s="24">
        <v>2.3197999999999999</v>
      </c>
      <c r="G276" s="24">
        <v>2087711348.0999999</v>
      </c>
      <c r="H276" s="24">
        <v>3.7397999999999998</v>
      </c>
      <c r="I276" s="24">
        <v>3.5123000000000002</v>
      </c>
      <c r="J276" s="24">
        <v>1.5838000000000001</v>
      </c>
      <c r="K276" s="24">
        <v>29</v>
      </c>
      <c r="L276" s="24" t="s">
        <v>3923</v>
      </c>
    </row>
    <row r="277" spans="1:12" x14ac:dyDescent="0.35">
      <c r="A277" s="24" t="s">
        <v>3246</v>
      </c>
      <c r="B277" s="24" t="str">
        <f>"688687"</f>
        <v>688687</v>
      </c>
      <c r="C277" s="24" t="str">
        <f t="shared" si="4"/>
        <v>'688687.SS'</v>
      </c>
      <c r="D277" s="24" t="s">
        <v>3924</v>
      </c>
      <c r="E277" s="24" t="s">
        <v>3282</v>
      </c>
      <c r="F277" s="24">
        <v>2.3180000000000001</v>
      </c>
      <c r="G277" s="24">
        <v>3937730042.8800001</v>
      </c>
      <c r="H277" s="24">
        <v>4.218</v>
      </c>
      <c r="I277" s="24">
        <v>3.8045</v>
      </c>
      <c r="J277" s="24">
        <v>1.3886000000000001</v>
      </c>
      <c r="K277" s="24">
        <v>44</v>
      </c>
      <c r="L277" s="24" t="s">
        <v>3925</v>
      </c>
    </row>
    <row r="278" spans="1:12" x14ac:dyDescent="0.35">
      <c r="A278" s="24" t="s">
        <v>3242</v>
      </c>
      <c r="B278" s="24" t="str">
        <f>"000513"</f>
        <v>000513</v>
      </c>
      <c r="C278" s="24" t="str">
        <f t="shared" si="4"/>
        <v>'000513.SZ'</v>
      </c>
      <c r="D278" s="24" t="s">
        <v>3926</v>
      </c>
      <c r="E278" s="24" t="s">
        <v>3696</v>
      </c>
      <c r="F278" s="24">
        <v>2.3178000000000001</v>
      </c>
      <c r="G278" s="24">
        <v>31135193423.360001</v>
      </c>
      <c r="H278" s="24">
        <v>2.3184999999999998</v>
      </c>
      <c r="I278" s="24">
        <v>2.0206</v>
      </c>
      <c r="J278" s="24">
        <v>1.4294</v>
      </c>
      <c r="K278" s="24">
        <v>1667</v>
      </c>
      <c r="L278" s="24" t="s">
        <v>3927</v>
      </c>
    </row>
    <row r="279" spans="1:12" x14ac:dyDescent="0.35">
      <c r="A279" s="24" t="s">
        <v>3242</v>
      </c>
      <c r="B279" s="24" t="str">
        <f>"300248"</f>
        <v>300248</v>
      </c>
      <c r="C279" s="24" t="str">
        <f t="shared" si="4"/>
        <v>'300248.SZ'</v>
      </c>
      <c r="D279" s="24" t="s">
        <v>3928</v>
      </c>
      <c r="E279" s="24" t="s">
        <v>3257</v>
      </c>
      <c r="F279" s="24">
        <v>2.3170999999999999</v>
      </c>
      <c r="G279" s="24">
        <v>4392374479.3500004</v>
      </c>
      <c r="H279" s="24">
        <v>3.0705</v>
      </c>
      <c r="I279" s="24">
        <v>2.3214999999999999</v>
      </c>
      <c r="J279" s="24">
        <v>0.97389999999999999</v>
      </c>
      <c r="K279" s="24">
        <v>213</v>
      </c>
      <c r="L279" s="24" t="s">
        <v>3929</v>
      </c>
    </row>
    <row r="280" spans="1:12" x14ac:dyDescent="0.35">
      <c r="A280" s="24" t="s">
        <v>3242</v>
      </c>
      <c r="B280" s="24" t="str">
        <f>"301201"</f>
        <v>301201</v>
      </c>
      <c r="C280" s="24" t="str">
        <f t="shared" si="4"/>
        <v>'301201.SZ'</v>
      </c>
      <c r="D280" s="24" t="s">
        <v>3930</v>
      </c>
      <c r="E280" s="24" t="s">
        <v>3500</v>
      </c>
      <c r="F280" s="24">
        <v>2.3157000000000001</v>
      </c>
      <c r="G280" s="24">
        <v>5093952655.1999998</v>
      </c>
      <c r="H280" s="24">
        <v>21.501100000000001</v>
      </c>
      <c r="I280" s="24">
        <v>19.097899999999999</v>
      </c>
      <c r="J280" s="24">
        <v>5.4265999999999996</v>
      </c>
      <c r="K280" s="24">
        <v>27</v>
      </c>
      <c r="L280" s="24" t="s">
        <v>3931</v>
      </c>
    </row>
    <row r="281" spans="1:12" x14ac:dyDescent="0.35">
      <c r="A281" s="24" t="s">
        <v>3242</v>
      </c>
      <c r="B281" s="24" t="str">
        <f>"001331"</f>
        <v>001331</v>
      </c>
      <c r="C281" s="24" t="str">
        <f t="shared" si="4"/>
        <v>'001331.SZ'</v>
      </c>
      <c r="D281" s="24" t="s">
        <v>3932</v>
      </c>
      <c r="E281" s="24" t="s">
        <v>3933</v>
      </c>
      <c r="F281" s="24">
        <v>2.3155999999999999</v>
      </c>
      <c r="G281" s="24">
        <v>3621600000</v>
      </c>
      <c r="H281" s="24">
        <v>8.4505999999999997</v>
      </c>
      <c r="I281" s="24">
        <v>7.3921999999999999</v>
      </c>
      <c r="J281" s="24">
        <v>6.4184999999999999</v>
      </c>
      <c r="K281" s="24">
        <v>10</v>
      </c>
      <c r="L281" s="24" t="s">
        <v>3934</v>
      </c>
    </row>
    <row r="282" spans="1:12" x14ac:dyDescent="0.35">
      <c r="A282" s="24" t="s">
        <v>3246</v>
      </c>
      <c r="B282" s="24" t="str">
        <f>"688079"</f>
        <v>688079</v>
      </c>
      <c r="C282" s="24" t="str">
        <f t="shared" si="4"/>
        <v>'688079.SS'</v>
      </c>
      <c r="D282" s="24" t="s">
        <v>3935</v>
      </c>
      <c r="E282" s="24" t="s">
        <v>3248</v>
      </c>
      <c r="F282" s="24">
        <v>2.3149000000000002</v>
      </c>
      <c r="G282" s="24">
        <v>3555813339.2399998</v>
      </c>
      <c r="H282" s="24">
        <v>2.3281999999999998</v>
      </c>
      <c r="I282" s="24">
        <v>1.9762</v>
      </c>
      <c r="J282" s="24">
        <v>1.6243000000000001</v>
      </c>
      <c r="K282" s="24">
        <v>48</v>
      </c>
      <c r="L282" s="24" t="s">
        <v>3936</v>
      </c>
    </row>
    <row r="283" spans="1:12" x14ac:dyDescent="0.35">
      <c r="A283" s="24" t="s">
        <v>3242</v>
      </c>
      <c r="B283" s="24" t="str">
        <f>"300892"</f>
        <v>300892</v>
      </c>
      <c r="C283" s="24" t="str">
        <f t="shared" si="4"/>
        <v>'300892.SZ'</v>
      </c>
      <c r="D283" s="24" t="s">
        <v>3937</v>
      </c>
      <c r="E283" s="24" t="s">
        <v>3648</v>
      </c>
      <c r="F283" s="24">
        <v>2.3142</v>
      </c>
      <c r="G283" s="24">
        <v>2685000000</v>
      </c>
      <c r="H283" s="24">
        <v>3.3589000000000002</v>
      </c>
      <c r="I283" s="24">
        <v>2.2343999999999999</v>
      </c>
      <c r="J283" s="24">
        <v>0.96830000000000005</v>
      </c>
      <c r="K283" s="24">
        <v>108</v>
      </c>
      <c r="L283" s="24" t="s">
        <v>3938</v>
      </c>
    </row>
    <row r="284" spans="1:12" x14ac:dyDescent="0.35">
      <c r="A284" s="24" t="s">
        <v>3242</v>
      </c>
      <c r="B284" s="24" t="str">
        <f>"300543"</f>
        <v>300543</v>
      </c>
      <c r="C284" s="24" t="str">
        <f t="shared" si="4"/>
        <v>'300543.SZ'</v>
      </c>
      <c r="D284" s="24" t="s">
        <v>3939</v>
      </c>
      <c r="E284" s="24" t="s">
        <v>3327</v>
      </c>
      <c r="F284" s="24">
        <v>2.3140000000000001</v>
      </c>
      <c r="G284" s="24">
        <v>2340747138.5999999</v>
      </c>
      <c r="H284" s="24">
        <v>2.3866000000000001</v>
      </c>
      <c r="I284" s="24">
        <v>1.7635000000000001</v>
      </c>
      <c r="J284" s="24">
        <v>0.99</v>
      </c>
      <c r="K284" s="24">
        <v>153</v>
      </c>
      <c r="L284" s="24" t="s">
        <v>3940</v>
      </c>
    </row>
    <row r="285" spans="1:12" x14ac:dyDescent="0.35">
      <c r="A285" s="24" t="s">
        <v>3246</v>
      </c>
      <c r="B285" s="24" t="str">
        <f>"605259"</f>
        <v>605259</v>
      </c>
      <c r="C285" s="24" t="str">
        <f t="shared" si="4"/>
        <v>'605259.SS'</v>
      </c>
      <c r="D285" s="24" t="s">
        <v>3941</v>
      </c>
      <c r="E285" s="24" t="s">
        <v>3244</v>
      </c>
      <c r="F285" s="24">
        <v>2.3130000000000002</v>
      </c>
      <c r="G285" s="24">
        <v>3278000000</v>
      </c>
      <c r="H285" s="24">
        <v>3.4714</v>
      </c>
      <c r="I285" s="24">
        <v>2.5497000000000001</v>
      </c>
      <c r="J285" s="24">
        <v>2.1694</v>
      </c>
      <c r="K285" s="24">
        <v>37</v>
      </c>
      <c r="L285" s="24" t="s">
        <v>3942</v>
      </c>
    </row>
    <row r="286" spans="1:12" x14ac:dyDescent="0.35">
      <c r="A286" s="24" t="s">
        <v>3242</v>
      </c>
      <c r="B286" s="24" t="str">
        <f>"301092"</f>
        <v>301092</v>
      </c>
      <c r="C286" s="24" t="str">
        <f t="shared" si="4"/>
        <v>'301092.SZ'</v>
      </c>
      <c r="D286" s="24" t="s">
        <v>3943</v>
      </c>
      <c r="E286" s="24" t="s">
        <v>3944</v>
      </c>
      <c r="F286" s="24">
        <v>2.3113000000000001</v>
      </c>
      <c r="G286" s="24">
        <v>3886666686.0999999</v>
      </c>
      <c r="H286" s="24">
        <v>13.863899999999999</v>
      </c>
      <c r="I286" s="24">
        <v>12.851100000000001</v>
      </c>
      <c r="J286" s="24">
        <v>2.6804999999999999</v>
      </c>
      <c r="K286" s="24">
        <v>35</v>
      </c>
      <c r="L286" s="24" t="s">
        <v>3945</v>
      </c>
    </row>
    <row r="287" spans="1:12" x14ac:dyDescent="0.35">
      <c r="A287" s="24" t="s">
        <v>3242</v>
      </c>
      <c r="B287" s="24" t="str">
        <f>"003010"</f>
        <v>003010</v>
      </c>
      <c r="C287" s="24" t="str">
        <f t="shared" si="4"/>
        <v>'003010.SZ'</v>
      </c>
      <c r="D287" s="24" t="s">
        <v>3946</v>
      </c>
      <c r="E287" s="24" t="s">
        <v>3755</v>
      </c>
      <c r="F287" s="24">
        <v>2.3073999999999999</v>
      </c>
      <c r="G287" s="24">
        <v>2446166784</v>
      </c>
      <c r="H287" s="24">
        <v>14.6494</v>
      </c>
      <c r="I287" s="24">
        <v>7.4825999999999997</v>
      </c>
      <c r="J287" s="24">
        <v>4.4794</v>
      </c>
      <c r="K287" s="24">
        <v>61</v>
      </c>
      <c r="L287" s="24" t="s">
        <v>3947</v>
      </c>
    </row>
    <row r="288" spans="1:12" x14ac:dyDescent="0.35">
      <c r="A288" s="24" t="s">
        <v>3242</v>
      </c>
      <c r="B288" s="24" t="str">
        <f>"300875"</f>
        <v>300875</v>
      </c>
      <c r="C288" s="24" t="str">
        <f t="shared" si="4"/>
        <v>'300875.SZ'</v>
      </c>
      <c r="D288" s="24" t="s">
        <v>3948</v>
      </c>
      <c r="E288" s="24" t="s">
        <v>3446</v>
      </c>
      <c r="F288" s="24">
        <v>2.3048000000000002</v>
      </c>
      <c r="G288" s="24">
        <v>3069918593.25</v>
      </c>
      <c r="H288" s="24">
        <v>4.1056999999999997</v>
      </c>
      <c r="I288" s="24">
        <v>3.1924999999999999</v>
      </c>
      <c r="J288" s="24">
        <v>2.1574</v>
      </c>
      <c r="K288" s="24">
        <v>107</v>
      </c>
      <c r="L288" s="24" t="s">
        <v>3949</v>
      </c>
    </row>
    <row r="289" spans="1:12" x14ac:dyDescent="0.35">
      <c r="A289" s="24" t="s">
        <v>3242</v>
      </c>
      <c r="B289" s="24" t="str">
        <f>"300448"</f>
        <v>300448</v>
      </c>
      <c r="C289" s="24" t="str">
        <f t="shared" si="4"/>
        <v>'300448.SZ'</v>
      </c>
      <c r="D289" s="24" t="s">
        <v>3950</v>
      </c>
      <c r="E289" s="24" t="s">
        <v>3722</v>
      </c>
      <c r="F289" s="24">
        <v>2.3014999999999999</v>
      </c>
      <c r="G289" s="24">
        <v>3267577491.5700002</v>
      </c>
      <c r="H289" s="24">
        <v>11.9663</v>
      </c>
      <c r="I289" s="24">
        <v>9.4570000000000007</v>
      </c>
      <c r="J289" s="24">
        <v>3.7391999999999999</v>
      </c>
      <c r="K289" s="24">
        <v>157</v>
      </c>
      <c r="L289" s="24" t="s">
        <v>3951</v>
      </c>
    </row>
    <row r="290" spans="1:12" x14ac:dyDescent="0.35">
      <c r="A290" s="24" t="s">
        <v>3246</v>
      </c>
      <c r="B290" s="24" t="str">
        <f>"688176"</f>
        <v>688176</v>
      </c>
      <c r="C290" s="24" t="str">
        <f t="shared" si="4"/>
        <v>'688176.SS'</v>
      </c>
      <c r="D290" s="24" t="s">
        <v>3952</v>
      </c>
      <c r="E290" s="24" t="s">
        <v>3696</v>
      </c>
      <c r="F290" s="24">
        <v>2.3007</v>
      </c>
      <c r="G290" s="24">
        <v>6560700000</v>
      </c>
      <c r="H290" s="24">
        <v>33.368499999999997</v>
      </c>
      <c r="I290" s="24">
        <v>33.083399999999997</v>
      </c>
      <c r="J290" s="24">
        <v>8.3969000000000005</v>
      </c>
      <c r="K290" s="24">
        <v>15</v>
      </c>
      <c r="L290" s="24" t="s">
        <v>3953</v>
      </c>
    </row>
    <row r="291" spans="1:12" x14ac:dyDescent="0.35">
      <c r="A291" s="24" t="s">
        <v>3242</v>
      </c>
      <c r="B291" s="24" t="str">
        <f>"300386"</f>
        <v>300386</v>
      </c>
      <c r="C291" s="24" t="str">
        <f t="shared" si="4"/>
        <v>'300386.SZ'</v>
      </c>
      <c r="D291" s="24" t="s">
        <v>3954</v>
      </c>
      <c r="E291" s="24" t="s">
        <v>3257</v>
      </c>
      <c r="F291" s="24">
        <v>2.2963</v>
      </c>
      <c r="G291" s="24">
        <v>4096831200</v>
      </c>
      <c r="H291" s="24">
        <v>5.9013</v>
      </c>
      <c r="I291" s="24">
        <v>3.4144999999999999</v>
      </c>
      <c r="J291" s="24">
        <v>2.1326000000000001</v>
      </c>
      <c r="K291" s="24">
        <v>192</v>
      </c>
      <c r="L291" s="24" t="s">
        <v>3955</v>
      </c>
    </row>
    <row r="292" spans="1:12" x14ac:dyDescent="0.35">
      <c r="A292" s="24" t="s">
        <v>3242</v>
      </c>
      <c r="B292" s="24" t="str">
        <f>"300456"</f>
        <v>300456</v>
      </c>
      <c r="C292" s="24" t="str">
        <f t="shared" si="4"/>
        <v>'300456.SZ'</v>
      </c>
      <c r="D292" s="24" t="s">
        <v>3956</v>
      </c>
      <c r="E292" s="24" t="s">
        <v>3767</v>
      </c>
      <c r="F292" s="24">
        <v>2.2898000000000001</v>
      </c>
      <c r="G292" s="24">
        <v>11395312178.879999</v>
      </c>
      <c r="H292" s="24">
        <v>4.2023999999999999</v>
      </c>
      <c r="I292" s="24">
        <v>3.7326999999999999</v>
      </c>
      <c r="J292" s="24">
        <v>2.7075999999999998</v>
      </c>
      <c r="K292" s="24">
        <v>398</v>
      </c>
      <c r="L292" s="24" t="s">
        <v>3957</v>
      </c>
    </row>
    <row r="293" spans="1:12" x14ac:dyDescent="0.35">
      <c r="A293" s="24" t="s">
        <v>3246</v>
      </c>
      <c r="B293" s="24" t="str">
        <f>"603199"</f>
        <v>603199</v>
      </c>
      <c r="C293" s="24" t="str">
        <f t="shared" si="4"/>
        <v>'603199.SS'</v>
      </c>
      <c r="D293" s="24" t="s">
        <v>3958</v>
      </c>
      <c r="E293" s="24" t="s">
        <v>3397</v>
      </c>
      <c r="F293" s="24">
        <v>2.2898000000000001</v>
      </c>
      <c r="G293" s="24">
        <v>2882107200</v>
      </c>
      <c r="H293" s="24">
        <v>3.3982999999999999</v>
      </c>
      <c r="I293" s="24">
        <v>3.3239000000000001</v>
      </c>
      <c r="J293" s="24">
        <v>1.0447</v>
      </c>
      <c r="K293" s="24">
        <v>150</v>
      </c>
      <c r="L293" s="24" t="s">
        <v>3959</v>
      </c>
    </row>
    <row r="294" spans="1:12" x14ac:dyDescent="0.35">
      <c r="A294" s="24" t="s">
        <v>3242</v>
      </c>
      <c r="B294" s="24" t="str">
        <f>"002405"</f>
        <v>002405</v>
      </c>
      <c r="C294" s="24" t="str">
        <f t="shared" si="4"/>
        <v>'002405.SZ'</v>
      </c>
      <c r="D294" s="24" t="s">
        <v>3960</v>
      </c>
      <c r="E294" s="24" t="s">
        <v>3368</v>
      </c>
      <c r="F294" s="24">
        <v>2.2896000000000001</v>
      </c>
      <c r="G294" s="24">
        <v>27992425772.639999</v>
      </c>
      <c r="H294" s="24">
        <v>4.9622999999999999</v>
      </c>
      <c r="I294" s="24">
        <v>4.3733000000000004</v>
      </c>
      <c r="J294" s="24">
        <v>3.5868000000000002</v>
      </c>
      <c r="K294" s="24">
        <v>3891</v>
      </c>
      <c r="L294" s="24" t="s">
        <v>3961</v>
      </c>
    </row>
    <row r="295" spans="1:12" x14ac:dyDescent="0.35">
      <c r="A295" s="24" t="s">
        <v>3246</v>
      </c>
      <c r="B295" s="24" t="str">
        <f>"603258"</f>
        <v>603258</v>
      </c>
      <c r="C295" s="24" t="str">
        <f t="shared" si="4"/>
        <v>'603258.SS'</v>
      </c>
      <c r="D295" s="24" t="s">
        <v>3962</v>
      </c>
      <c r="E295" s="24" t="s">
        <v>3481</v>
      </c>
      <c r="F295" s="24">
        <v>2.2883</v>
      </c>
      <c r="G295" s="24">
        <v>5480980970</v>
      </c>
      <c r="H295" s="24">
        <v>3.5468000000000002</v>
      </c>
      <c r="I295" s="24">
        <v>3.5185</v>
      </c>
      <c r="J295" s="24">
        <v>2.2120000000000002</v>
      </c>
      <c r="K295" s="24">
        <v>777</v>
      </c>
      <c r="L295" s="24" t="s">
        <v>3963</v>
      </c>
    </row>
    <row r="296" spans="1:12" x14ac:dyDescent="0.35">
      <c r="A296" s="24" t="s">
        <v>3246</v>
      </c>
      <c r="B296" s="24" t="str">
        <f>"688182"</f>
        <v>688182</v>
      </c>
      <c r="C296" s="24" t="str">
        <f t="shared" si="4"/>
        <v>'688182.SS'</v>
      </c>
      <c r="D296" s="24" t="s">
        <v>3964</v>
      </c>
      <c r="E296" s="24" t="s">
        <v>3314</v>
      </c>
      <c r="F296" s="24">
        <v>2.2793999999999999</v>
      </c>
      <c r="G296" s="24">
        <v>4756000000</v>
      </c>
      <c r="H296" s="24">
        <v>11.372199999999999</v>
      </c>
      <c r="I296" s="24">
        <v>10.3123</v>
      </c>
      <c r="J296" s="24">
        <v>3.8048000000000002</v>
      </c>
      <c r="K296" s="24">
        <v>23</v>
      </c>
      <c r="L296" s="24" t="s">
        <v>3965</v>
      </c>
    </row>
    <row r="297" spans="1:12" x14ac:dyDescent="0.35">
      <c r="A297" s="24" t="s">
        <v>3242</v>
      </c>
      <c r="B297" s="24" t="str">
        <f>"002933"</f>
        <v>002933</v>
      </c>
      <c r="C297" s="24" t="str">
        <f t="shared" si="4"/>
        <v>'002933.SZ'</v>
      </c>
      <c r="D297" s="24" t="s">
        <v>3966</v>
      </c>
      <c r="E297" s="24" t="s">
        <v>3497</v>
      </c>
      <c r="F297" s="24">
        <v>2.2782</v>
      </c>
      <c r="G297" s="24">
        <v>3299882000</v>
      </c>
      <c r="H297" s="24">
        <v>7.1698000000000004</v>
      </c>
      <c r="I297" s="24">
        <v>5.9934000000000003</v>
      </c>
      <c r="J297" s="24">
        <v>2.0274999999999999</v>
      </c>
      <c r="K297" s="24">
        <v>324</v>
      </c>
      <c r="L297" s="24" t="s">
        <v>3967</v>
      </c>
    </row>
    <row r="298" spans="1:12" x14ac:dyDescent="0.35">
      <c r="A298" s="24" t="s">
        <v>3242</v>
      </c>
      <c r="B298" s="24" t="str">
        <f>"300039"</f>
        <v>300039</v>
      </c>
      <c r="C298" s="24" t="str">
        <f t="shared" si="4"/>
        <v>'300039.SZ'</v>
      </c>
      <c r="D298" s="24" t="s">
        <v>3968</v>
      </c>
      <c r="E298" s="24" t="s">
        <v>3311</v>
      </c>
      <c r="F298" s="24">
        <v>2.2778999999999998</v>
      </c>
      <c r="G298" s="24">
        <v>8420300000</v>
      </c>
      <c r="H298" s="24">
        <v>9.7855000000000008</v>
      </c>
      <c r="I298" s="24">
        <v>9.0846</v>
      </c>
      <c r="J298" s="24">
        <v>5.9935</v>
      </c>
      <c r="K298" s="24">
        <v>234</v>
      </c>
      <c r="L298" s="24" t="s">
        <v>3969</v>
      </c>
    </row>
    <row r="299" spans="1:12" x14ac:dyDescent="0.35">
      <c r="A299" s="24" t="s">
        <v>3242</v>
      </c>
      <c r="B299" s="24" t="str">
        <f>"300660"</f>
        <v>300660</v>
      </c>
      <c r="C299" s="24" t="str">
        <f t="shared" si="4"/>
        <v>'300660.SZ'</v>
      </c>
      <c r="D299" s="24" t="s">
        <v>3970</v>
      </c>
      <c r="E299" s="24" t="s">
        <v>3288</v>
      </c>
      <c r="F299" s="24">
        <v>2.2763</v>
      </c>
      <c r="G299" s="24">
        <v>6686904055.3599997</v>
      </c>
      <c r="H299" s="24">
        <v>2.0142000000000002</v>
      </c>
      <c r="I299" s="24">
        <v>1.6818</v>
      </c>
      <c r="J299" s="24">
        <v>0.86660000000000004</v>
      </c>
      <c r="K299" s="24">
        <v>115</v>
      </c>
      <c r="L299" s="24" t="s">
        <v>3971</v>
      </c>
    </row>
    <row r="300" spans="1:12" x14ac:dyDescent="0.35">
      <c r="A300" s="24" t="s">
        <v>3246</v>
      </c>
      <c r="B300" s="24" t="str">
        <f>"605555"</f>
        <v>605555</v>
      </c>
      <c r="C300" s="24" t="str">
        <f t="shared" si="4"/>
        <v>'605555.SS'</v>
      </c>
      <c r="D300" s="24" t="s">
        <v>3972</v>
      </c>
      <c r="E300" s="24" t="s">
        <v>3486</v>
      </c>
      <c r="F300" s="24">
        <v>2.2730999999999999</v>
      </c>
      <c r="G300" s="24">
        <v>5694460520</v>
      </c>
      <c r="H300" s="24">
        <v>2.5322</v>
      </c>
      <c r="I300" s="24">
        <v>2.3365999999999998</v>
      </c>
      <c r="J300" s="24">
        <v>1.7211000000000001</v>
      </c>
      <c r="K300" s="24">
        <v>51</v>
      </c>
      <c r="L300" s="24" t="s">
        <v>3973</v>
      </c>
    </row>
    <row r="301" spans="1:12" x14ac:dyDescent="0.35">
      <c r="A301" s="24" t="s">
        <v>3242</v>
      </c>
      <c r="B301" s="24" t="str">
        <f>"002312"</f>
        <v>002312</v>
      </c>
      <c r="C301" s="24" t="str">
        <f t="shared" si="4"/>
        <v>'002312.SZ'</v>
      </c>
      <c r="D301" s="24" t="s">
        <v>3974</v>
      </c>
      <c r="E301" s="24" t="s">
        <v>3975</v>
      </c>
      <c r="F301" s="24">
        <v>2.2694000000000001</v>
      </c>
      <c r="G301" s="24">
        <v>20530378910.959999</v>
      </c>
      <c r="H301" s="24">
        <v>1.6739999999999999</v>
      </c>
      <c r="I301" s="24">
        <v>1.1269</v>
      </c>
      <c r="J301" s="24">
        <v>0.85629999999999995</v>
      </c>
      <c r="K301" s="24">
        <v>269</v>
      </c>
      <c r="L301" s="24" t="s">
        <v>3976</v>
      </c>
    </row>
    <row r="302" spans="1:12" x14ac:dyDescent="0.35">
      <c r="A302" s="24" t="s">
        <v>3246</v>
      </c>
      <c r="B302" s="24" t="str">
        <f>"600110"</f>
        <v>600110</v>
      </c>
      <c r="C302" s="24" t="str">
        <f t="shared" si="4"/>
        <v>'600110.SS'</v>
      </c>
      <c r="D302" s="24" t="s">
        <v>3977</v>
      </c>
      <c r="E302" s="24" t="s">
        <v>3539</v>
      </c>
      <c r="F302" s="24">
        <v>2.2669999999999999</v>
      </c>
      <c r="G302" s="24">
        <v>14454830459.879999</v>
      </c>
      <c r="H302" s="24">
        <v>1.7212000000000001</v>
      </c>
      <c r="I302" s="24">
        <v>1.5299</v>
      </c>
      <c r="J302" s="24">
        <v>0.96360000000000001</v>
      </c>
      <c r="K302" s="24">
        <v>358</v>
      </c>
      <c r="L302" s="24" t="s">
        <v>3978</v>
      </c>
    </row>
    <row r="303" spans="1:12" x14ac:dyDescent="0.35">
      <c r="A303" s="24" t="s">
        <v>3242</v>
      </c>
      <c r="B303" s="24" t="str">
        <f>"002678"</f>
        <v>002678</v>
      </c>
      <c r="C303" s="24" t="str">
        <f t="shared" si="4"/>
        <v>'002678.SZ'</v>
      </c>
      <c r="D303" s="24" t="s">
        <v>3979</v>
      </c>
      <c r="E303" s="24" t="s">
        <v>3296</v>
      </c>
      <c r="F303" s="24">
        <v>2.2658999999999998</v>
      </c>
      <c r="G303" s="24">
        <v>8425875796.1400003</v>
      </c>
      <c r="H303" s="24">
        <v>2.5712999999999999</v>
      </c>
      <c r="I303" s="24">
        <v>1.7579</v>
      </c>
      <c r="J303" s="24">
        <v>0.98129999999999995</v>
      </c>
      <c r="K303" s="24">
        <v>113</v>
      </c>
      <c r="L303" s="24" t="s">
        <v>3980</v>
      </c>
    </row>
    <row r="304" spans="1:12" x14ac:dyDescent="0.35">
      <c r="A304" s="24" t="s">
        <v>3242</v>
      </c>
      <c r="B304" s="24" t="str">
        <f>"301389"</f>
        <v>301389</v>
      </c>
      <c r="C304" s="24" t="str">
        <f t="shared" si="4"/>
        <v>'301389.SZ'</v>
      </c>
      <c r="D304" s="24" t="s">
        <v>3981</v>
      </c>
      <c r="E304" s="24" t="s">
        <v>3327</v>
      </c>
      <c r="F304" s="24">
        <v>2.2538</v>
      </c>
      <c r="G304" s="24">
        <v>5446035000</v>
      </c>
      <c r="H304" s="24">
        <v>8.2157</v>
      </c>
      <c r="I304" s="24">
        <v>7.6619999999999999</v>
      </c>
      <c r="J304" s="24">
        <v>5.2868000000000004</v>
      </c>
      <c r="K304" s="24">
        <v>4</v>
      </c>
      <c r="L304" s="24" t="s">
        <v>3982</v>
      </c>
    </row>
    <row r="305" spans="1:12" x14ac:dyDescent="0.35">
      <c r="A305" s="24" t="s">
        <v>3246</v>
      </c>
      <c r="B305" s="24" t="str">
        <f>"688217"</f>
        <v>688217</v>
      </c>
      <c r="C305" s="24" t="str">
        <f t="shared" si="4"/>
        <v>'688217.SS'</v>
      </c>
      <c r="D305" s="24" t="s">
        <v>3983</v>
      </c>
      <c r="E305" s="24" t="s">
        <v>3432</v>
      </c>
      <c r="F305" s="24">
        <v>2.2391999999999999</v>
      </c>
      <c r="G305" s="24">
        <v>2088030144.2</v>
      </c>
      <c r="H305" s="24">
        <v>10.754899999999999</v>
      </c>
      <c r="I305" s="24">
        <v>9.3317999999999994</v>
      </c>
      <c r="J305" s="24">
        <v>3.3757000000000001</v>
      </c>
      <c r="K305" s="24">
        <v>33</v>
      </c>
      <c r="L305" s="24" t="s">
        <v>3984</v>
      </c>
    </row>
    <row r="306" spans="1:12" x14ac:dyDescent="0.35">
      <c r="A306" s="24" t="s">
        <v>3242</v>
      </c>
      <c r="B306" s="24" t="str">
        <f>"002020"</f>
        <v>002020</v>
      </c>
      <c r="C306" s="24" t="str">
        <f t="shared" si="4"/>
        <v>'002020.SZ'</v>
      </c>
      <c r="D306" s="24" t="s">
        <v>3985</v>
      </c>
      <c r="E306" s="24" t="s">
        <v>3696</v>
      </c>
      <c r="F306" s="24">
        <v>2.2378</v>
      </c>
      <c r="G306" s="24">
        <v>11115886197.4</v>
      </c>
      <c r="H306" s="24">
        <v>1.9496</v>
      </c>
      <c r="I306" s="24">
        <v>1.4628000000000001</v>
      </c>
      <c r="J306" s="24">
        <v>0.91969999999999996</v>
      </c>
      <c r="K306" s="24">
        <v>637</v>
      </c>
      <c r="L306" s="24" t="s">
        <v>3986</v>
      </c>
    </row>
    <row r="307" spans="1:12" x14ac:dyDescent="0.35">
      <c r="A307" s="24" t="s">
        <v>3246</v>
      </c>
      <c r="B307" s="24" t="str">
        <f>"600641"</f>
        <v>600641</v>
      </c>
      <c r="C307" s="24" t="str">
        <f t="shared" si="4"/>
        <v>'600641.SS'</v>
      </c>
      <c r="D307" s="24" t="s">
        <v>3987</v>
      </c>
      <c r="E307" s="24" t="s">
        <v>3988</v>
      </c>
      <c r="F307" s="24">
        <v>2.2357999999999998</v>
      </c>
      <c r="G307" s="24">
        <v>17472650568.959999</v>
      </c>
      <c r="H307" s="24">
        <v>4.1936999999999998</v>
      </c>
      <c r="I307" s="24">
        <v>3.1646000000000001</v>
      </c>
      <c r="J307" s="24">
        <v>1.6942999999999999</v>
      </c>
      <c r="K307" s="24">
        <v>429</v>
      </c>
      <c r="L307" s="24" t="s">
        <v>3989</v>
      </c>
    </row>
    <row r="308" spans="1:12" x14ac:dyDescent="0.35">
      <c r="A308" s="24" t="s">
        <v>3242</v>
      </c>
      <c r="B308" s="24" t="str">
        <f>"002270"</f>
        <v>002270</v>
      </c>
      <c r="C308" s="24" t="str">
        <f t="shared" si="4"/>
        <v>'002270.SZ'</v>
      </c>
      <c r="D308" s="24" t="s">
        <v>3990</v>
      </c>
      <c r="E308" s="24" t="s">
        <v>3991</v>
      </c>
      <c r="F308" s="24">
        <v>2.2302</v>
      </c>
      <c r="G308" s="24">
        <v>7393859805.75</v>
      </c>
      <c r="H308" s="24">
        <v>4.6778000000000004</v>
      </c>
      <c r="I308" s="24">
        <v>3.7763</v>
      </c>
      <c r="J308" s="24">
        <v>1.6833</v>
      </c>
      <c r="K308" s="24">
        <v>174</v>
      </c>
      <c r="L308" s="24" t="s">
        <v>3992</v>
      </c>
    </row>
    <row r="309" spans="1:12" x14ac:dyDescent="0.35">
      <c r="A309" s="24" t="s">
        <v>3242</v>
      </c>
      <c r="B309" s="24" t="str">
        <f>"001217"</f>
        <v>001217</v>
      </c>
      <c r="C309" s="24" t="str">
        <f t="shared" si="4"/>
        <v>'001217.SZ'</v>
      </c>
      <c r="D309" s="24" t="s">
        <v>3993</v>
      </c>
      <c r="E309" s="24" t="s">
        <v>3994</v>
      </c>
      <c r="F309" s="24">
        <v>2.2290000000000001</v>
      </c>
      <c r="G309" s="24">
        <v>4533344200</v>
      </c>
      <c r="H309" s="24">
        <v>2.3014000000000001</v>
      </c>
      <c r="I309" s="24">
        <v>1.9811000000000001</v>
      </c>
      <c r="J309" s="24">
        <v>1.0660000000000001</v>
      </c>
      <c r="K309" s="24">
        <v>34</v>
      </c>
      <c r="L309" s="24" t="s">
        <v>3995</v>
      </c>
    </row>
    <row r="310" spans="1:12" x14ac:dyDescent="0.35">
      <c r="A310" s="24" t="s">
        <v>3246</v>
      </c>
      <c r="B310" s="24" t="str">
        <f>"605033"</f>
        <v>605033</v>
      </c>
      <c r="C310" s="24" t="str">
        <f t="shared" si="4"/>
        <v>'605033.SS'</v>
      </c>
      <c r="D310" s="24" t="s">
        <v>3996</v>
      </c>
      <c r="E310" s="24" t="s">
        <v>3492</v>
      </c>
      <c r="F310" s="24">
        <v>2.2254</v>
      </c>
      <c r="G310" s="24">
        <v>2409999570</v>
      </c>
      <c r="H310" s="24">
        <v>3.2847</v>
      </c>
      <c r="I310" s="24">
        <v>1.6956</v>
      </c>
      <c r="J310" s="24">
        <v>0.89759999999999995</v>
      </c>
      <c r="K310" s="24">
        <v>23</v>
      </c>
      <c r="L310" s="24" t="s">
        <v>3997</v>
      </c>
    </row>
    <row r="311" spans="1:12" x14ac:dyDescent="0.35">
      <c r="A311" s="24" t="s">
        <v>3242</v>
      </c>
      <c r="B311" s="24" t="str">
        <f>"300908"</f>
        <v>300908</v>
      </c>
      <c r="C311" s="24" t="str">
        <f t="shared" si="4"/>
        <v>'300908.SZ'</v>
      </c>
      <c r="D311" s="24" t="s">
        <v>3998</v>
      </c>
      <c r="E311" s="24" t="s">
        <v>3899</v>
      </c>
      <c r="F311" s="24">
        <v>2.2248000000000001</v>
      </c>
      <c r="G311" s="24">
        <v>3520000000</v>
      </c>
      <c r="H311" s="24">
        <v>10.594200000000001</v>
      </c>
      <c r="I311" s="24">
        <v>8.8496000000000006</v>
      </c>
      <c r="J311" s="24">
        <v>4.4404000000000003</v>
      </c>
      <c r="K311" s="24">
        <v>185</v>
      </c>
      <c r="L311" s="24" t="s">
        <v>3999</v>
      </c>
    </row>
    <row r="312" spans="1:12" x14ac:dyDescent="0.35">
      <c r="A312" s="24" t="s">
        <v>3246</v>
      </c>
      <c r="B312" s="24" t="str">
        <f>"688168"</f>
        <v>688168</v>
      </c>
      <c r="C312" s="24" t="str">
        <f t="shared" si="4"/>
        <v>'688168.SS'</v>
      </c>
      <c r="D312" s="24" t="s">
        <v>4000</v>
      </c>
      <c r="E312" s="24" t="s">
        <v>3285</v>
      </c>
      <c r="F312" s="24">
        <v>2.2187000000000001</v>
      </c>
      <c r="G312" s="24">
        <v>2632330407.7199998</v>
      </c>
      <c r="H312" s="24">
        <v>9.7426999999999992</v>
      </c>
      <c r="I312" s="24">
        <v>8.5587999999999997</v>
      </c>
      <c r="J312" s="24">
        <v>3.7692000000000001</v>
      </c>
      <c r="K312" s="24">
        <v>151</v>
      </c>
      <c r="L312" s="24" t="s">
        <v>4001</v>
      </c>
    </row>
    <row r="313" spans="1:12" x14ac:dyDescent="0.35">
      <c r="A313" s="24" t="s">
        <v>3242</v>
      </c>
      <c r="B313" s="24" t="str">
        <f>"301187"</f>
        <v>301187</v>
      </c>
      <c r="C313" s="24" t="str">
        <f t="shared" si="4"/>
        <v>'301187.SZ'</v>
      </c>
      <c r="D313" s="24" t="s">
        <v>4002</v>
      </c>
      <c r="E313" s="24" t="s">
        <v>3486</v>
      </c>
      <c r="F313" s="24">
        <v>2.2181999999999999</v>
      </c>
      <c r="G313" s="24">
        <v>3168242918.3499999</v>
      </c>
      <c r="H313" s="24">
        <v>3.7065999999999999</v>
      </c>
      <c r="I313" s="24">
        <v>3.3085</v>
      </c>
      <c r="J313" s="24">
        <v>1.4313</v>
      </c>
      <c r="K313" s="24">
        <v>16</v>
      </c>
      <c r="L313" s="24" t="s">
        <v>4003</v>
      </c>
    </row>
    <row r="314" spans="1:12" x14ac:dyDescent="0.35">
      <c r="A314" s="24" t="s">
        <v>3246</v>
      </c>
      <c r="B314" s="24" t="str">
        <f>"688265"</f>
        <v>688265</v>
      </c>
      <c r="C314" s="24" t="str">
        <f t="shared" si="4"/>
        <v>'688265.SS'</v>
      </c>
      <c r="D314" s="24" t="s">
        <v>4004</v>
      </c>
      <c r="E314" s="24" t="s">
        <v>3500</v>
      </c>
      <c r="F314" s="24">
        <v>2.2176</v>
      </c>
      <c r="G314" s="24">
        <v>3919225798.5100002</v>
      </c>
      <c r="H314" s="24">
        <v>5.8369</v>
      </c>
      <c r="I314" s="24">
        <v>5.7561999999999998</v>
      </c>
      <c r="J314" s="24">
        <v>1.0078</v>
      </c>
      <c r="K314" s="24">
        <v>40</v>
      </c>
      <c r="L314" s="24" t="s">
        <v>4005</v>
      </c>
    </row>
    <row r="315" spans="1:12" x14ac:dyDescent="0.35">
      <c r="A315" s="24" t="s">
        <v>3246</v>
      </c>
      <c r="B315" s="24" t="str">
        <f>"603187"</f>
        <v>603187</v>
      </c>
      <c r="C315" s="24" t="str">
        <f t="shared" si="4"/>
        <v>'603187.SS'</v>
      </c>
      <c r="D315" s="24" t="s">
        <v>4006</v>
      </c>
      <c r="E315" s="24" t="s">
        <v>4007</v>
      </c>
      <c r="F315" s="24">
        <v>2.2172999999999998</v>
      </c>
      <c r="G315" s="24">
        <v>8008310758.5600004</v>
      </c>
      <c r="H315" s="24">
        <v>3.0474999999999999</v>
      </c>
      <c r="I315" s="24">
        <v>2.6276999999999999</v>
      </c>
      <c r="J315" s="24">
        <v>0.98160000000000003</v>
      </c>
      <c r="K315" s="24">
        <v>705</v>
      </c>
      <c r="L315" s="24" t="s">
        <v>4008</v>
      </c>
    </row>
    <row r="316" spans="1:12" x14ac:dyDescent="0.35">
      <c r="A316" s="24" t="s">
        <v>3242</v>
      </c>
      <c r="B316" s="24" t="str">
        <f>"300935"</f>
        <v>300935</v>
      </c>
      <c r="C316" s="24" t="str">
        <f t="shared" si="4"/>
        <v>'300935.SZ'</v>
      </c>
      <c r="D316" s="24" t="s">
        <v>4009</v>
      </c>
      <c r="E316" s="24" t="s">
        <v>3368</v>
      </c>
      <c r="F316" s="24">
        <v>2.2158000000000002</v>
      </c>
      <c r="G316" s="24">
        <v>2065483770</v>
      </c>
      <c r="H316" s="24">
        <v>23.217099999999999</v>
      </c>
      <c r="I316" s="24">
        <v>23.010400000000001</v>
      </c>
      <c r="J316" s="24">
        <v>5.2938000000000001</v>
      </c>
      <c r="K316" s="24">
        <v>68</v>
      </c>
      <c r="L316" s="24" t="s">
        <v>4010</v>
      </c>
    </row>
    <row r="317" spans="1:12" x14ac:dyDescent="0.35">
      <c r="A317" s="24" t="s">
        <v>3246</v>
      </c>
      <c r="B317" s="24" t="str">
        <f>"600246"</f>
        <v>600246</v>
      </c>
      <c r="C317" s="24" t="str">
        <f t="shared" si="4"/>
        <v>'600246.SS'</v>
      </c>
      <c r="D317" s="24" t="s">
        <v>4011</v>
      </c>
      <c r="E317" s="24" t="s">
        <v>3988</v>
      </c>
      <c r="F317" s="24">
        <v>2.214</v>
      </c>
      <c r="G317" s="24">
        <v>13494841114.139999</v>
      </c>
      <c r="H317" s="24">
        <v>2.8506999999999998</v>
      </c>
      <c r="I317" s="24">
        <v>1.9894000000000001</v>
      </c>
      <c r="J317" s="24">
        <v>1.3726</v>
      </c>
      <c r="K317" s="24">
        <v>126</v>
      </c>
      <c r="L317" s="24" t="s">
        <v>4012</v>
      </c>
    </row>
    <row r="318" spans="1:12" x14ac:dyDescent="0.35">
      <c r="A318" s="24" t="s">
        <v>3242</v>
      </c>
      <c r="B318" s="24" t="str">
        <f>"002993"</f>
        <v>002993</v>
      </c>
      <c r="C318" s="24" t="str">
        <f t="shared" si="4"/>
        <v>'002993.SZ'</v>
      </c>
      <c r="D318" s="24" t="s">
        <v>4013</v>
      </c>
      <c r="E318" s="24" t="s">
        <v>3327</v>
      </c>
      <c r="F318" s="24">
        <v>2.2128000000000001</v>
      </c>
      <c r="G318" s="24">
        <v>9987127200</v>
      </c>
      <c r="H318" s="24">
        <v>2.3428</v>
      </c>
      <c r="I318" s="24">
        <v>2.1185999999999998</v>
      </c>
      <c r="J318" s="24">
        <v>1.4688000000000001</v>
      </c>
      <c r="K318" s="24">
        <v>165</v>
      </c>
      <c r="L318" s="24" t="s">
        <v>4014</v>
      </c>
    </row>
    <row r="319" spans="1:12" x14ac:dyDescent="0.35">
      <c r="A319" s="24" t="s">
        <v>3242</v>
      </c>
      <c r="B319" s="24" t="str">
        <f>"300676"</f>
        <v>300676</v>
      </c>
      <c r="C319" s="24" t="str">
        <f t="shared" si="4"/>
        <v>'300676.SZ'</v>
      </c>
      <c r="D319" s="24" t="s">
        <v>4015</v>
      </c>
      <c r="E319" s="24" t="s">
        <v>4016</v>
      </c>
      <c r="F319" s="24">
        <v>2.2063000000000001</v>
      </c>
      <c r="G319" s="24">
        <v>21962294084.5</v>
      </c>
      <c r="H319" s="24">
        <v>3.4304000000000001</v>
      </c>
      <c r="I319" s="24">
        <v>2.9573</v>
      </c>
      <c r="J319" s="24">
        <v>2.024</v>
      </c>
      <c r="K319" s="24">
        <v>1493</v>
      </c>
      <c r="L319" s="24" t="s">
        <v>4017</v>
      </c>
    </row>
    <row r="320" spans="1:12" x14ac:dyDescent="0.35">
      <c r="A320" s="24" t="s">
        <v>3242</v>
      </c>
      <c r="B320" s="24" t="str">
        <f>"000997"</f>
        <v>000997</v>
      </c>
      <c r="C320" s="24" t="str">
        <f t="shared" si="4"/>
        <v>'000997.SZ'</v>
      </c>
      <c r="D320" s="24" t="s">
        <v>4018</v>
      </c>
      <c r="E320" s="24" t="s">
        <v>3257</v>
      </c>
      <c r="F320" s="24">
        <v>2.2048000000000001</v>
      </c>
      <c r="G320" s="24">
        <v>14046376572.57</v>
      </c>
      <c r="H320" s="24">
        <v>1.6392</v>
      </c>
      <c r="I320" s="24">
        <v>1.3528</v>
      </c>
      <c r="J320" s="24">
        <v>0.80330000000000001</v>
      </c>
      <c r="K320" s="24">
        <v>599</v>
      </c>
      <c r="L320" s="24" t="s">
        <v>4019</v>
      </c>
    </row>
    <row r="321" spans="1:12" x14ac:dyDescent="0.35">
      <c r="A321" s="24" t="s">
        <v>3246</v>
      </c>
      <c r="B321" s="24" t="str">
        <f>"688189"</f>
        <v>688189</v>
      </c>
      <c r="C321" s="24" t="str">
        <f t="shared" si="4"/>
        <v>'688189.SS'</v>
      </c>
      <c r="D321" s="24" t="s">
        <v>4020</v>
      </c>
      <c r="E321" s="24" t="s">
        <v>3696</v>
      </c>
      <c r="F321" s="24">
        <v>2.1999</v>
      </c>
      <c r="G321" s="24">
        <v>3096800000</v>
      </c>
      <c r="H321" s="24">
        <v>2.5139999999999998</v>
      </c>
      <c r="I321" s="24">
        <v>2.4308999999999998</v>
      </c>
      <c r="J321" s="24">
        <v>0.87619999999999998</v>
      </c>
      <c r="K321" s="24">
        <v>94</v>
      </c>
      <c r="L321" s="24" t="s">
        <v>4021</v>
      </c>
    </row>
    <row r="322" spans="1:12" x14ac:dyDescent="0.35">
      <c r="A322" s="24" t="s">
        <v>3246</v>
      </c>
      <c r="B322" s="24" t="str">
        <f>"688230"</f>
        <v>688230</v>
      </c>
      <c r="C322" s="24" t="str">
        <f t="shared" si="4"/>
        <v>'688230.SS'</v>
      </c>
      <c r="D322" s="24" t="s">
        <v>4022</v>
      </c>
      <c r="E322" s="24" t="s">
        <v>3508</v>
      </c>
      <c r="F322" s="24">
        <v>2.1993</v>
      </c>
      <c r="G322" s="24">
        <v>4735080000</v>
      </c>
      <c r="H322" s="24">
        <v>46.595500000000001</v>
      </c>
      <c r="I322" s="24">
        <v>45.216999999999999</v>
      </c>
      <c r="J322" s="24">
        <v>6.4896000000000003</v>
      </c>
      <c r="K322" s="24">
        <v>34</v>
      </c>
      <c r="L322" s="24" t="s">
        <v>4023</v>
      </c>
    </row>
    <row r="323" spans="1:12" x14ac:dyDescent="0.35">
      <c r="A323" s="24" t="s">
        <v>3246</v>
      </c>
      <c r="B323" s="24" t="str">
        <f>"688210"</f>
        <v>688210</v>
      </c>
      <c r="C323" s="24" t="str">
        <f t="shared" ref="C323:C386" si="5">CONCATENATE("'",B323,IF(A323="sh",".SS'",".SZ'"))</f>
        <v>'688210.SS'</v>
      </c>
      <c r="D323" s="24" t="s">
        <v>4024</v>
      </c>
      <c r="E323" s="24" t="s">
        <v>3327</v>
      </c>
      <c r="F323" s="24">
        <v>2.1941999999999999</v>
      </c>
      <c r="G323" s="24">
        <v>2588320000</v>
      </c>
      <c r="H323" s="24">
        <v>3.4744000000000002</v>
      </c>
      <c r="I323" s="24">
        <v>3.056</v>
      </c>
      <c r="J323" s="24">
        <v>0.91259999999999997</v>
      </c>
      <c r="K323" s="24">
        <v>15</v>
      </c>
      <c r="L323" s="24" t="s">
        <v>4025</v>
      </c>
    </row>
    <row r="324" spans="1:12" x14ac:dyDescent="0.35">
      <c r="A324" s="24" t="s">
        <v>3246</v>
      </c>
      <c r="B324" s="24" t="str">
        <f>"600419"</f>
        <v>600419</v>
      </c>
      <c r="C324" s="24" t="str">
        <f t="shared" si="5"/>
        <v>'600419.SS'</v>
      </c>
      <c r="D324" s="24" t="s">
        <v>4026</v>
      </c>
      <c r="E324" s="24" t="s">
        <v>3648</v>
      </c>
      <c r="F324" s="24">
        <v>2.1941000000000002</v>
      </c>
      <c r="G324" s="24">
        <v>4972554520.3800001</v>
      </c>
      <c r="H324" s="24">
        <v>1.5547</v>
      </c>
      <c r="I324" s="24">
        <v>1.1041000000000001</v>
      </c>
      <c r="J324" s="24">
        <v>0.97599999999999998</v>
      </c>
      <c r="K324" s="24">
        <v>653</v>
      </c>
      <c r="L324" s="24" t="s">
        <v>4027</v>
      </c>
    </row>
    <row r="325" spans="1:12" x14ac:dyDescent="0.35">
      <c r="A325" s="24" t="s">
        <v>3242</v>
      </c>
      <c r="B325" s="24" t="str">
        <f>"300860"</f>
        <v>300860</v>
      </c>
      <c r="C325" s="24" t="str">
        <f t="shared" si="5"/>
        <v>'300860.SZ'</v>
      </c>
      <c r="D325" s="24" t="s">
        <v>4028</v>
      </c>
      <c r="E325" s="24" t="s">
        <v>4029</v>
      </c>
      <c r="F325" s="24">
        <v>2.1928000000000001</v>
      </c>
      <c r="G325" s="24">
        <v>7108268502.0799999</v>
      </c>
      <c r="H325" s="24">
        <v>6.0614999999999997</v>
      </c>
      <c r="I325" s="24">
        <v>5.8350999999999997</v>
      </c>
      <c r="J325" s="24">
        <v>0.87909999999999999</v>
      </c>
      <c r="K325" s="24">
        <v>99</v>
      </c>
      <c r="L325" s="24" t="s">
        <v>4030</v>
      </c>
    </row>
    <row r="326" spans="1:12" x14ac:dyDescent="0.35">
      <c r="A326" s="24" t="s">
        <v>3242</v>
      </c>
      <c r="B326" s="24" t="str">
        <f>"301027"</f>
        <v>301027</v>
      </c>
      <c r="C326" s="24" t="str">
        <f t="shared" si="5"/>
        <v>'301027.SZ'</v>
      </c>
      <c r="D326" s="24" t="s">
        <v>4031</v>
      </c>
      <c r="E326" s="24" t="s">
        <v>3846</v>
      </c>
      <c r="F326" s="24">
        <v>2.1907999999999999</v>
      </c>
      <c r="G326" s="24">
        <v>2052120000</v>
      </c>
      <c r="H326" s="24">
        <v>1.8663000000000001</v>
      </c>
      <c r="I326" s="24">
        <v>1.7357</v>
      </c>
      <c r="J326" s="24">
        <v>1.0047999999999999</v>
      </c>
      <c r="K326" s="24">
        <v>34</v>
      </c>
      <c r="L326" s="24" t="s">
        <v>4032</v>
      </c>
    </row>
    <row r="327" spans="1:12" x14ac:dyDescent="0.35">
      <c r="A327" s="24" t="s">
        <v>3242</v>
      </c>
      <c r="B327" s="24" t="str">
        <f>"002152"</f>
        <v>002152</v>
      </c>
      <c r="C327" s="24" t="str">
        <f t="shared" si="5"/>
        <v>'002152.SZ'</v>
      </c>
      <c r="D327" s="24" t="s">
        <v>4033</v>
      </c>
      <c r="E327" s="24" t="s">
        <v>3257</v>
      </c>
      <c r="F327" s="24">
        <v>2.1903999999999999</v>
      </c>
      <c r="G327" s="24">
        <v>24933164295.919998</v>
      </c>
      <c r="H327" s="24">
        <v>2.5909</v>
      </c>
      <c r="I327" s="24">
        <v>2.0891000000000002</v>
      </c>
      <c r="J327" s="24">
        <v>1.0386</v>
      </c>
      <c r="K327" s="24">
        <v>16876</v>
      </c>
      <c r="L327" s="24" t="s">
        <v>4034</v>
      </c>
    </row>
    <row r="328" spans="1:12" x14ac:dyDescent="0.35">
      <c r="A328" s="24" t="s">
        <v>3242</v>
      </c>
      <c r="B328" s="24" t="str">
        <f>"300798"</f>
        <v>300798</v>
      </c>
      <c r="C328" s="24" t="str">
        <f t="shared" si="5"/>
        <v>'300798.SZ'</v>
      </c>
      <c r="D328" s="24" t="s">
        <v>4035</v>
      </c>
      <c r="E328" s="24" t="s">
        <v>4036</v>
      </c>
      <c r="F328" s="24">
        <v>2.1827999999999999</v>
      </c>
      <c r="G328" s="24">
        <v>2752976888.9400001</v>
      </c>
      <c r="H328" s="24">
        <v>4.3640999999999996</v>
      </c>
      <c r="I328" s="24">
        <v>3.5209000000000001</v>
      </c>
      <c r="J328" s="24">
        <v>0.81179999999999997</v>
      </c>
      <c r="K328" s="24">
        <v>57</v>
      </c>
      <c r="L328" s="24" t="s">
        <v>4037</v>
      </c>
    </row>
    <row r="329" spans="1:12" x14ac:dyDescent="0.35">
      <c r="A329" s="24" t="s">
        <v>3246</v>
      </c>
      <c r="B329" s="24" t="str">
        <f>"600977"</f>
        <v>600977</v>
      </c>
      <c r="C329" s="24" t="str">
        <f t="shared" si="5"/>
        <v>'600977.SS'</v>
      </c>
      <c r="D329" s="24" t="s">
        <v>4038</v>
      </c>
      <c r="E329" s="24" t="s">
        <v>3305</v>
      </c>
      <c r="F329" s="24">
        <v>2.1798999999999999</v>
      </c>
      <c r="G329" s="24">
        <v>24028290000</v>
      </c>
      <c r="H329" s="24">
        <v>2.6669</v>
      </c>
      <c r="I329" s="24">
        <v>2.2269999999999999</v>
      </c>
      <c r="J329" s="24">
        <v>1.4430000000000001</v>
      </c>
      <c r="K329" s="24">
        <v>566</v>
      </c>
      <c r="L329" s="24" t="s">
        <v>4039</v>
      </c>
    </row>
    <row r="330" spans="1:12" x14ac:dyDescent="0.35">
      <c r="A330" s="24" t="s">
        <v>3242</v>
      </c>
      <c r="B330" s="24" t="str">
        <f>"002790"</f>
        <v>002790</v>
      </c>
      <c r="C330" s="24" t="str">
        <f t="shared" si="5"/>
        <v>'002790.SZ'</v>
      </c>
      <c r="D330" s="24" t="s">
        <v>4040</v>
      </c>
      <c r="E330" s="24" t="s">
        <v>3437</v>
      </c>
      <c r="F330" s="24">
        <v>2.1789999999999998</v>
      </c>
      <c r="G330" s="24">
        <v>4071432010</v>
      </c>
      <c r="H330" s="24">
        <v>4.4812000000000003</v>
      </c>
      <c r="I330" s="24">
        <v>3.593</v>
      </c>
      <c r="J330" s="24">
        <v>1.4903</v>
      </c>
      <c r="K330" s="24">
        <v>143</v>
      </c>
      <c r="L330" s="24" t="s">
        <v>4041</v>
      </c>
    </row>
    <row r="331" spans="1:12" x14ac:dyDescent="0.35">
      <c r="A331" s="24" t="s">
        <v>3242</v>
      </c>
      <c r="B331" s="24" t="str">
        <f>"300105"</f>
        <v>300105</v>
      </c>
      <c r="C331" s="24" t="str">
        <f t="shared" si="5"/>
        <v>'300105.SZ'</v>
      </c>
      <c r="D331" s="24" t="s">
        <v>4042</v>
      </c>
      <c r="E331" s="24" t="s">
        <v>4043</v>
      </c>
      <c r="F331" s="24">
        <v>2.1776</v>
      </c>
      <c r="G331" s="24">
        <v>4105135280.4000001</v>
      </c>
      <c r="H331" s="24">
        <v>4.0648</v>
      </c>
      <c r="I331" s="24">
        <v>3.2040000000000002</v>
      </c>
      <c r="J331" s="24">
        <v>2.2290999999999999</v>
      </c>
      <c r="K331" s="24">
        <v>64</v>
      </c>
      <c r="L331" s="24" t="s">
        <v>4044</v>
      </c>
    </row>
    <row r="332" spans="1:12" x14ac:dyDescent="0.35">
      <c r="A332" s="24" t="s">
        <v>3246</v>
      </c>
      <c r="B332" s="24" t="str">
        <f>"605588"</f>
        <v>605588</v>
      </c>
      <c r="C332" s="24" t="str">
        <f t="shared" si="5"/>
        <v>'605588.SS'</v>
      </c>
      <c r="D332" s="24" t="s">
        <v>4045</v>
      </c>
      <c r="E332" s="24" t="s">
        <v>3248</v>
      </c>
      <c r="F332" s="24">
        <v>2.1760999999999999</v>
      </c>
      <c r="G332" s="24">
        <v>2154244062.6700001</v>
      </c>
      <c r="H332" s="24">
        <v>2.9399000000000002</v>
      </c>
      <c r="I332" s="24">
        <v>2.6303999999999998</v>
      </c>
      <c r="J332" s="24">
        <v>0.89759999999999995</v>
      </c>
      <c r="K332" s="24">
        <v>33</v>
      </c>
      <c r="L332" s="24" t="s">
        <v>4046</v>
      </c>
    </row>
    <row r="333" spans="1:12" x14ac:dyDescent="0.35">
      <c r="A333" s="24" t="s">
        <v>3242</v>
      </c>
      <c r="B333" s="24" t="str">
        <f>"300007"</f>
        <v>300007</v>
      </c>
      <c r="C333" s="24" t="str">
        <f t="shared" si="5"/>
        <v>'300007.SZ'</v>
      </c>
      <c r="D333" s="24" t="s">
        <v>4047</v>
      </c>
      <c r="E333" s="24" t="s">
        <v>3476</v>
      </c>
      <c r="F333" s="24">
        <v>2.1737000000000002</v>
      </c>
      <c r="G333" s="24">
        <v>5817443221.6499996</v>
      </c>
      <c r="H333" s="24">
        <v>2.0026999999999999</v>
      </c>
      <c r="I333" s="24">
        <v>1.5887</v>
      </c>
      <c r="J333" s="24">
        <v>0.8196</v>
      </c>
      <c r="K333" s="24">
        <v>313</v>
      </c>
      <c r="L333" s="24" t="s">
        <v>4048</v>
      </c>
    </row>
    <row r="334" spans="1:12" x14ac:dyDescent="0.35">
      <c r="A334" s="24" t="s">
        <v>3242</v>
      </c>
      <c r="B334" s="24" t="str">
        <f>"002308"</f>
        <v>002308</v>
      </c>
      <c r="C334" s="24" t="str">
        <f t="shared" si="5"/>
        <v>'002308.SZ'</v>
      </c>
      <c r="D334" s="24" t="s">
        <v>4049</v>
      </c>
      <c r="E334" s="24" t="s">
        <v>3257</v>
      </c>
      <c r="F334" s="24">
        <v>2.1736</v>
      </c>
      <c r="G334" s="24">
        <v>4358892471.3100004</v>
      </c>
      <c r="H334" s="24">
        <v>8.7159999999999993</v>
      </c>
      <c r="I334" s="24">
        <v>8.1556999999999995</v>
      </c>
      <c r="J334" s="24">
        <v>5.8560999999999996</v>
      </c>
      <c r="K334" s="24">
        <v>223</v>
      </c>
      <c r="L334" s="24" t="s">
        <v>4050</v>
      </c>
    </row>
    <row r="335" spans="1:12" x14ac:dyDescent="0.35">
      <c r="A335" s="24" t="s">
        <v>3242</v>
      </c>
      <c r="B335" s="24" t="str">
        <f>"301222"</f>
        <v>301222</v>
      </c>
      <c r="C335" s="24" t="str">
        <f t="shared" si="5"/>
        <v>'301222.SZ'</v>
      </c>
      <c r="D335" s="24" t="s">
        <v>4051</v>
      </c>
      <c r="E335" s="24" t="s">
        <v>3693</v>
      </c>
      <c r="F335" s="24">
        <v>2.1714000000000002</v>
      </c>
      <c r="G335" s="24">
        <v>2660001750</v>
      </c>
      <c r="H335" s="24">
        <v>19.883099999999999</v>
      </c>
      <c r="I335" s="24">
        <v>17.627800000000001</v>
      </c>
      <c r="J335" s="24">
        <v>12.4872</v>
      </c>
      <c r="K335" s="24">
        <v>22</v>
      </c>
      <c r="L335" s="24" t="s">
        <v>4052</v>
      </c>
    </row>
    <row r="336" spans="1:12" x14ac:dyDescent="0.35">
      <c r="A336" s="24" t="s">
        <v>3242</v>
      </c>
      <c r="B336" s="24" t="str">
        <f>"002869"</f>
        <v>002869</v>
      </c>
      <c r="C336" s="24" t="str">
        <f t="shared" si="5"/>
        <v>'002869.SZ'</v>
      </c>
      <c r="D336" s="24" t="s">
        <v>4053</v>
      </c>
      <c r="E336" s="24" t="s">
        <v>4054</v>
      </c>
      <c r="F336" s="24">
        <v>2.1686000000000001</v>
      </c>
      <c r="G336" s="24">
        <v>4731309585.3500004</v>
      </c>
      <c r="H336" s="24">
        <v>4.2346000000000004</v>
      </c>
      <c r="I336" s="24">
        <v>3.8986000000000001</v>
      </c>
      <c r="J336" s="24">
        <v>2.1587000000000001</v>
      </c>
      <c r="K336" s="24">
        <v>604</v>
      </c>
      <c r="L336" s="24" t="s">
        <v>4055</v>
      </c>
    </row>
    <row r="337" spans="1:12" x14ac:dyDescent="0.35">
      <c r="A337" s="24" t="s">
        <v>3246</v>
      </c>
      <c r="B337" s="24" t="str">
        <f>"688130"</f>
        <v>688130</v>
      </c>
      <c r="C337" s="24" t="str">
        <f t="shared" si="5"/>
        <v>'688130.SS'</v>
      </c>
      <c r="D337" s="24" t="s">
        <v>4056</v>
      </c>
      <c r="E337" s="24" t="s">
        <v>3389</v>
      </c>
      <c r="F337" s="24">
        <v>2.1665999999999999</v>
      </c>
      <c r="G337" s="24">
        <v>2878720000</v>
      </c>
      <c r="H337" s="24">
        <v>140.23339999999999</v>
      </c>
      <c r="I337" s="24">
        <v>128.30260000000001</v>
      </c>
      <c r="J337" s="24">
        <v>99.281400000000005</v>
      </c>
      <c r="K337" s="24">
        <v>10</v>
      </c>
      <c r="L337" s="24" t="s">
        <v>4057</v>
      </c>
    </row>
    <row r="338" spans="1:12" x14ac:dyDescent="0.35">
      <c r="A338" s="24" t="s">
        <v>3242</v>
      </c>
      <c r="B338" s="24" t="str">
        <f>"002773"</f>
        <v>002773</v>
      </c>
      <c r="C338" s="24" t="str">
        <f t="shared" si="5"/>
        <v>'002773.SZ'</v>
      </c>
      <c r="D338" s="24" t="s">
        <v>4058</v>
      </c>
      <c r="E338" s="24" t="s">
        <v>3696</v>
      </c>
      <c r="F338" s="24">
        <v>2.1616</v>
      </c>
      <c r="G338" s="24">
        <v>14610282229.059999</v>
      </c>
      <c r="H338" s="24">
        <v>5.4499000000000004</v>
      </c>
      <c r="I338" s="24">
        <v>4.9473000000000003</v>
      </c>
      <c r="J338" s="24">
        <v>2.2703000000000002</v>
      </c>
      <c r="K338" s="24">
        <v>5280</v>
      </c>
      <c r="L338" s="24" t="s">
        <v>4059</v>
      </c>
    </row>
    <row r="339" spans="1:12" x14ac:dyDescent="0.35">
      <c r="A339" s="24" t="s">
        <v>3242</v>
      </c>
      <c r="B339" s="24" t="str">
        <f>"002825"</f>
        <v>002825</v>
      </c>
      <c r="C339" s="24" t="str">
        <f t="shared" si="5"/>
        <v>'002825.SZ'</v>
      </c>
      <c r="D339" s="24" t="s">
        <v>4060</v>
      </c>
      <c r="E339" s="24" t="s">
        <v>3733</v>
      </c>
      <c r="F339" s="24">
        <v>2.1604000000000001</v>
      </c>
      <c r="G339" s="24">
        <v>3055807484.23</v>
      </c>
      <c r="H339" s="24">
        <v>2.1324000000000001</v>
      </c>
      <c r="I339" s="24">
        <v>1.7303999999999999</v>
      </c>
      <c r="J339" s="24">
        <v>0.96919999999999995</v>
      </c>
      <c r="K339" s="24">
        <v>111</v>
      </c>
      <c r="L339" s="24" t="s">
        <v>4061</v>
      </c>
    </row>
    <row r="340" spans="1:12" x14ac:dyDescent="0.35">
      <c r="A340" s="24" t="s">
        <v>3242</v>
      </c>
      <c r="B340" s="24" t="str">
        <f>"300236"</f>
        <v>300236</v>
      </c>
      <c r="C340" s="24" t="str">
        <f t="shared" si="5"/>
        <v>'300236.SZ'</v>
      </c>
      <c r="D340" s="24" t="s">
        <v>4062</v>
      </c>
      <c r="E340" s="24" t="s">
        <v>3907</v>
      </c>
      <c r="F340" s="24">
        <v>2.1591</v>
      </c>
      <c r="G340" s="24">
        <v>8978377167.2999992</v>
      </c>
      <c r="H340" s="24">
        <v>2.6107</v>
      </c>
      <c r="I340" s="24">
        <v>2.1772</v>
      </c>
      <c r="J340" s="24">
        <v>0.9365</v>
      </c>
      <c r="K340" s="24">
        <v>429</v>
      </c>
      <c r="L340" s="24" t="s">
        <v>4063</v>
      </c>
    </row>
    <row r="341" spans="1:12" x14ac:dyDescent="0.35">
      <c r="A341" s="24" t="s">
        <v>3242</v>
      </c>
      <c r="B341" s="24" t="str">
        <f>"301003"</f>
        <v>301003</v>
      </c>
      <c r="C341" s="24" t="str">
        <f t="shared" si="5"/>
        <v>'301003.SZ'</v>
      </c>
      <c r="D341" s="24" t="s">
        <v>4064</v>
      </c>
      <c r="E341" s="24" t="s">
        <v>3896</v>
      </c>
      <c r="F341" s="24">
        <v>2.1577000000000002</v>
      </c>
      <c r="G341" s="24">
        <v>2343601858.7800002</v>
      </c>
      <c r="H341" s="24">
        <v>10.3817</v>
      </c>
      <c r="I341" s="24">
        <v>9.3506999999999998</v>
      </c>
      <c r="J341" s="24">
        <v>4.5377999999999998</v>
      </c>
      <c r="K341" s="24">
        <v>38</v>
      </c>
      <c r="L341" s="24" t="s">
        <v>4065</v>
      </c>
    </row>
    <row r="342" spans="1:12" x14ac:dyDescent="0.35">
      <c r="A342" s="24" t="s">
        <v>3242</v>
      </c>
      <c r="B342" s="24" t="str">
        <f>"301163"</f>
        <v>301163</v>
      </c>
      <c r="C342" s="24" t="str">
        <f t="shared" si="5"/>
        <v>'301163.SZ'</v>
      </c>
      <c r="D342" s="24" t="s">
        <v>4066</v>
      </c>
      <c r="E342" s="24" t="s">
        <v>4067</v>
      </c>
      <c r="F342" s="24">
        <v>2.1577000000000002</v>
      </c>
      <c r="G342" s="24">
        <v>2328048000</v>
      </c>
      <c r="H342" s="24">
        <v>3.4613</v>
      </c>
      <c r="I342" s="24">
        <v>2.5356999999999998</v>
      </c>
      <c r="J342" s="24">
        <v>1.1981999999999999</v>
      </c>
      <c r="K342" s="24">
        <v>16</v>
      </c>
      <c r="L342" s="24" t="s">
        <v>4068</v>
      </c>
    </row>
    <row r="343" spans="1:12" x14ac:dyDescent="0.35">
      <c r="A343" s="24" t="s">
        <v>3242</v>
      </c>
      <c r="B343" s="24" t="str">
        <f>"301047"</f>
        <v>301047</v>
      </c>
      <c r="C343" s="24" t="str">
        <f t="shared" si="5"/>
        <v>'301047.SZ'</v>
      </c>
      <c r="D343" s="24" t="s">
        <v>4069</v>
      </c>
      <c r="E343" s="24" t="s">
        <v>3282</v>
      </c>
      <c r="F343" s="24">
        <v>2.1570999999999998</v>
      </c>
      <c r="G343" s="24">
        <v>13677112000</v>
      </c>
      <c r="H343" s="24">
        <v>50.939900000000002</v>
      </c>
      <c r="I343" s="24">
        <v>50.514499999999998</v>
      </c>
      <c r="J343" s="24">
        <v>19.408000000000001</v>
      </c>
      <c r="K343" s="24">
        <v>90</v>
      </c>
      <c r="L343" s="24" t="s">
        <v>4070</v>
      </c>
    </row>
    <row r="344" spans="1:12" x14ac:dyDescent="0.35">
      <c r="A344" s="24" t="s">
        <v>3246</v>
      </c>
      <c r="B344" s="24" t="str">
        <f>"605136"</f>
        <v>605136</v>
      </c>
      <c r="C344" s="24" t="str">
        <f t="shared" si="5"/>
        <v>'605136.SS'</v>
      </c>
      <c r="D344" s="24" t="s">
        <v>4071</v>
      </c>
      <c r="E344" s="24" t="s">
        <v>3755</v>
      </c>
      <c r="F344" s="24">
        <v>2.1539000000000001</v>
      </c>
      <c r="G344" s="24">
        <v>5594405245</v>
      </c>
      <c r="H344" s="24">
        <v>6.4912000000000001</v>
      </c>
      <c r="I344" s="24">
        <v>3.0103</v>
      </c>
      <c r="J344" s="24">
        <v>2.1071</v>
      </c>
      <c r="K344" s="24">
        <v>109</v>
      </c>
      <c r="L344" s="24" t="s">
        <v>4072</v>
      </c>
    </row>
    <row r="345" spans="1:12" x14ac:dyDescent="0.35">
      <c r="A345" s="24" t="s">
        <v>3246</v>
      </c>
      <c r="B345" s="24" t="str">
        <f>"605507"</f>
        <v>605507</v>
      </c>
      <c r="C345" s="24" t="str">
        <f t="shared" si="5"/>
        <v>'605507.SS'</v>
      </c>
      <c r="D345" s="24" t="s">
        <v>4073</v>
      </c>
      <c r="E345" s="24" t="s">
        <v>3658</v>
      </c>
      <c r="F345" s="24">
        <v>2.1532</v>
      </c>
      <c r="G345" s="24">
        <v>14976469800</v>
      </c>
      <c r="H345" s="24">
        <v>2.9007999999999998</v>
      </c>
      <c r="I345" s="24">
        <v>2.0084</v>
      </c>
      <c r="J345" s="24">
        <v>1.0686</v>
      </c>
      <c r="K345" s="24">
        <v>39</v>
      </c>
      <c r="L345" s="24" t="s">
        <v>4074</v>
      </c>
    </row>
    <row r="346" spans="1:12" x14ac:dyDescent="0.35">
      <c r="A346" s="24" t="s">
        <v>3242</v>
      </c>
      <c r="B346" s="24" t="str">
        <f>"300042"</f>
        <v>300042</v>
      </c>
      <c r="C346" s="24" t="str">
        <f t="shared" si="5"/>
        <v>'300042.SZ'</v>
      </c>
      <c r="D346" s="24" t="s">
        <v>4075</v>
      </c>
      <c r="E346" s="24" t="s">
        <v>3257</v>
      </c>
      <c r="F346" s="24">
        <v>2.1486000000000001</v>
      </c>
      <c r="G346" s="24">
        <v>2494980000</v>
      </c>
      <c r="H346" s="24">
        <v>8.6242999999999999</v>
      </c>
      <c r="I346" s="24">
        <v>7.0754999999999999</v>
      </c>
      <c r="J346" s="24">
        <v>1.5743</v>
      </c>
      <c r="K346" s="24">
        <v>121</v>
      </c>
      <c r="L346" s="24" t="s">
        <v>4076</v>
      </c>
    </row>
    <row r="347" spans="1:12" x14ac:dyDescent="0.35">
      <c r="A347" s="24" t="s">
        <v>3246</v>
      </c>
      <c r="B347" s="24" t="str">
        <f>"688163"</f>
        <v>688163</v>
      </c>
      <c r="C347" s="24" t="str">
        <f t="shared" si="5"/>
        <v>'688163.SS'</v>
      </c>
      <c r="D347" s="24" t="s">
        <v>4077</v>
      </c>
      <c r="E347" s="24" t="s">
        <v>3282</v>
      </c>
      <c r="F347" s="24">
        <v>2.1461999999999999</v>
      </c>
      <c r="G347" s="24">
        <v>2403566200</v>
      </c>
      <c r="H347" s="24">
        <v>36.810299999999998</v>
      </c>
      <c r="I347" s="24">
        <v>34.905200000000001</v>
      </c>
      <c r="J347" s="24">
        <v>4.1307</v>
      </c>
      <c r="K347" s="24">
        <v>28</v>
      </c>
      <c r="L347" s="24" t="s">
        <v>4078</v>
      </c>
    </row>
    <row r="348" spans="1:12" x14ac:dyDescent="0.35">
      <c r="A348" s="24" t="s">
        <v>3246</v>
      </c>
      <c r="B348" s="24" t="str">
        <f>"600868"</f>
        <v>600868</v>
      </c>
      <c r="C348" s="24" t="str">
        <f t="shared" si="5"/>
        <v>'600868.SS'</v>
      </c>
      <c r="D348" s="24" t="s">
        <v>4079</v>
      </c>
      <c r="E348" s="24" t="s">
        <v>3846</v>
      </c>
      <c r="F348" s="24">
        <v>2.1423000000000001</v>
      </c>
      <c r="G348" s="24">
        <v>5125001433.3000002</v>
      </c>
      <c r="H348" s="24">
        <v>3.5196000000000001</v>
      </c>
      <c r="I348" s="24">
        <v>3.0642</v>
      </c>
      <c r="J348" s="24">
        <v>1.2299</v>
      </c>
      <c r="K348" s="24">
        <v>132</v>
      </c>
      <c r="L348" s="24" t="s">
        <v>4080</v>
      </c>
    </row>
    <row r="349" spans="1:12" x14ac:dyDescent="0.35">
      <c r="A349" s="24" t="s">
        <v>3242</v>
      </c>
      <c r="B349" s="24" t="str">
        <f>"002332"</f>
        <v>002332</v>
      </c>
      <c r="C349" s="24" t="str">
        <f t="shared" si="5"/>
        <v>'002332.SZ'</v>
      </c>
      <c r="D349" s="24" t="s">
        <v>4081</v>
      </c>
      <c r="E349" s="24" t="s">
        <v>3658</v>
      </c>
      <c r="F349" s="24">
        <v>2.1362999999999999</v>
      </c>
      <c r="G349" s="24">
        <v>11079094499.200001</v>
      </c>
      <c r="H349" s="24">
        <v>3.1059999999999999</v>
      </c>
      <c r="I349" s="24">
        <v>2.3130999999999999</v>
      </c>
      <c r="J349" s="24">
        <v>1.0525</v>
      </c>
      <c r="K349" s="24">
        <v>422</v>
      </c>
      <c r="L349" s="24" t="s">
        <v>4082</v>
      </c>
    </row>
    <row r="350" spans="1:12" x14ac:dyDescent="0.35">
      <c r="A350" s="24" t="s">
        <v>3246</v>
      </c>
      <c r="B350" s="24" t="str">
        <f>"603015"</f>
        <v>603015</v>
      </c>
      <c r="C350" s="24" t="str">
        <f t="shared" si="5"/>
        <v>'603015.SS'</v>
      </c>
      <c r="D350" s="24" t="s">
        <v>4083</v>
      </c>
      <c r="E350" s="24" t="s">
        <v>3268</v>
      </c>
      <c r="F350" s="24">
        <v>2.1347</v>
      </c>
      <c r="G350" s="24">
        <v>2801237670</v>
      </c>
      <c r="H350" s="24">
        <v>3.2543000000000002</v>
      </c>
      <c r="I350" s="24">
        <v>2.0346000000000002</v>
      </c>
      <c r="J350" s="24">
        <v>0.83079999999999998</v>
      </c>
      <c r="K350" s="24">
        <v>105</v>
      </c>
      <c r="L350" s="24" t="s">
        <v>4084</v>
      </c>
    </row>
    <row r="351" spans="1:12" x14ac:dyDescent="0.35">
      <c r="A351" s="24" t="s">
        <v>3246</v>
      </c>
      <c r="B351" s="24" t="str">
        <f>"600573"</f>
        <v>600573</v>
      </c>
      <c r="C351" s="24" t="str">
        <f t="shared" si="5"/>
        <v>'600573.SS'</v>
      </c>
      <c r="D351" s="24" t="s">
        <v>4085</v>
      </c>
      <c r="E351" s="24" t="s">
        <v>4086</v>
      </c>
      <c r="F351" s="24">
        <v>2.1337000000000002</v>
      </c>
      <c r="G351" s="24">
        <v>2605000000</v>
      </c>
      <c r="H351" s="24">
        <v>5.0444000000000004</v>
      </c>
      <c r="I351" s="24">
        <v>4.6859999999999999</v>
      </c>
      <c r="J351" s="24">
        <v>4.2173999999999996</v>
      </c>
      <c r="K351" s="24">
        <v>195</v>
      </c>
      <c r="L351" s="24" t="s">
        <v>4087</v>
      </c>
    </row>
    <row r="352" spans="1:12" x14ac:dyDescent="0.35">
      <c r="A352" s="24" t="s">
        <v>3242</v>
      </c>
      <c r="B352" s="24" t="str">
        <f>"002658"</f>
        <v>002658</v>
      </c>
      <c r="C352" s="24" t="str">
        <f t="shared" si="5"/>
        <v>'002658.SZ'</v>
      </c>
      <c r="D352" s="24" t="s">
        <v>4088</v>
      </c>
      <c r="E352" s="24" t="s">
        <v>3843</v>
      </c>
      <c r="F352" s="24">
        <v>2.1309</v>
      </c>
      <c r="G352" s="24">
        <v>5406359767.3800001</v>
      </c>
      <c r="H352" s="24">
        <v>5.7621000000000002</v>
      </c>
      <c r="I352" s="24">
        <v>4.46</v>
      </c>
      <c r="J352" s="24">
        <v>0.98839999999999995</v>
      </c>
      <c r="K352" s="24">
        <v>240</v>
      </c>
      <c r="L352" s="24" t="s">
        <v>4089</v>
      </c>
    </row>
    <row r="353" spans="1:12" x14ac:dyDescent="0.35">
      <c r="A353" s="24" t="s">
        <v>3242</v>
      </c>
      <c r="B353" s="24" t="str">
        <f>"300139"</f>
        <v>300139</v>
      </c>
      <c r="C353" s="24" t="str">
        <f t="shared" si="5"/>
        <v>'300139.SZ'</v>
      </c>
      <c r="D353" s="24" t="s">
        <v>4090</v>
      </c>
      <c r="E353" s="24" t="s">
        <v>3308</v>
      </c>
      <c r="F353" s="24">
        <v>2.1278999999999999</v>
      </c>
      <c r="G353" s="24">
        <v>2153640000</v>
      </c>
      <c r="H353" s="24">
        <v>6.3696000000000002</v>
      </c>
      <c r="I353" s="24">
        <v>5.68</v>
      </c>
      <c r="J353" s="24">
        <v>4.1037999999999997</v>
      </c>
      <c r="K353" s="24">
        <v>152</v>
      </c>
      <c r="L353" s="24" t="s">
        <v>4091</v>
      </c>
    </row>
    <row r="354" spans="1:12" x14ac:dyDescent="0.35">
      <c r="A354" s="24" t="s">
        <v>3242</v>
      </c>
      <c r="B354" s="24" t="str">
        <f>"000729"</f>
        <v>000729</v>
      </c>
      <c r="C354" s="24" t="str">
        <f t="shared" si="5"/>
        <v>'000729.SZ'</v>
      </c>
      <c r="D354" s="24" t="s">
        <v>4092</v>
      </c>
      <c r="E354" s="24" t="s">
        <v>4086</v>
      </c>
      <c r="F354" s="24">
        <v>2.1267</v>
      </c>
      <c r="G354" s="24">
        <v>29707404654.139999</v>
      </c>
      <c r="H354" s="24">
        <v>1.5858000000000001</v>
      </c>
      <c r="I354" s="24">
        <v>1.1005</v>
      </c>
      <c r="J354" s="24">
        <v>0.98129999999999995</v>
      </c>
      <c r="K354" s="24">
        <v>642</v>
      </c>
      <c r="L354" s="24" t="s">
        <v>4093</v>
      </c>
    </row>
    <row r="355" spans="1:12" x14ac:dyDescent="0.35">
      <c r="A355" s="24" t="s">
        <v>3246</v>
      </c>
      <c r="B355" s="24" t="str">
        <f>"603698"</f>
        <v>603698</v>
      </c>
      <c r="C355" s="24" t="str">
        <f t="shared" si="5"/>
        <v>'603698.SS'</v>
      </c>
      <c r="D355" s="24" t="s">
        <v>4094</v>
      </c>
      <c r="E355" s="24" t="s">
        <v>3840</v>
      </c>
      <c r="F355" s="24">
        <v>2.1242000000000001</v>
      </c>
      <c r="G355" s="24">
        <v>6506918600</v>
      </c>
      <c r="H355" s="24">
        <v>2.2768000000000002</v>
      </c>
      <c r="I355" s="24">
        <v>1.4826999999999999</v>
      </c>
      <c r="J355" s="24">
        <v>1.0279</v>
      </c>
      <c r="K355" s="24">
        <v>116</v>
      </c>
      <c r="L355" s="24" t="s">
        <v>4095</v>
      </c>
    </row>
    <row r="356" spans="1:12" x14ac:dyDescent="0.35">
      <c r="A356" s="24" t="s">
        <v>3246</v>
      </c>
      <c r="B356" s="24" t="str">
        <f>"688039"</f>
        <v>688039</v>
      </c>
      <c r="C356" s="24" t="str">
        <f t="shared" si="5"/>
        <v>'688039.SS'</v>
      </c>
      <c r="D356" s="24" t="s">
        <v>4096</v>
      </c>
      <c r="E356" s="24" t="s">
        <v>3722</v>
      </c>
      <c r="F356" s="24">
        <v>2.1217000000000001</v>
      </c>
      <c r="G356" s="24">
        <v>3023916225</v>
      </c>
      <c r="H356" s="24">
        <v>4.7381000000000002</v>
      </c>
      <c r="I356" s="24">
        <v>3.8117000000000001</v>
      </c>
      <c r="J356" s="24">
        <v>2.1259999999999999</v>
      </c>
      <c r="K356" s="24">
        <v>162</v>
      </c>
      <c r="L356" s="24" t="s">
        <v>4097</v>
      </c>
    </row>
    <row r="357" spans="1:12" x14ac:dyDescent="0.35">
      <c r="A357" s="24" t="s">
        <v>3242</v>
      </c>
      <c r="B357" s="24" t="str">
        <f>"002273"</f>
        <v>002273</v>
      </c>
      <c r="C357" s="24" t="str">
        <f t="shared" si="5"/>
        <v>'002273.SZ'</v>
      </c>
      <c r="D357" s="24" t="s">
        <v>4098</v>
      </c>
      <c r="E357" s="24" t="s">
        <v>3248</v>
      </c>
      <c r="F357" s="24">
        <v>2.1082000000000001</v>
      </c>
      <c r="G357" s="24">
        <v>17146495284.93</v>
      </c>
      <c r="H357" s="24">
        <v>3.3246000000000002</v>
      </c>
      <c r="I357" s="24">
        <v>2.7471999999999999</v>
      </c>
      <c r="J357" s="24">
        <v>1.8660000000000001</v>
      </c>
      <c r="K357" s="24">
        <v>980</v>
      </c>
      <c r="L357" s="24" t="s">
        <v>4099</v>
      </c>
    </row>
    <row r="358" spans="1:12" x14ac:dyDescent="0.35">
      <c r="A358" s="24" t="s">
        <v>3246</v>
      </c>
      <c r="B358" s="24" t="str">
        <f>"603859"</f>
        <v>603859</v>
      </c>
      <c r="C358" s="24" t="str">
        <f t="shared" si="5"/>
        <v>'603859.SS'</v>
      </c>
      <c r="D358" s="24" t="s">
        <v>4100</v>
      </c>
      <c r="E358" s="24" t="s">
        <v>3722</v>
      </c>
      <c r="F358" s="24">
        <v>2.1021999999999998</v>
      </c>
      <c r="G358" s="24">
        <v>5043689123.2399998</v>
      </c>
      <c r="H358" s="24">
        <v>4.5225999999999997</v>
      </c>
      <c r="I358" s="24">
        <v>3.8391999999999999</v>
      </c>
      <c r="J358" s="24">
        <v>1.1279999999999999</v>
      </c>
      <c r="K358" s="24">
        <v>211</v>
      </c>
      <c r="L358" s="24" t="s">
        <v>4101</v>
      </c>
    </row>
    <row r="359" spans="1:12" x14ac:dyDescent="0.35">
      <c r="A359" s="24" t="s">
        <v>3246</v>
      </c>
      <c r="B359" s="24" t="str">
        <f>"600201"</f>
        <v>600201</v>
      </c>
      <c r="C359" s="24" t="str">
        <f t="shared" si="5"/>
        <v>'600201.SS'</v>
      </c>
      <c r="D359" s="24" t="s">
        <v>4102</v>
      </c>
      <c r="E359" s="24" t="s">
        <v>4103</v>
      </c>
      <c r="F359" s="24">
        <v>2.1015999999999999</v>
      </c>
      <c r="G359" s="24">
        <v>10755544569.6</v>
      </c>
      <c r="H359" s="24">
        <v>3.9315000000000002</v>
      </c>
      <c r="I359" s="24">
        <v>3.4618000000000002</v>
      </c>
      <c r="J359" s="24">
        <v>1.7433000000000001</v>
      </c>
      <c r="K359" s="24">
        <v>1752</v>
      </c>
      <c r="L359" s="24" t="s">
        <v>4104</v>
      </c>
    </row>
    <row r="360" spans="1:12" x14ac:dyDescent="0.35">
      <c r="A360" s="24" t="s">
        <v>3246</v>
      </c>
      <c r="B360" s="24" t="str">
        <f>"688325"</f>
        <v>688325</v>
      </c>
      <c r="C360" s="24" t="str">
        <f t="shared" si="5"/>
        <v>'688325.SS'</v>
      </c>
      <c r="D360" s="24" t="s">
        <v>4105</v>
      </c>
      <c r="E360" s="24" t="s">
        <v>3389</v>
      </c>
      <c r="F360" s="24">
        <v>2.1</v>
      </c>
      <c r="G360" s="24">
        <v>3397600000</v>
      </c>
      <c r="H360" s="24">
        <v>33.059800000000003</v>
      </c>
      <c r="I360" s="24">
        <v>31.083600000000001</v>
      </c>
      <c r="J360" s="24">
        <v>22.708500000000001</v>
      </c>
      <c r="K360" s="24">
        <v>22</v>
      </c>
      <c r="L360" s="24" t="s">
        <v>4106</v>
      </c>
    </row>
    <row r="361" spans="1:12" x14ac:dyDescent="0.35">
      <c r="A361" s="24" t="s">
        <v>3242</v>
      </c>
      <c r="B361" s="24" t="str">
        <f>"002229"</f>
        <v>002229</v>
      </c>
      <c r="C361" s="24" t="str">
        <f t="shared" si="5"/>
        <v>'002229.SZ'</v>
      </c>
      <c r="D361" s="24" t="s">
        <v>4107</v>
      </c>
      <c r="E361" s="24" t="s">
        <v>4108</v>
      </c>
      <c r="F361" s="24">
        <v>2.0998999999999999</v>
      </c>
      <c r="G361" s="24">
        <v>3448542299.96</v>
      </c>
      <c r="H361" s="24">
        <v>2.5108999999999999</v>
      </c>
      <c r="I361" s="24">
        <v>2.2913999999999999</v>
      </c>
      <c r="J361" s="24">
        <v>1.8087</v>
      </c>
      <c r="K361" s="24">
        <v>122</v>
      </c>
      <c r="L361" s="24" t="s">
        <v>4109</v>
      </c>
    </row>
    <row r="362" spans="1:12" x14ac:dyDescent="0.35">
      <c r="A362" s="24" t="s">
        <v>3242</v>
      </c>
      <c r="B362" s="24" t="str">
        <f>"002705"</f>
        <v>002705</v>
      </c>
      <c r="C362" s="24" t="str">
        <f t="shared" si="5"/>
        <v>'002705.SZ'</v>
      </c>
      <c r="D362" s="24" t="s">
        <v>4110</v>
      </c>
      <c r="E362" s="24" t="s">
        <v>3386</v>
      </c>
      <c r="F362" s="24">
        <v>2.0988000000000002</v>
      </c>
      <c r="G362" s="24">
        <v>14376796094.200001</v>
      </c>
      <c r="H362" s="24">
        <v>1.5443</v>
      </c>
      <c r="I362" s="24">
        <v>1.2412000000000001</v>
      </c>
      <c r="J362" s="24">
        <v>0.81420000000000003</v>
      </c>
      <c r="K362" s="24">
        <v>1128</v>
      </c>
      <c r="L362" s="24" t="s">
        <v>4111</v>
      </c>
    </row>
    <row r="363" spans="1:12" x14ac:dyDescent="0.35">
      <c r="A363" s="24" t="s">
        <v>3246</v>
      </c>
      <c r="B363" s="24" t="str">
        <f>"600054"</f>
        <v>600054</v>
      </c>
      <c r="C363" s="24" t="str">
        <f t="shared" si="5"/>
        <v>'600054.SS'</v>
      </c>
      <c r="D363" s="24" t="s">
        <v>4112</v>
      </c>
      <c r="E363" s="24" t="s">
        <v>3397</v>
      </c>
      <c r="F363" s="24">
        <v>2.0975000000000001</v>
      </c>
      <c r="G363" s="24">
        <v>8708790513.6000004</v>
      </c>
      <c r="H363" s="24">
        <v>5.3994999999999997</v>
      </c>
      <c r="I363" s="24">
        <v>4.5034999999999998</v>
      </c>
      <c r="J363" s="24">
        <v>2.5396999999999998</v>
      </c>
      <c r="K363" s="24">
        <v>389</v>
      </c>
      <c r="L363" s="24" t="s">
        <v>4113</v>
      </c>
    </row>
    <row r="364" spans="1:12" x14ac:dyDescent="0.35">
      <c r="A364" s="24" t="s">
        <v>3242</v>
      </c>
      <c r="B364" s="24" t="str">
        <f>"300170"</f>
        <v>300170</v>
      </c>
      <c r="C364" s="24" t="str">
        <f t="shared" si="5"/>
        <v>'300170.SZ'</v>
      </c>
      <c r="D364" s="24" t="s">
        <v>4114</v>
      </c>
      <c r="E364" s="24" t="s">
        <v>3722</v>
      </c>
      <c r="F364" s="24">
        <v>2.0943000000000001</v>
      </c>
      <c r="G364" s="24">
        <v>7759269346.8000002</v>
      </c>
      <c r="H364" s="24">
        <v>4.8948999999999998</v>
      </c>
      <c r="I364" s="24">
        <v>4.1037999999999997</v>
      </c>
      <c r="J364" s="24">
        <v>2.0531000000000001</v>
      </c>
      <c r="K364" s="24">
        <v>3202</v>
      </c>
      <c r="L364" s="24" t="s">
        <v>4115</v>
      </c>
    </row>
    <row r="365" spans="1:12" x14ac:dyDescent="0.35">
      <c r="A365" s="24" t="s">
        <v>3242</v>
      </c>
      <c r="B365" s="24" t="str">
        <f>"300562"</f>
        <v>300562</v>
      </c>
      <c r="C365" s="24" t="str">
        <f t="shared" si="5"/>
        <v>'300562.SZ'</v>
      </c>
      <c r="D365" s="24" t="s">
        <v>4116</v>
      </c>
      <c r="E365" s="24" t="s">
        <v>3443</v>
      </c>
      <c r="F365" s="24">
        <v>2.0941999999999998</v>
      </c>
      <c r="G365" s="24">
        <v>2243627414.5999999</v>
      </c>
      <c r="H365" s="24">
        <v>2.0728</v>
      </c>
      <c r="I365" s="24">
        <v>1.7715000000000001</v>
      </c>
      <c r="J365" s="24">
        <v>1.0687</v>
      </c>
      <c r="K365" s="24">
        <v>156</v>
      </c>
      <c r="L365" s="24" t="s">
        <v>4117</v>
      </c>
    </row>
    <row r="366" spans="1:12" x14ac:dyDescent="0.35">
      <c r="A366" s="24" t="s">
        <v>3242</v>
      </c>
      <c r="B366" s="24" t="str">
        <f>"300429"</f>
        <v>300429</v>
      </c>
      <c r="C366" s="24" t="str">
        <f t="shared" si="5"/>
        <v>'300429.SZ'</v>
      </c>
      <c r="D366" s="24" t="s">
        <v>4118</v>
      </c>
      <c r="E366" s="24" t="s">
        <v>3907</v>
      </c>
      <c r="F366" s="24">
        <v>2.0911</v>
      </c>
      <c r="G366" s="24">
        <v>3859305249.52</v>
      </c>
      <c r="H366" s="24">
        <v>2.3532000000000002</v>
      </c>
      <c r="I366" s="24">
        <v>1.6978</v>
      </c>
      <c r="J366" s="24">
        <v>1.0091000000000001</v>
      </c>
      <c r="K366" s="24">
        <v>264</v>
      </c>
      <c r="L366" s="24" t="s">
        <v>4119</v>
      </c>
    </row>
    <row r="367" spans="1:12" x14ac:dyDescent="0.35">
      <c r="A367" s="24" t="s">
        <v>3242</v>
      </c>
      <c r="B367" s="24" t="str">
        <f>"300901"</f>
        <v>300901</v>
      </c>
      <c r="C367" s="24" t="str">
        <f t="shared" si="5"/>
        <v>'300901.SZ'</v>
      </c>
      <c r="D367" s="24" t="s">
        <v>4120</v>
      </c>
      <c r="E367" s="24" t="s">
        <v>4121</v>
      </c>
      <c r="F367" s="24">
        <v>2.0891999999999999</v>
      </c>
      <c r="G367" s="24">
        <v>2193600000</v>
      </c>
      <c r="H367" s="24">
        <v>4.7702</v>
      </c>
      <c r="I367" s="24">
        <v>4.5709999999999997</v>
      </c>
      <c r="J367" s="24">
        <v>2.9302999999999999</v>
      </c>
      <c r="K367" s="24">
        <v>47</v>
      </c>
      <c r="L367" s="24" t="s">
        <v>4122</v>
      </c>
    </row>
    <row r="368" spans="1:12" x14ac:dyDescent="0.35">
      <c r="A368" s="24" t="s">
        <v>3242</v>
      </c>
      <c r="B368" s="24" t="str">
        <f>"002900"</f>
        <v>002900</v>
      </c>
      <c r="C368" s="24" t="str">
        <f t="shared" si="5"/>
        <v>'002900.SZ'</v>
      </c>
      <c r="D368" s="24" t="s">
        <v>4123</v>
      </c>
      <c r="E368" s="24" t="s">
        <v>3696</v>
      </c>
      <c r="F368" s="24">
        <v>2.0886</v>
      </c>
      <c r="G368" s="24">
        <v>4226610667.5</v>
      </c>
      <c r="H368" s="24">
        <v>2.7183999999999999</v>
      </c>
      <c r="I368" s="24">
        <v>2.3910999999999998</v>
      </c>
      <c r="J368" s="24">
        <v>2.0358000000000001</v>
      </c>
      <c r="K368" s="24">
        <v>185</v>
      </c>
      <c r="L368" s="24" t="s">
        <v>4124</v>
      </c>
    </row>
    <row r="369" spans="1:12" x14ac:dyDescent="0.35">
      <c r="A369" s="24" t="s">
        <v>3242</v>
      </c>
      <c r="B369" s="24" t="str">
        <f>"002495"</f>
        <v>002495</v>
      </c>
      <c r="C369" s="24" t="str">
        <f t="shared" si="5"/>
        <v>'002495.SZ'</v>
      </c>
      <c r="D369" s="24" t="s">
        <v>4125</v>
      </c>
      <c r="E369" s="24" t="s">
        <v>3899</v>
      </c>
      <c r="F369" s="24">
        <v>2.0764999999999998</v>
      </c>
      <c r="G369" s="24">
        <v>2526189120</v>
      </c>
      <c r="H369" s="24">
        <v>11.0251</v>
      </c>
      <c r="I369" s="24">
        <v>10.1363</v>
      </c>
      <c r="J369" s="24">
        <v>8.6793999999999993</v>
      </c>
      <c r="K369" s="24">
        <v>119</v>
      </c>
      <c r="L369" s="24" t="s">
        <v>4126</v>
      </c>
    </row>
    <row r="370" spans="1:12" x14ac:dyDescent="0.35">
      <c r="A370" s="24" t="s">
        <v>3246</v>
      </c>
      <c r="B370" s="24" t="str">
        <f>"603711"</f>
        <v>603711</v>
      </c>
      <c r="C370" s="24" t="str">
        <f t="shared" si="5"/>
        <v>'603711.SS'</v>
      </c>
      <c r="D370" s="24" t="s">
        <v>4127</v>
      </c>
      <c r="E370" s="24" t="s">
        <v>4128</v>
      </c>
      <c r="F370" s="24">
        <v>2.0733999999999999</v>
      </c>
      <c r="G370" s="24">
        <v>5873664940</v>
      </c>
      <c r="H370" s="24">
        <v>1.6081000000000001</v>
      </c>
      <c r="I370" s="24">
        <v>1.3660000000000001</v>
      </c>
      <c r="J370" s="24">
        <v>1.1815</v>
      </c>
      <c r="K370" s="24">
        <v>393</v>
      </c>
      <c r="L370" s="24" t="s">
        <v>4129</v>
      </c>
    </row>
    <row r="371" spans="1:12" x14ac:dyDescent="0.35">
      <c r="A371" s="24" t="s">
        <v>3242</v>
      </c>
      <c r="B371" s="24" t="str">
        <f>"300130"</f>
        <v>300130</v>
      </c>
      <c r="C371" s="24" t="str">
        <f t="shared" si="5"/>
        <v>'300130.SZ'</v>
      </c>
      <c r="D371" s="24" t="s">
        <v>4130</v>
      </c>
      <c r="E371" s="24" t="s">
        <v>3257</v>
      </c>
      <c r="F371" s="24">
        <v>2.0724</v>
      </c>
      <c r="G371" s="24">
        <v>6318919717.6199999</v>
      </c>
      <c r="H371" s="24">
        <v>2.6395</v>
      </c>
      <c r="I371" s="24">
        <v>2.3460999999999999</v>
      </c>
      <c r="J371" s="24">
        <v>1.6862999999999999</v>
      </c>
      <c r="K371" s="24">
        <v>215</v>
      </c>
      <c r="L371" s="24" t="s">
        <v>4131</v>
      </c>
    </row>
    <row r="372" spans="1:12" x14ac:dyDescent="0.35">
      <c r="A372" s="24" t="s">
        <v>3246</v>
      </c>
      <c r="B372" s="24" t="str">
        <f>"688455"</f>
        <v>688455</v>
      </c>
      <c r="C372" s="24" t="str">
        <f t="shared" si="5"/>
        <v>'688455.SS'</v>
      </c>
      <c r="D372" s="24" t="s">
        <v>4132</v>
      </c>
      <c r="E372" s="24" t="s">
        <v>3552</v>
      </c>
      <c r="F372" s="24">
        <v>2.0712999999999999</v>
      </c>
      <c r="G372" s="24">
        <v>2528271354.6599998</v>
      </c>
      <c r="H372" s="24">
        <v>1.8070999999999999</v>
      </c>
      <c r="I372" s="24">
        <v>1.1277999999999999</v>
      </c>
      <c r="J372" s="24">
        <v>0.90600000000000003</v>
      </c>
      <c r="K372" s="24">
        <v>8</v>
      </c>
      <c r="L372" s="24" t="s">
        <v>4133</v>
      </c>
    </row>
    <row r="373" spans="1:12" x14ac:dyDescent="0.35">
      <c r="A373" s="24" t="s">
        <v>3242</v>
      </c>
      <c r="B373" s="24" t="str">
        <f>"301326"</f>
        <v>301326</v>
      </c>
      <c r="C373" s="24" t="str">
        <f t="shared" si="5"/>
        <v>'301326.SZ'</v>
      </c>
      <c r="D373" s="24" t="s">
        <v>4134</v>
      </c>
      <c r="E373" s="24" t="s">
        <v>3327</v>
      </c>
      <c r="F373" s="24">
        <v>2.0670999999999999</v>
      </c>
      <c r="G373" s="24">
        <v>2894932402.8000002</v>
      </c>
      <c r="H373" s="24">
        <v>3.5289999999999999</v>
      </c>
      <c r="I373" s="24">
        <v>3.2218</v>
      </c>
      <c r="J373" s="24">
        <v>2.0750000000000002</v>
      </c>
      <c r="K373" s="24">
        <v>2</v>
      </c>
      <c r="L373" s="24" t="s">
        <v>4135</v>
      </c>
    </row>
    <row r="374" spans="1:12" x14ac:dyDescent="0.35">
      <c r="A374" s="24" t="s">
        <v>3246</v>
      </c>
      <c r="B374" s="24" t="str">
        <f>"688115"</f>
        <v>688115</v>
      </c>
      <c r="C374" s="24" t="str">
        <f t="shared" si="5"/>
        <v>'688115.SS'</v>
      </c>
      <c r="D374" s="24" t="s">
        <v>4136</v>
      </c>
      <c r="E374" s="24" t="s">
        <v>3476</v>
      </c>
      <c r="F374" s="24">
        <v>2.0569000000000002</v>
      </c>
      <c r="G374" s="24">
        <v>2742137100</v>
      </c>
      <c r="H374" s="24">
        <v>40.356200000000001</v>
      </c>
      <c r="I374" s="24">
        <v>38.851999999999997</v>
      </c>
      <c r="J374" s="24">
        <v>30.836600000000001</v>
      </c>
      <c r="K374" s="24">
        <v>15</v>
      </c>
      <c r="L374" s="24" t="s">
        <v>4137</v>
      </c>
    </row>
    <row r="375" spans="1:12" x14ac:dyDescent="0.35">
      <c r="A375" s="24" t="s">
        <v>3242</v>
      </c>
      <c r="B375" s="24" t="str">
        <f>"301205"</f>
        <v>301205</v>
      </c>
      <c r="C375" s="24" t="str">
        <f t="shared" si="5"/>
        <v>'301205.SZ'</v>
      </c>
      <c r="D375" s="24" t="s">
        <v>4138</v>
      </c>
      <c r="E375" s="24" t="s">
        <v>3314</v>
      </c>
      <c r="F375" s="24">
        <v>2.0489000000000002</v>
      </c>
      <c r="G375" s="24">
        <v>2838510400</v>
      </c>
      <c r="H375" s="24">
        <v>5.5232999999999999</v>
      </c>
      <c r="I375" s="24">
        <v>4.0510999999999999</v>
      </c>
      <c r="J375" s="24">
        <v>3.1585999999999999</v>
      </c>
      <c r="K375" s="24">
        <v>8</v>
      </c>
      <c r="L375" s="24" t="s">
        <v>4139</v>
      </c>
    </row>
    <row r="376" spans="1:12" x14ac:dyDescent="0.35">
      <c r="A376" s="24" t="s">
        <v>3246</v>
      </c>
      <c r="B376" s="24" t="str">
        <f>"688125"</f>
        <v>688125</v>
      </c>
      <c r="C376" s="24" t="str">
        <f t="shared" si="5"/>
        <v>'688125.SS'</v>
      </c>
      <c r="D376" s="24" t="s">
        <v>4140</v>
      </c>
      <c r="E376" s="24" t="s">
        <v>3552</v>
      </c>
      <c r="F376" s="24">
        <v>2.0461999999999998</v>
      </c>
      <c r="G376" s="24">
        <v>3856969658.4000001</v>
      </c>
      <c r="H376" s="24">
        <v>10.865500000000001</v>
      </c>
      <c r="I376" s="24">
        <v>9.9758999999999993</v>
      </c>
      <c r="J376" s="24">
        <v>6.1055999999999999</v>
      </c>
      <c r="K376" s="24">
        <v>18</v>
      </c>
      <c r="L376" s="24" t="s">
        <v>4141</v>
      </c>
    </row>
    <row r="377" spans="1:12" x14ac:dyDescent="0.35">
      <c r="A377" s="24" t="s">
        <v>3242</v>
      </c>
      <c r="B377" s="24" t="str">
        <f>"301220"</f>
        <v>301220</v>
      </c>
      <c r="C377" s="24" t="str">
        <f t="shared" si="5"/>
        <v>'301220.SZ'</v>
      </c>
      <c r="D377" s="24" t="s">
        <v>4142</v>
      </c>
      <c r="E377" s="24" t="s">
        <v>3419</v>
      </c>
      <c r="F377" s="24">
        <v>2.0457999999999998</v>
      </c>
      <c r="G377" s="24">
        <v>3078480000</v>
      </c>
      <c r="H377" s="24">
        <v>6.8476999999999997</v>
      </c>
      <c r="I377" s="24">
        <v>4.7375999999999996</v>
      </c>
      <c r="J377" s="24">
        <v>1.1433</v>
      </c>
      <c r="K377" s="24">
        <v>7</v>
      </c>
      <c r="L377" s="24" t="s">
        <v>4143</v>
      </c>
    </row>
    <row r="378" spans="1:12" x14ac:dyDescent="0.35">
      <c r="A378" s="24" t="s">
        <v>3246</v>
      </c>
      <c r="B378" s="24" t="str">
        <f>"603052"</f>
        <v>603052</v>
      </c>
      <c r="C378" s="24" t="str">
        <f t="shared" si="5"/>
        <v>'603052.SS'</v>
      </c>
      <c r="D378" s="24" t="s">
        <v>4144</v>
      </c>
      <c r="E378" s="24" t="s">
        <v>3327</v>
      </c>
      <c r="F378" s="24">
        <v>2.0455000000000001</v>
      </c>
      <c r="G378" s="24">
        <v>3387024000</v>
      </c>
      <c r="H378" s="24">
        <v>3.1551</v>
      </c>
      <c r="I378" s="24">
        <v>2.9941</v>
      </c>
      <c r="J378" s="24">
        <v>1.5673999999999999</v>
      </c>
      <c r="K378" s="24">
        <v>6</v>
      </c>
      <c r="L378" s="24" t="s">
        <v>4145</v>
      </c>
    </row>
    <row r="379" spans="1:12" x14ac:dyDescent="0.35">
      <c r="A379" s="24" t="s">
        <v>3246</v>
      </c>
      <c r="B379" s="24" t="str">
        <f>"600838"</f>
        <v>600838</v>
      </c>
      <c r="C379" s="24" t="str">
        <f t="shared" si="5"/>
        <v>'600838.SS'</v>
      </c>
      <c r="D379" s="24" t="s">
        <v>4146</v>
      </c>
      <c r="E379" s="24" t="s">
        <v>4147</v>
      </c>
      <c r="F379" s="24">
        <v>2.0438000000000001</v>
      </c>
      <c r="G379" s="24">
        <v>2818200326.4299998</v>
      </c>
      <c r="H379" s="24">
        <v>6.0182000000000002</v>
      </c>
      <c r="I379" s="24">
        <v>5.5704000000000002</v>
      </c>
      <c r="J379" s="24">
        <v>5.4347000000000003</v>
      </c>
      <c r="K379" s="24">
        <v>86</v>
      </c>
      <c r="L379" s="24" t="s">
        <v>4148</v>
      </c>
    </row>
    <row r="380" spans="1:12" x14ac:dyDescent="0.35">
      <c r="A380" s="24" t="s">
        <v>3246</v>
      </c>
      <c r="B380" s="24" t="str">
        <f>"688158"</f>
        <v>688158</v>
      </c>
      <c r="C380" s="24" t="str">
        <f t="shared" si="5"/>
        <v>'688158.SS'</v>
      </c>
      <c r="D380" s="24" t="s">
        <v>4149</v>
      </c>
      <c r="E380" s="24" t="s">
        <v>3722</v>
      </c>
      <c r="F380" s="24">
        <v>2.04</v>
      </c>
      <c r="G380" s="24">
        <v>6216464511.3199997</v>
      </c>
      <c r="H380" s="24">
        <v>1.8912</v>
      </c>
      <c r="I380" s="24">
        <v>1.8176000000000001</v>
      </c>
      <c r="J380" s="24">
        <v>1.3933</v>
      </c>
      <c r="K380" s="24">
        <v>110</v>
      </c>
      <c r="L380" s="24" t="s">
        <v>4150</v>
      </c>
    </row>
    <row r="381" spans="1:12" x14ac:dyDescent="0.35">
      <c r="A381" s="24" t="s">
        <v>3242</v>
      </c>
      <c r="B381" s="24" t="str">
        <f>"301042"</f>
        <v>301042</v>
      </c>
      <c r="C381" s="24" t="str">
        <f t="shared" si="5"/>
        <v>'301042.SZ'</v>
      </c>
      <c r="D381" s="24" t="s">
        <v>4151</v>
      </c>
      <c r="E381" s="24" t="s">
        <v>3565</v>
      </c>
      <c r="F381" s="24">
        <v>2.0394000000000001</v>
      </c>
      <c r="G381" s="24">
        <v>2341588500</v>
      </c>
      <c r="H381" s="24">
        <v>8.2065000000000001</v>
      </c>
      <c r="I381" s="24">
        <v>7.0183</v>
      </c>
      <c r="J381" s="24">
        <v>3.8523999999999998</v>
      </c>
      <c r="K381" s="24">
        <v>21</v>
      </c>
      <c r="L381" s="24" t="s">
        <v>4152</v>
      </c>
    </row>
    <row r="382" spans="1:12" x14ac:dyDescent="0.35">
      <c r="A382" s="24" t="s">
        <v>3242</v>
      </c>
      <c r="B382" s="24" t="str">
        <f>"002819"</f>
        <v>002819</v>
      </c>
      <c r="C382" s="24" t="str">
        <f t="shared" si="5"/>
        <v>'002819.SZ'</v>
      </c>
      <c r="D382" s="24" t="s">
        <v>4153</v>
      </c>
      <c r="E382" s="24" t="s">
        <v>3476</v>
      </c>
      <c r="F382" s="24">
        <v>2.0369000000000002</v>
      </c>
      <c r="G382" s="24">
        <v>7733526921.7200003</v>
      </c>
      <c r="H382" s="24">
        <v>4.6509999999999998</v>
      </c>
      <c r="I382" s="24">
        <v>4.0425000000000004</v>
      </c>
      <c r="J382" s="24">
        <v>1.3933</v>
      </c>
      <c r="K382" s="24">
        <v>154</v>
      </c>
      <c r="L382" s="24" t="s">
        <v>4154</v>
      </c>
    </row>
    <row r="383" spans="1:12" x14ac:dyDescent="0.35">
      <c r="A383" s="24" t="s">
        <v>3242</v>
      </c>
      <c r="B383" s="24" t="str">
        <f>"301258"</f>
        <v>301258</v>
      </c>
      <c r="C383" s="24" t="str">
        <f t="shared" si="5"/>
        <v>'301258.SZ'</v>
      </c>
      <c r="D383" s="24" t="s">
        <v>4155</v>
      </c>
      <c r="E383" s="24" t="s">
        <v>3658</v>
      </c>
      <c r="F383" s="24">
        <v>2.0366</v>
      </c>
      <c r="G383" s="24">
        <v>3740136000</v>
      </c>
      <c r="H383" s="24">
        <v>10.684100000000001</v>
      </c>
      <c r="I383" s="24">
        <v>9.782</v>
      </c>
      <c r="J383" s="24">
        <v>2.0777999999999999</v>
      </c>
      <c r="K383" s="24">
        <v>27</v>
      </c>
      <c r="L383" s="24" t="s">
        <v>4156</v>
      </c>
    </row>
    <row r="384" spans="1:12" x14ac:dyDescent="0.35">
      <c r="A384" s="24" t="s">
        <v>3246</v>
      </c>
      <c r="B384" s="24" t="str">
        <f>"600062"</f>
        <v>600062</v>
      </c>
      <c r="C384" s="24" t="str">
        <f t="shared" si="5"/>
        <v>'600062.SS'</v>
      </c>
      <c r="D384" s="24" t="s">
        <v>4157</v>
      </c>
      <c r="E384" s="24" t="s">
        <v>3696</v>
      </c>
      <c r="F384" s="24">
        <v>2.0343</v>
      </c>
      <c r="G384" s="24">
        <v>19976405036.5</v>
      </c>
      <c r="H384" s="24">
        <v>2.1962999999999999</v>
      </c>
      <c r="I384" s="24">
        <v>1.6113999999999999</v>
      </c>
      <c r="J384" s="24">
        <v>0.80259999999999998</v>
      </c>
      <c r="K384" s="24">
        <v>661</v>
      </c>
      <c r="L384" s="24" t="s">
        <v>4158</v>
      </c>
    </row>
    <row r="385" spans="1:12" x14ac:dyDescent="0.35">
      <c r="A385" s="24" t="s">
        <v>3242</v>
      </c>
      <c r="B385" s="24" t="str">
        <f>"300810"</f>
        <v>300810</v>
      </c>
      <c r="C385" s="24" t="str">
        <f t="shared" si="5"/>
        <v>'300810.SZ'</v>
      </c>
      <c r="D385" s="24" t="s">
        <v>4159</v>
      </c>
      <c r="E385" s="24" t="s">
        <v>3560</v>
      </c>
      <c r="F385" s="24">
        <v>2.0285000000000002</v>
      </c>
      <c r="G385" s="24">
        <v>2074138500</v>
      </c>
      <c r="H385" s="24">
        <v>8.2279999999999998</v>
      </c>
      <c r="I385" s="24">
        <v>6.6482000000000001</v>
      </c>
      <c r="J385" s="24">
        <v>1.4316</v>
      </c>
      <c r="K385" s="24">
        <v>58</v>
      </c>
      <c r="L385" s="24" t="s">
        <v>4160</v>
      </c>
    </row>
    <row r="386" spans="1:12" x14ac:dyDescent="0.35">
      <c r="A386" s="24" t="s">
        <v>3242</v>
      </c>
      <c r="B386" s="24" t="str">
        <f>"301006"</f>
        <v>301006</v>
      </c>
      <c r="C386" s="24" t="str">
        <f t="shared" si="5"/>
        <v>'301006.SZ'</v>
      </c>
      <c r="D386" s="24" t="s">
        <v>4161</v>
      </c>
      <c r="E386" s="24" t="s">
        <v>3476</v>
      </c>
      <c r="F386" s="24">
        <v>2.0278999999999998</v>
      </c>
      <c r="G386" s="24">
        <v>2330154400</v>
      </c>
      <c r="H386" s="24">
        <v>8.6628000000000007</v>
      </c>
      <c r="I386" s="24">
        <v>7.8352000000000004</v>
      </c>
      <c r="J386" s="24">
        <v>1.5576000000000001</v>
      </c>
      <c r="K386" s="24">
        <v>57</v>
      </c>
      <c r="L386" s="24" t="s">
        <v>4162</v>
      </c>
    </row>
    <row r="387" spans="1:12" x14ac:dyDescent="0.35">
      <c r="A387" s="24" t="s">
        <v>3246</v>
      </c>
      <c r="B387" s="24" t="str">
        <f>"603798"</f>
        <v>603798</v>
      </c>
      <c r="C387" s="24" t="str">
        <f t="shared" ref="C387:C450" si="6">CONCATENATE("'",B387,IF(A387="sh",".SS'",".SZ'"))</f>
        <v>'603798.SS'</v>
      </c>
      <c r="D387" s="24" t="s">
        <v>4163</v>
      </c>
      <c r="E387" s="24" t="s">
        <v>4164</v>
      </c>
      <c r="F387" s="24">
        <v>2.0245000000000002</v>
      </c>
      <c r="G387" s="24">
        <v>2218000000</v>
      </c>
      <c r="H387" s="24">
        <v>4.2839999999999998</v>
      </c>
      <c r="I387" s="24">
        <v>3.4281999999999999</v>
      </c>
      <c r="J387" s="24">
        <v>1.4383999999999999</v>
      </c>
      <c r="K387" s="24">
        <v>150</v>
      </c>
      <c r="L387" s="24" t="s">
        <v>4165</v>
      </c>
    </row>
    <row r="388" spans="1:12" x14ac:dyDescent="0.35">
      <c r="A388" s="24" t="s">
        <v>3246</v>
      </c>
      <c r="B388" s="24" t="str">
        <f>"603587"</f>
        <v>603587</v>
      </c>
      <c r="C388" s="24" t="str">
        <f t="shared" si="6"/>
        <v>'603587.SS'</v>
      </c>
      <c r="D388" s="24" t="s">
        <v>4166</v>
      </c>
      <c r="E388" s="24" t="s">
        <v>4121</v>
      </c>
      <c r="F388" s="24">
        <v>2.0238999999999998</v>
      </c>
      <c r="G388" s="24">
        <v>7322001072</v>
      </c>
      <c r="H388" s="24">
        <v>4.4770000000000003</v>
      </c>
      <c r="I388" s="24">
        <v>3.9655999999999998</v>
      </c>
      <c r="J388" s="24">
        <v>2.4819</v>
      </c>
      <c r="K388" s="24">
        <v>1022</v>
      </c>
      <c r="L388" s="24" t="s">
        <v>4167</v>
      </c>
    </row>
    <row r="389" spans="1:12" x14ac:dyDescent="0.35">
      <c r="A389" s="24" t="s">
        <v>3242</v>
      </c>
      <c r="B389" s="24" t="str">
        <f>"002263"</f>
        <v>002263</v>
      </c>
      <c r="C389" s="24" t="str">
        <f t="shared" si="6"/>
        <v>'002263.SZ'</v>
      </c>
      <c r="D389" s="24" t="s">
        <v>4168</v>
      </c>
      <c r="E389" s="24" t="s">
        <v>3888</v>
      </c>
      <c r="F389" s="24">
        <v>2.0173999999999999</v>
      </c>
      <c r="G389" s="24">
        <v>5541162295</v>
      </c>
      <c r="H389" s="24">
        <v>10.9232</v>
      </c>
      <c r="I389" s="24">
        <v>8.8872999999999998</v>
      </c>
      <c r="J389" s="24">
        <v>7.3269000000000002</v>
      </c>
      <c r="K389" s="24">
        <v>134</v>
      </c>
      <c r="L389" s="24" t="s">
        <v>4169</v>
      </c>
    </row>
    <row r="390" spans="1:12" x14ac:dyDescent="0.35">
      <c r="A390" s="24" t="s">
        <v>3242</v>
      </c>
      <c r="B390" s="24" t="str">
        <f>"300741"</f>
        <v>300741</v>
      </c>
      <c r="C390" s="24" t="str">
        <f t="shared" si="6"/>
        <v>'300741.SZ'</v>
      </c>
      <c r="D390" s="24" t="s">
        <v>4170</v>
      </c>
      <c r="E390" s="24" t="s">
        <v>3419</v>
      </c>
      <c r="F390" s="24">
        <v>2.0165999999999999</v>
      </c>
      <c r="G390" s="24">
        <v>14885819600</v>
      </c>
      <c r="H390" s="24">
        <v>5.9427000000000003</v>
      </c>
      <c r="I390" s="24">
        <v>5.4499000000000004</v>
      </c>
      <c r="J390" s="24">
        <v>3.3729</v>
      </c>
      <c r="K390" s="24">
        <v>463</v>
      </c>
      <c r="L390" s="24" t="s">
        <v>4171</v>
      </c>
    </row>
    <row r="391" spans="1:12" x14ac:dyDescent="0.35">
      <c r="A391" s="24" t="s">
        <v>3246</v>
      </c>
      <c r="B391" s="24" t="str">
        <f>"605090"</f>
        <v>605090</v>
      </c>
      <c r="C391" s="24" t="str">
        <f t="shared" si="6"/>
        <v>'605090.SS'</v>
      </c>
      <c r="D391" s="24" t="s">
        <v>4172</v>
      </c>
      <c r="E391" s="24" t="s">
        <v>3933</v>
      </c>
      <c r="F391" s="24">
        <v>2.0154000000000001</v>
      </c>
      <c r="G391" s="24">
        <v>13315064570.959999</v>
      </c>
      <c r="H391" s="24">
        <v>2.1082000000000001</v>
      </c>
      <c r="I391" s="24">
        <v>1.6589</v>
      </c>
      <c r="J391" s="24">
        <v>1.3368</v>
      </c>
      <c r="K391" s="24">
        <v>73</v>
      </c>
      <c r="L391" s="24" t="s">
        <v>4173</v>
      </c>
    </row>
    <row r="392" spans="1:12" x14ac:dyDescent="0.35">
      <c r="A392" s="24" t="s">
        <v>3242</v>
      </c>
      <c r="B392" s="24" t="str">
        <f>"301248"</f>
        <v>301248</v>
      </c>
      <c r="C392" s="24" t="str">
        <f t="shared" si="6"/>
        <v>'301248.SZ'</v>
      </c>
      <c r="D392" s="24" t="s">
        <v>4174</v>
      </c>
      <c r="E392" s="24" t="s">
        <v>3722</v>
      </c>
      <c r="F392" s="24">
        <v>2.0125000000000002</v>
      </c>
      <c r="G392" s="24">
        <v>3171446500</v>
      </c>
      <c r="H392" s="24">
        <v>3.0297999999999998</v>
      </c>
      <c r="I392" s="24">
        <v>2.2625000000000002</v>
      </c>
      <c r="J392" s="24">
        <v>0.99760000000000004</v>
      </c>
      <c r="K392" s="24">
        <v>8</v>
      </c>
      <c r="L392" s="24" t="s">
        <v>4175</v>
      </c>
    </row>
    <row r="393" spans="1:12" x14ac:dyDescent="0.35">
      <c r="A393" s="24" t="s">
        <v>3246</v>
      </c>
      <c r="B393" s="24" t="str">
        <f>"603956"</f>
        <v>603956</v>
      </c>
      <c r="C393" s="24" t="str">
        <f t="shared" si="6"/>
        <v>'603956.SS'</v>
      </c>
      <c r="D393" s="24" t="s">
        <v>4176</v>
      </c>
      <c r="E393" s="24" t="s">
        <v>3244</v>
      </c>
      <c r="F393" s="24">
        <v>2.0124</v>
      </c>
      <c r="G393" s="24">
        <v>3960711477.77</v>
      </c>
      <c r="H393" s="24">
        <v>2.4895999999999998</v>
      </c>
      <c r="I393" s="24">
        <v>2.1598000000000002</v>
      </c>
      <c r="J393" s="24">
        <v>1.0817000000000001</v>
      </c>
      <c r="K393" s="24">
        <v>184</v>
      </c>
      <c r="L393" s="24" t="s">
        <v>4177</v>
      </c>
    </row>
    <row r="394" spans="1:12" x14ac:dyDescent="0.35">
      <c r="A394" s="24" t="s">
        <v>3242</v>
      </c>
      <c r="B394" s="24" t="str">
        <f>"000722"</f>
        <v>000722</v>
      </c>
      <c r="C394" s="24" t="str">
        <f t="shared" si="6"/>
        <v>'000722.SZ'</v>
      </c>
      <c r="D394" s="24" t="s">
        <v>4178</v>
      </c>
      <c r="E394" s="24" t="s">
        <v>4179</v>
      </c>
      <c r="F394" s="24">
        <v>2.0118999999999998</v>
      </c>
      <c r="G394" s="24">
        <v>6354326880.5799999</v>
      </c>
      <c r="H394" s="24">
        <v>12.081899999999999</v>
      </c>
      <c r="I394" s="24">
        <v>7.4878</v>
      </c>
      <c r="J394" s="24">
        <v>5.3463000000000003</v>
      </c>
      <c r="K394" s="24">
        <v>115</v>
      </c>
      <c r="L394" s="24" t="s">
        <v>4180</v>
      </c>
    </row>
    <row r="395" spans="1:12" x14ac:dyDescent="0.35">
      <c r="A395" s="24" t="s">
        <v>3242</v>
      </c>
      <c r="B395" s="24" t="str">
        <f>"002444"</f>
        <v>002444</v>
      </c>
      <c r="C395" s="24" t="str">
        <f t="shared" si="6"/>
        <v>'002444.SZ'</v>
      </c>
      <c r="D395" s="24" t="s">
        <v>4181</v>
      </c>
      <c r="E395" s="24" t="s">
        <v>3473</v>
      </c>
      <c r="F395" s="24">
        <v>2.0108999999999999</v>
      </c>
      <c r="G395" s="24">
        <v>24482940557.119999</v>
      </c>
      <c r="H395" s="24">
        <v>2.2864</v>
      </c>
      <c r="I395" s="24">
        <v>1.6073999999999999</v>
      </c>
      <c r="J395" s="24">
        <v>0.88900000000000001</v>
      </c>
      <c r="K395" s="24">
        <v>690</v>
      </c>
      <c r="L395" s="24" t="s">
        <v>4182</v>
      </c>
    </row>
    <row r="396" spans="1:12" x14ac:dyDescent="0.35">
      <c r="A396" s="24" t="s">
        <v>3242</v>
      </c>
      <c r="B396" s="24" t="str">
        <f>"002297"</f>
        <v>002297</v>
      </c>
      <c r="C396" s="24" t="str">
        <f t="shared" si="6"/>
        <v>'002297.SZ'</v>
      </c>
      <c r="D396" s="24" t="s">
        <v>4183</v>
      </c>
      <c r="E396" s="24" t="s">
        <v>3497</v>
      </c>
      <c r="F396" s="24">
        <v>2.0108000000000001</v>
      </c>
      <c r="G396" s="24">
        <v>4172203082.3200002</v>
      </c>
      <c r="H396" s="24">
        <v>3.4499</v>
      </c>
      <c r="I396" s="24">
        <v>2.3464</v>
      </c>
      <c r="J396" s="24">
        <v>1.3381000000000001</v>
      </c>
      <c r="K396" s="24">
        <v>109</v>
      </c>
      <c r="L396" s="24" t="s">
        <v>4184</v>
      </c>
    </row>
    <row r="397" spans="1:12" x14ac:dyDescent="0.35">
      <c r="A397" s="24" t="s">
        <v>3246</v>
      </c>
      <c r="B397" s="24" t="str">
        <f>"603087"</f>
        <v>603087</v>
      </c>
      <c r="C397" s="24" t="str">
        <f t="shared" si="6"/>
        <v>'603087.SS'</v>
      </c>
      <c r="D397" s="24" t="s">
        <v>4185</v>
      </c>
      <c r="E397" s="24" t="s">
        <v>3282</v>
      </c>
      <c r="F397" s="24">
        <v>2.0082</v>
      </c>
      <c r="G397" s="24">
        <v>19441500484</v>
      </c>
      <c r="H397" s="24">
        <v>10.422000000000001</v>
      </c>
      <c r="I397" s="24">
        <v>9.1438000000000006</v>
      </c>
      <c r="J397" s="24">
        <v>5.2834000000000003</v>
      </c>
      <c r="K397" s="24">
        <v>717</v>
      </c>
      <c r="L397" s="24" t="s">
        <v>4186</v>
      </c>
    </row>
    <row r="398" spans="1:12" x14ac:dyDescent="0.35">
      <c r="A398" s="24" t="s">
        <v>3242</v>
      </c>
      <c r="B398" s="24" t="str">
        <f>"300597"</f>
        <v>300597</v>
      </c>
      <c r="C398" s="24" t="str">
        <f t="shared" si="6"/>
        <v>'300597.SZ'</v>
      </c>
      <c r="D398" s="24" t="s">
        <v>4187</v>
      </c>
      <c r="E398" s="24" t="s">
        <v>4188</v>
      </c>
      <c r="F398" s="24">
        <v>2.0076999999999998</v>
      </c>
      <c r="G398" s="24">
        <v>2142400435.8</v>
      </c>
      <c r="H398" s="24">
        <v>4.1887999999999996</v>
      </c>
      <c r="I398" s="24">
        <v>2.9152999999999998</v>
      </c>
      <c r="J398" s="24">
        <v>0.80679999999999996</v>
      </c>
      <c r="K398" s="24">
        <v>111</v>
      </c>
      <c r="L398" s="24" t="s">
        <v>4189</v>
      </c>
    </row>
    <row r="399" spans="1:12" x14ac:dyDescent="0.35">
      <c r="A399" s="24" t="s">
        <v>3246</v>
      </c>
      <c r="B399" s="24" t="str">
        <f>"605389"</f>
        <v>605389</v>
      </c>
      <c r="C399" s="24" t="str">
        <f t="shared" si="6"/>
        <v>'605389.SS'</v>
      </c>
      <c r="D399" s="24" t="s">
        <v>4190</v>
      </c>
      <c r="E399" s="24" t="s">
        <v>3416</v>
      </c>
      <c r="F399" s="24">
        <v>2.0072999999999999</v>
      </c>
      <c r="G399" s="24">
        <v>3649223832.8000002</v>
      </c>
      <c r="H399" s="24">
        <v>8.5733999999999995</v>
      </c>
      <c r="I399" s="24">
        <v>7.3319999999999999</v>
      </c>
      <c r="J399" s="24">
        <v>5.0057999999999998</v>
      </c>
      <c r="K399" s="24">
        <v>74</v>
      </c>
      <c r="L399" s="24" t="s">
        <v>4191</v>
      </c>
    </row>
    <row r="400" spans="1:12" x14ac:dyDescent="0.35">
      <c r="A400" s="24" t="s">
        <v>3246</v>
      </c>
      <c r="B400" s="24" t="str">
        <f>"603109"</f>
        <v>603109</v>
      </c>
      <c r="C400" s="24" t="str">
        <f t="shared" si="6"/>
        <v>'603109.SS'</v>
      </c>
      <c r="D400" s="24" t="s">
        <v>4192</v>
      </c>
      <c r="E400" s="24" t="s">
        <v>3299</v>
      </c>
      <c r="F400" s="24">
        <v>2.0038</v>
      </c>
      <c r="G400" s="24">
        <v>3191926854.1999998</v>
      </c>
      <c r="H400" s="24">
        <v>2.0895000000000001</v>
      </c>
      <c r="I400" s="24">
        <v>1.5573999999999999</v>
      </c>
      <c r="J400" s="24">
        <v>1.0113000000000001</v>
      </c>
      <c r="K400" s="24">
        <v>91</v>
      </c>
      <c r="L400" s="24" t="s">
        <v>4193</v>
      </c>
    </row>
    <row r="401" spans="1:12" x14ac:dyDescent="0.35">
      <c r="A401" s="24" t="s">
        <v>3242</v>
      </c>
      <c r="B401" s="24" t="str">
        <f>"300989"</f>
        <v>300989</v>
      </c>
      <c r="C401" s="24" t="str">
        <f t="shared" si="6"/>
        <v>'300989.SZ'</v>
      </c>
      <c r="D401" s="24" t="s">
        <v>4194</v>
      </c>
      <c r="E401" s="24" t="s">
        <v>3846</v>
      </c>
      <c r="F401" s="24">
        <v>2.0030999999999999</v>
      </c>
      <c r="G401" s="24">
        <v>2026080000</v>
      </c>
      <c r="H401" s="24">
        <v>9.0975000000000001</v>
      </c>
      <c r="I401" s="24">
        <v>9.0132999999999992</v>
      </c>
      <c r="J401" s="24">
        <v>4.1817000000000002</v>
      </c>
      <c r="K401" s="24">
        <v>37</v>
      </c>
      <c r="L401" s="24" t="s">
        <v>4195</v>
      </c>
    </row>
    <row r="402" spans="1:12" x14ac:dyDescent="0.35">
      <c r="A402" s="24" t="s">
        <v>3242</v>
      </c>
      <c r="B402" s="24" t="str">
        <f>"301127"</f>
        <v>301127</v>
      </c>
      <c r="C402" s="24" t="str">
        <f t="shared" si="6"/>
        <v>'301127.SZ'</v>
      </c>
      <c r="D402" s="24" t="s">
        <v>4196</v>
      </c>
      <c r="E402" s="24" t="s">
        <v>4197</v>
      </c>
      <c r="F402" s="24">
        <v>2.0015999999999998</v>
      </c>
      <c r="G402" s="24">
        <v>4016695680</v>
      </c>
      <c r="H402" s="24">
        <v>4.5288000000000004</v>
      </c>
      <c r="I402" s="24">
        <v>3.0630999999999999</v>
      </c>
      <c r="J402" s="24">
        <v>1.9246000000000001</v>
      </c>
      <c r="K402" s="24">
        <v>20</v>
      </c>
      <c r="L402" s="24" t="s">
        <v>4198</v>
      </c>
    </row>
    <row r="403" spans="1:12" x14ac:dyDescent="0.35">
      <c r="A403" s="24" t="s">
        <v>3242</v>
      </c>
      <c r="B403" s="24" t="str">
        <f>"000045"</f>
        <v>000045</v>
      </c>
      <c r="C403" s="24" t="str">
        <f t="shared" si="6"/>
        <v>'000045.SZ'</v>
      </c>
      <c r="D403" s="24" t="s">
        <v>4199</v>
      </c>
      <c r="E403" s="24" t="s">
        <v>3568</v>
      </c>
      <c r="F403" s="24">
        <v>1.9988999999999999</v>
      </c>
      <c r="G403" s="24">
        <v>5693305582.7600002</v>
      </c>
      <c r="H403" s="24">
        <v>4.4625000000000004</v>
      </c>
      <c r="I403" s="24">
        <v>3.1562999999999999</v>
      </c>
      <c r="J403" s="24">
        <v>0.93969999999999998</v>
      </c>
      <c r="K403" s="24">
        <v>91</v>
      </c>
      <c r="L403" s="24" t="s">
        <v>4200</v>
      </c>
    </row>
    <row r="404" spans="1:12" x14ac:dyDescent="0.35">
      <c r="A404" s="24" t="s">
        <v>3242</v>
      </c>
      <c r="B404" s="24" t="str">
        <f>"300107"</f>
        <v>300107</v>
      </c>
      <c r="C404" s="24" t="str">
        <f t="shared" si="6"/>
        <v>'300107.SZ'</v>
      </c>
      <c r="D404" s="24" t="s">
        <v>4201</v>
      </c>
      <c r="E404" s="24" t="s">
        <v>4036</v>
      </c>
      <c r="F404" s="24">
        <v>1.9981</v>
      </c>
      <c r="G404" s="24">
        <v>2885553485.6399999</v>
      </c>
      <c r="H404" s="24">
        <v>8.4783000000000008</v>
      </c>
      <c r="I404" s="24">
        <v>7.2305000000000001</v>
      </c>
      <c r="J404" s="24">
        <v>4.3856999999999999</v>
      </c>
      <c r="K404" s="24">
        <v>239</v>
      </c>
      <c r="L404" s="24" t="s">
        <v>4202</v>
      </c>
    </row>
    <row r="405" spans="1:12" x14ac:dyDescent="0.35">
      <c r="A405" s="24" t="s">
        <v>3246</v>
      </c>
      <c r="B405" s="24" t="str">
        <f>"603102"</f>
        <v>603102</v>
      </c>
      <c r="C405" s="24" t="str">
        <f t="shared" si="6"/>
        <v>'603102.SS'</v>
      </c>
      <c r="D405" s="24" t="s">
        <v>4203</v>
      </c>
      <c r="E405" s="24" t="s">
        <v>3616</v>
      </c>
      <c r="F405" s="24">
        <v>1.9981</v>
      </c>
      <c r="G405" s="24">
        <v>2778880000</v>
      </c>
      <c r="H405" s="24">
        <v>7.1765999999999996</v>
      </c>
      <c r="I405" s="24">
        <v>6.4622000000000002</v>
      </c>
      <c r="J405" s="24">
        <v>6.0007999999999999</v>
      </c>
      <c r="K405" s="24">
        <v>30</v>
      </c>
      <c r="L405" s="24" t="s">
        <v>4204</v>
      </c>
    </row>
    <row r="406" spans="1:12" x14ac:dyDescent="0.35">
      <c r="A406" s="24" t="s">
        <v>3242</v>
      </c>
      <c r="B406" s="24" t="str">
        <f>"300801"</f>
        <v>300801</v>
      </c>
      <c r="C406" s="24" t="str">
        <f t="shared" si="6"/>
        <v>'300801.SZ'</v>
      </c>
      <c r="D406" s="24" t="s">
        <v>4205</v>
      </c>
      <c r="E406" s="24" t="s">
        <v>3271</v>
      </c>
      <c r="F406" s="24">
        <v>1.9974000000000001</v>
      </c>
      <c r="G406" s="24">
        <v>4761279000</v>
      </c>
      <c r="H406" s="24">
        <v>3.6516000000000002</v>
      </c>
      <c r="I406" s="24">
        <v>3.0466000000000002</v>
      </c>
      <c r="J406" s="24">
        <v>1.0648</v>
      </c>
      <c r="K406" s="24">
        <v>125</v>
      </c>
      <c r="L406" s="24" t="s">
        <v>4206</v>
      </c>
    </row>
    <row r="407" spans="1:12" x14ac:dyDescent="0.35">
      <c r="A407" s="24" t="s">
        <v>3242</v>
      </c>
      <c r="B407" s="24" t="str">
        <f>"301197"</f>
        <v>301197</v>
      </c>
      <c r="C407" s="24" t="str">
        <f t="shared" si="6"/>
        <v>'301197.SZ'</v>
      </c>
      <c r="D407" s="24" t="s">
        <v>4207</v>
      </c>
      <c r="E407" s="24" t="s">
        <v>3476</v>
      </c>
      <c r="F407" s="24">
        <v>1.9956</v>
      </c>
      <c r="G407" s="24">
        <v>2543394000</v>
      </c>
      <c r="H407" s="24">
        <v>9.0271000000000008</v>
      </c>
      <c r="I407" s="24">
        <v>7.6597</v>
      </c>
      <c r="J407" s="24">
        <v>5.1216999999999997</v>
      </c>
      <c r="K407" s="24">
        <v>7</v>
      </c>
      <c r="L407" s="24" t="s">
        <v>4208</v>
      </c>
    </row>
    <row r="408" spans="1:12" x14ac:dyDescent="0.35">
      <c r="A408" s="24" t="s">
        <v>3246</v>
      </c>
      <c r="B408" s="24" t="str">
        <f>"603201"</f>
        <v>603201</v>
      </c>
      <c r="C408" s="24" t="str">
        <f t="shared" si="6"/>
        <v>'603201.SS'</v>
      </c>
      <c r="D408" s="24" t="s">
        <v>4209</v>
      </c>
      <c r="E408" s="24" t="s">
        <v>3244</v>
      </c>
      <c r="F408" s="24">
        <v>1.9925999999999999</v>
      </c>
      <c r="G408" s="24">
        <v>2474627487.4200001</v>
      </c>
      <c r="H408" s="24">
        <v>2.3565</v>
      </c>
      <c r="I408" s="24">
        <v>1.7634000000000001</v>
      </c>
      <c r="J408" s="24">
        <v>1.008</v>
      </c>
      <c r="K408" s="24">
        <v>10</v>
      </c>
      <c r="L408" s="24" t="s">
        <v>4210</v>
      </c>
    </row>
    <row r="409" spans="1:12" x14ac:dyDescent="0.35">
      <c r="A409" s="24" t="s">
        <v>3242</v>
      </c>
      <c r="B409" s="24" t="str">
        <f>"300965"</f>
        <v>300965</v>
      </c>
      <c r="C409" s="24" t="str">
        <f t="shared" si="6"/>
        <v>'300965.SZ'</v>
      </c>
      <c r="D409" s="24" t="s">
        <v>4211</v>
      </c>
      <c r="E409" s="24" t="s">
        <v>3497</v>
      </c>
      <c r="F409" s="24">
        <v>1.9916</v>
      </c>
      <c r="G409" s="24">
        <v>2676600000</v>
      </c>
      <c r="H409" s="24">
        <v>7.6734999999999998</v>
      </c>
      <c r="I409" s="24">
        <v>7.2173999999999996</v>
      </c>
      <c r="J409" s="24">
        <v>4.7325999999999997</v>
      </c>
      <c r="K409" s="24">
        <v>44</v>
      </c>
      <c r="L409" s="24" t="s">
        <v>4212</v>
      </c>
    </row>
    <row r="410" spans="1:12" x14ac:dyDescent="0.35">
      <c r="A410" s="24" t="s">
        <v>3242</v>
      </c>
      <c r="B410" s="24" t="str">
        <f>"000888"</f>
        <v>000888</v>
      </c>
      <c r="C410" s="24" t="str">
        <f t="shared" si="6"/>
        <v>'000888.SZ'</v>
      </c>
      <c r="D410" s="24" t="s">
        <v>4213</v>
      </c>
      <c r="E410" s="24" t="s">
        <v>3397</v>
      </c>
      <c r="F410" s="24">
        <v>1.9914000000000001</v>
      </c>
      <c r="G410" s="24">
        <v>4636835297.6000004</v>
      </c>
      <c r="H410" s="24">
        <v>3.8184999999999998</v>
      </c>
      <c r="I410" s="24">
        <v>3.6377000000000002</v>
      </c>
      <c r="J410" s="24">
        <v>3.3919999999999999</v>
      </c>
      <c r="K410" s="24">
        <v>229</v>
      </c>
      <c r="L410" s="24" t="s">
        <v>4214</v>
      </c>
    </row>
    <row r="411" spans="1:12" x14ac:dyDescent="0.35">
      <c r="A411" s="24" t="s">
        <v>3246</v>
      </c>
      <c r="B411" s="24" t="str">
        <f>"688207"</f>
        <v>688207</v>
      </c>
      <c r="C411" s="24" t="str">
        <f t="shared" si="6"/>
        <v>'688207.SS'</v>
      </c>
      <c r="D411" s="24" t="s">
        <v>4215</v>
      </c>
      <c r="E411" s="24" t="s">
        <v>3722</v>
      </c>
      <c r="F411" s="24">
        <v>1.9899</v>
      </c>
      <c r="G411" s="24">
        <v>4587524311.1999998</v>
      </c>
      <c r="H411" s="24">
        <v>15.6401</v>
      </c>
      <c r="I411" s="24">
        <v>15.091100000000001</v>
      </c>
      <c r="J411" s="24">
        <v>12.575100000000001</v>
      </c>
      <c r="K411" s="24">
        <v>12</v>
      </c>
      <c r="L411" s="24" t="s">
        <v>4216</v>
      </c>
    </row>
    <row r="412" spans="1:12" x14ac:dyDescent="0.35">
      <c r="A412" s="24" t="s">
        <v>3242</v>
      </c>
      <c r="B412" s="24" t="str">
        <f>"003008"</f>
        <v>003008</v>
      </c>
      <c r="C412" s="24" t="str">
        <f t="shared" si="6"/>
        <v>'003008.SZ'</v>
      </c>
      <c r="D412" s="24" t="s">
        <v>4217</v>
      </c>
      <c r="E412" s="24" t="s">
        <v>3342</v>
      </c>
      <c r="F412" s="24">
        <v>1.9846999999999999</v>
      </c>
      <c r="G412" s="24">
        <v>2048800000</v>
      </c>
      <c r="H412" s="24">
        <v>12.7034</v>
      </c>
      <c r="I412" s="24">
        <v>12.6251</v>
      </c>
      <c r="J412" s="24">
        <v>10.6898</v>
      </c>
      <c r="K412" s="24">
        <v>78</v>
      </c>
      <c r="L412" s="24" t="s">
        <v>4218</v>
      </c>
    </row>
    <row r="413" spans="1:12" x14ac:dyDescent="0.35">
      <c r="A413" s="24" t="s">
        <v>3242</v>
      </c>
      <c r="B413" s="24" t="str">
        <f>"300959"</f>
        <v>300959</v>
      </c>
      <c r="C413" s="24" t="str">
        <f t="shared" si="6"/>
        <v>'300959.SZ'</v>
      </c>
      <c r="D413" s="24" t="s">
        <v>4219</v>
      </c>
      <c r="E413" s="24" t="s">
        <v>3339</v>
      </c>
      <c r="F413" s="24">
        <v>1.9845999999999999</v>
      </c>
      <c r="G413" s="24">
        <v>2289600000</v>
      </c>
      <c r="H413" s="24">
        <v>7.1119000000000003</v>
      </c>
      <c r="I413" s="24">
        <v>5.7232000000000003</v>
      </c>
      <c r="J413" s="24">
        <v>2.0529999999999999</v>
      </c>
      <c r="K413" s="24">
        <v>36</v>
      </c>
      <c r="L413" s="24" t="s">
        <v>4220</v>
      </c>
    </row>
    <row r="414" spans="1:12" x14ac:dyDescent="0.35">
      <c r="A414" s="24" t="s">
        <v>3246</v>
      </c>
      <c r="B414" s="24" t="str">
        <f>"600730"</f>
        <v>600730</v>
      </c>
      <c r="C414" s="24" t="str">
        <f t="shared" si="6"/>
        <v>'600730.SS'</v>
      </c>
      <c r="D414" s="24" t="s">
        <v>4221</v>
      </c>
      <c r="E414" s="24" t="s">
        <v>4222</v>
      </c>
      <c r="F414" s="24">
        <v>1.9831000000000001</v>
      </c>
      <c r="G414" s="24">
        <v>3690066252.5799999</v>
      </c>
      <c r="H414" s="24">
        <v>13.7692</v>
      </c>
      <c r="I414" s="24">
        <v>13.5145</v>
      </c>
      <c r="J414" s="24">
        <v>0.82769999999999999</v>
      </c>
      <c r="K414" s="24">
        <v>104</v>
      </c>
      <c r="L414" s="24" t="s">
        <v>4223</v>
      </c>
    </row>
    <row r="415" spans="1:12" x14ac:dyDescent="0.35">
      <c r="A415" s="24" t="s">
        <v>3242</v>
      </c>
      <c r="B415" s="24" t="str">
        <f>"300246"</f>
        <v>300246</v>
      </c>
      <c r="C415" s="24" t="str">
        <f t="shared" si="6"/>
        <v>'300246.SZ'</v>
      </c>
      <c r="D415" s="24" t="s">
        <v>4224</v>
      </c>
      <c r="E415" s="24" t="s">
        <v>3443</v>
      </c>
      <c r="F415" s="24">
        <v>1.9824999999999999</v>
      </c>
      <c r="G415" s="24">
        <v>2668476018.1199999</v>
      </c>
      <c r="H415" s="24">
        <v>2.5318000000000001</v>
      </c>
      <c r="I415" s="24">
        <v>1.9723999999999999</v>
      </c>
      <c r="J415" s="24">
        <v>1.3611</v>
      </c>
      <c r="K415" s="24">
        <v>517</v>
      </c>
      <c r="L415" s="24" t="s">
        <v>4225</v>
      </c>
    </row>
    <row r="416" spans="1:12" x14ac:dyDescent="0.35">
      <c r="A416" s="24" t="s">
        <v>3242</v>
      </c>
      <c r="B416" s="24" t="str">
        <f>"000565"</f>
        <v>000565</v>
      </c>
      <c r="C416" s="24" t="str">
        <f t="shared" si="6"/>
        <v>'000565.SZ'</v>
      </c>
      <c r="D416" s="24" t="s">
        <v>4226</v>
      </c>
      <c r="E416" s="24" t="s">
        <v>4227</v>
      </c>
      <c r="F416" s="24">
        <v>1.9807999999999999</v>
      </c>
      <c r="G416" s="24">
        <v>2649248464.1999998</v>
      </c>
      <c r="H416" s="24">
        <v>2.8944000000000001</v>
      </c>
      <c r="I416" s="24">
        <v>2.391</v>
      </c>
      <c r="J416" s="24">
        <v>1.6107</v>
      </c>
      <c r="K416" s="24">
        <v>88</v>
      </c>
      <c r="L416" s="24" t="s">
        <v>4228</v>
      </c>
    </row>
    <row r="417" spans="1:12" x14ac:dyDescent="0.35">
      <c r="A417" s="24" t="s">
        <v>3246</v>
      </c>
      <c r="B417" s="24" t="str">
        <f>"603115"</f>
        <v>603115</v>
      </c>
      <c r="C417" s="24" t="str">
        <f t="shared" si="6"/>
        <v>'603115.SS'</v>
      </c>
      <c r="D417" s="24" t="s">
        <v>4229</v>
      </c>
      <c r="E417" s="24" t="s">
        <v>1174</v>
      </c>
      <c r="F417" s="24">
        <v>1.9794</v>
      </c>
      <c r="G417" s="24">
        <v>3949192000</v>
      </c>
      <c r="H417" s="24">
        <v>4.5496999999999996</v>
      </c>
      <c r="I417" s="24">
        <v>4.0448000000000004</v>
      </c>
      <c r="J417" s="24">
        <v>1.6728000000000001</v>
      </c>
      <c r="K417" s="24">
        <v>106</v>
      </c>
      <c r="L417" s="24" t="s">
        <v>4230</v>
      </c>
    </row>
    <row r="418" spans="1:12" x14ac:dyDescent="0.35">
      <c r="A418" s="24" t="s">
        <v>3246</v>
      </c>
      <c r="B418" s="24" t="str">
        <f>"688799"</f>
        <v>688799</v>
      </c>
      <c r="C418" s="24" t="str">
        <f t="shared" si="6"/>
        <v>'688799.SS'</v>
      </c>
      <c r="D418" s="24" t="s">
        <v>4231</v>
      </c>
      <c r="E418" s="24" t="s">
        <v>3696</v>
      </c>
      <c r="F418" s="24">
        <v>1.9791000000000001</v>
      </c>
      <c r="G418" s="24">
        <v>3043810000</v>
      </c>
      <c r="H418" s="24">
        <v>4.3803999999999998</v>
      </c>
      <c r="I418" s="24">
        <v>3.1286</v>
      </c>
      <c r="J418" s="24">
        <v>1.3022</v>
      </c>
      <c r="K418" s="24">
        <v>37</v>
      </c>
      <c r="L418" s="24" t="s">
        <v>4232</v>
      </c>
    </row>
    <row r="419" spans="1:12" x14ac:dyDescent="0.35">
      <c r="A419" s="24" t="s">
        <v>3246</v>
      </c>
      <c r="B419" s="24" t="str">
        <f>"688353"</f>
        <v>688353</v>
      </c>
      <c r="C419" s="24" t="str">
        <f t="shared" si="6"/>
        <v>'688353.SS'</v>
      </c>
      <c r="D419" s="24" t="s">
        <v>4233</v>
      </c>
      <c r="E419" s="24" t="s">
        <v>3377</v>
      </c>
      <c r="F419" s="24">
        <v>1.9773000000000001</v>
      </c>
      <c r="G419" s="24">
        <v>7584500000</v>
      </c>
      <c r="H419" s="24">
        <v>11.1829</v>
      </c>
      <c r="I419" s="24">
        <v>10.889900000000001</v>
      </c>
      <c r="J419" s="24">
        <v>3.9188000000000001</v>
      </c>
      <c r="K419" s="24">
        <v>12</v>
      </c>
      <c r="L419" s="24" t="s">
        <v>4234</v>
      </c>
    </row>
    <row r="420" spans="1:12" x14ac:dyDescent="0.35">
      <c r="A420" s="24" t="s">
        <v>3246</v>
      </c>
      <c r="B420" s="24" t="str">
        <f>"600735"</f>
        <v>600735</v>
      </c>
      <c r="C420" s="24" t="str">
        <f t="shared" si="6"/>
        <v>'600735.SS'</v>
      </c>
      <c r="D420" s="24" t="s">
        <v>4235</v>
      </c>
      <c r="E420" s="24" t="s">
        <v>4236</v>
      </c>
      <c r="F420" s="24">
        <v>1.9754</v>
      </c>
      <c r="G420" s="24">
        <v>2757043948.1700001</v>
      </c>
      <c r="H420" s="24">
        <v>2.4338000000000002</v>
      </c>
      <c r="I420" s="24">
        <v>1.6126</v>
      </c>
      <c r="J420" s="24">
        <v>0.92830000000000001</v>
      </c>
      <c r="K420" s="24">
        <v>110</v>
      </c>
      <c r="L420" s="24" t="s">
        <v>4237</v>
      </c>
    </row>
    <row r="421" spans="1:12" x14ac:dyDescent="0.35">
      <c r="A421" s="24" t="s">
        <v>3242</v>
      </c>
      <c r="B421" s="24" t="str">
        <f>"301221"</f>
        <v>301221</v>
      </c>
      <c r="C421" s="24" t="str">
        <f t="shared" si="6"/>
        <v>'301221.SZ'</v>
      </c>
      <c r="D421" s="24" t="s">
        <v>4238</v>
      </c>
      <c r="E421" s="24" t="s">
        <v>3274</v>
      </c>
      <c r="F421" s="24">
        <v>1.9730000000000001</v>
      </c>
      <c r="G421" s="24">
        <v>3960529548</v>
      </c>
      <c r="H421" s="24">
        <v>15.1707</v>
      </c>
      <c r="I421" s="24">
        <v>14.6592</v>
      </c>
      <c r="J421" s="24">
        <v>12.221299999999999</v>
      </c>
      <c r="K421" s="24">
        <v>31</v>
      </c>
      <c r="L421" s="24" t="s">
        <v>4239</v>
      </c>
    </row>
    <row r="422" spans="1:12" x14ac:dyDescent="0.35">
      <c r="A422" s="24" t="s">
        <v>3242</v>
      </c>
      <c r="B422" s="24" t="str">
        <f>"301086"</f>
        <v>301086</v>
      </c>
      <c r="C422" s="24" t="str">
        <f t="shared" si="6"/>
        <v>'301086.SZ'</v>
      </c>
      <c r="D422" s="24" t="s">
        <v>4240</v>
      </c>
      <c r="E422" s="24" t="s">
        <v>3327</v>
      </c>
      <c r="F422" s="24">
        <v>1.9699</v>
      </c>
      <c r="G422" s="24">
        <v>3612000000</v>
      </c>
      <c r="H422" s="24">
        <v>4.9988000000000001</v>
      </c>
      <c r="I422" s="24">
        <v>4.5663999999999998</v>
      </c>
      <c r="J422" s="24">
        <v>2.4085000000000001</v>
      </c>
      <c r="K422" s="24">
        <v>39</v>
      </c>
      <c r="L422" s="24" t="s">
        <v>4241</v>
      </c>
    </row>
    <row r="423" spans="1:12" x14ac:dyDescent="0.35">
      <c r="A423" s="24" t="s">
        <v>3246</v>
      </c>
      <c r="B423" s="24" t="str">
        <f>"603002"</f>
        <v>603002</v>
      </c>
      <c r="C423" s="24" t="str">
        <f t="shared" si="6"/>
        <v>'603002.SS'</v>
      </c>
      <c r="D423" s="24" t="s">
        <v>4242</v>
      </c>
      <c r="E423" s="24" t="s">
        <v>3907</v>
      </c>
      <c r="F423" s="24">
        <v>1.9682999999999999</v>
      </c>
      <c r="G423" s="24">
        <v>4600724742.5500002</v>
      </c>
      <c r="H423" s="24">
        <v>2.0588000000000002</v>
      </c>
      <c r="I423" s="24">
        <v>1.9093</v>
      </c>
      <c r="J423" s="24">
        <v>0.94440000000000002</v>
      </c>
      <c r="K423" s="24">
        <v>140</v>
      </c>
      <c r="L423" s="24" t="s">
        <v>4243</v>
      </c>
    </row>
    <row r="424" spans="1:12" x14ac:dyDescent="0.35">
      <c r="A424" s="24" t="s">
        <v>3242</v>
      </c>
      <c r="B424" s="24" t="str">
        <f>"002330"</f>
        <v>002330</v>
      </c>
      <c r="C424" s="24" t="str">
        <f t="shared" si="6"/>
        <v>'002330.SZ'</v>
      </c>
      <c r="D424" s="24" t="s">
        <v>4244</v>
      </c>
      <c r="E424" s="24" t="s">
        <v>3380</v>
      </c>
      <c r="F424" s="24">
        <v>1.9676</v>
      </c>
      <c r="G424" s="24">
        <v>4756857081.3000002</v>
      </c>
      <c r="H424" s="24">
        <v>2.4525000000000001</v>
      </c>
      <c r="I424" s="24">
        <v>1.6298999999999999</v>
      </c>
      <c r="J424" s="24">
        <v>1.0283</v>
      </c>
      <c r="K424" s="24">
        <v>546</v>
      </c>
      <c r="L424" s="24" t="s">
        <v>4245</v>
      </c>
    </row>
    <row r="425" spans="1:12" x14ac:dyDescent="0.35">
      <c r="A425" s="24" t="s">
        <v>3246</v>
      </c>
      <c r="B425" s="24" t="str">
        <f>"600880"</f>
        <v>600880</v>
      </c>
      <c r="C425" s="24" t="str">
        <f t="shared" si="6"/>
        <v>'600880.SS'</v>
      </c>
      <c r="D425" s="24" t="s">
        <v>4246</v>
      </c>
      <c r="E425" s="24" t="s">
        <v>4247</v>
      </c>
      <c r="F425" s="24">
        <v>1.9670000000000001</v>
      </c>
      <c r="G425" s="24">
        <v>5914926617.7200003</v>
      </c>
      <c r="H425" s="24">
        <v>2.1046999999999998</v>
      </c>
      <c r="I425" s="24">
        <v>1.9585999999999999</v>
      </c>
      <c r="J425" s="24">
        <v>1.2432000000000001</v>
      </c>
      <c r="K425" s="24">
        <v>322</v>
      </c>
      <c r="L425" s="24" t="s">
        <v>4248</v>
      </c>
    </row>
    <row r="426" spans="1:12" x14ac:dyDescent="0.35">
      <c r="A426" s="24" t="s">
        <v>3246</v>
      </c>
      <c r="B426" s="24" t="str">
        <f>"603810"</f>
        <v>603810</v>
      </c>
      <c r="C426" s="24" t="str">
        <f t="shared" si="6"/>
        <v>'603810.SS'</v>
      </c>
      <c r="D426" s="24" t="s">
        <v>4249</v>
      </c>
      <c r="E426" s="24" t="s">
        <v>3492</v>
      </c>
      <c r="F426" s="24">
        <v>1.9615</v>
      </c>
      <c r="G426" s="24">
        <v>2940765105.5999999</v>
      </c>
      <c r="H426" s="24">
        <v>2.8740999999999999</v>
      </c>
      <c r="I426" s="24">
        <v>2.3235000000000001</v>
      </c>
      <c r="J426" s="24">
        <v>0.80620000000000003</v>
      </c>
      <c r="K426" s="24">
        <v>96</v>
      </c>
      <c r="L426" s="24" t="s">
        <v>4250</v>
      </c>
    </row>
    <row r="427" spans="1:12" x14ac:dyDescent="0.35">
      <c r="A427" s="24" t="s">
        <v>3246</v>
      </c>
      <c r="B427" s="24" t="str">
        <f>"603535"</f>
        <v>603535</v>
      </c>
      <c r="C427" s="24" t="str">
        <f t="shared" si="6"/>
        <v>'603535.SS'</v>
      </c>
      <c r="D427" s="24" t="s">
        <v>4251</v>
      </c>
      <c r="E427" s="24" t="s">
        <v>3805</v>
      </c>
      <c r="F427" s="24">
        <v>1.9584999999999999</v>
      </c>
      <c r="G427" s="24">
        <v>4270767858.8499999</v>
      </c>
      <c r="H427" s="24">
        <v>4.1902999999999997</v>
      </c>
      <c r="I427" s="24">
        <v>3.8424</v>
      </c>
      <c r="J427" s="24">
        <v>1.7170000000000001</v>
      </c>
      <c r="K427" s="24">
        <v>93</v>
      </c>
      <c r="L427" s="24" t="s">
        <v>4252</v>
      </c>
    </row>
    <row r="428" spans="1:12" x14ac:dyDescent="0.35">
      <c r="A428" s="24" t="s">
        <v>3242</v>
      </c>
      <c r="B428" s="24" t="str">
        <f>"301190"</f>
        <v>301190</v>
      </c>
      <c r="C428" s="24" t="str">
        <f t="shared" si="6"/>
        <v>'301190.SZ'</v>
      </c>
      <c r="D428" s="24" t="s">
        <v>4253</v>
      </c>
      <c r="E428" s="24" t="s">
        <v>4036</v>
      </c>
      <c r="F428" s="24">
        <v>1.9537</v>
      </c>
      <c r="G428" s="24">
        <v>3983653440</v>
      </c>
      <c r="H428" s="24">
        <v>10.9046</v>
      </c>
      <c r="I428" s="24">
        <v>10.358499999999999</v>
      </c>
      <c r="J428" s="24">
        <v>7.6546000000000003</v>
      </c>
      <c r="K428" s="24">
        <v>22</v>
      </c>
      <c r="L428" s="24" t="s">
        <v>4254</v>
      </c>
    </row>
    <row r="429" spans="1:12" x14ac:dyDescent="0.35">
      <c r="A429" s="24" t="s">
        <v>3246</v>
      </c>
      <c r="B429" s="24" t="str">
        <f>"688228"</f>
        <v>688228</v>
      </c>
      <c r="C429" s="24" t="str">
        <f t="shared" si="6"/>
        <v>'688228.SS'</v>
      </c>
      <c r="D429" s="24" t="s">
        <v>4255</v>
      </c>
      <c r="E429" s="24" t="s">
        <v>3722</v>
      </c>
      <c r="F429" s="24">
        <v>1.9486000000000001</v>
      </c>
      <c r="G429" s="24">
        <v>2332887040</v>
      </c>
      <c r="H429" s="24">
        <v>5.3497000000000003</v>
      </c>
      <c r="I429" s="24">
        <v>4.4592999999999998</v>
      </c>
      <c r="J429" s="24">
        <v>3.056</v>
      </c>
      <c r="K429" s="24">
        <v>99</v>
      </c>
      <c r="L429" s="24" t="s">
        <v>4256</v>
      </c>
    </row>
    <row r="430" spans="1:12" x14ac:dyDescent="0.35">
      <c r="A430" s="24" t="s">
        <v>3242</v>
      </c>
      <c r="B430" s="24" t="str">
        <f>"001210"</f>
        <v>001210</v>
      </c>
      <c r="C430" s="24" t="str">
        <f t="shared" si="6"/>
        <v>'001210.SZ'</v>
      </c>
      <c r="D430" s="24" t="s">
        <v>4257</v>
      </c>
      <c r="E430" s="24" t="s">
        <v>3332</v>
      </c>
      <c r="F430" s="24">
        <v>1.9457</v>
      </c>
      <c r="G430" s="24">
        <v>2404824040.5</v>
      </c>
      <c r="H430" s="24">
        <v>4.0831999999999997</v>
      </c>
      <c r="I430" s="24">
        <v>3.9537</v>
      </c>
      <c r="J430" s="24">
        <v>1.7322</v>
      </c>
      <c r="K430" s="24">
        <v>39</v>
      </c>
      <c r="L430" s="24" t="s">
        <v>4258</v>
      </c>
    </row>
    <row r="431" spans="1:12" x14ac:dyDescent="0.35">
      <c r="A431" s="24" t="s">
        <v>3246</v>
      </c>
      <c r="B431" s="24" t="str">
        <f>"600724"</f>
        <v>600724</v>
      </c>
      <c r="C431" s="24" t="str">
        <f t="shared" si="6"/>
        <v>'600724.SS'</v>
      </c>
      <c r="D431" s="24" t="s">
        <v>4259</v>
      </c>
      <c r="E431" s="24" t="s">
        <v>3549</v>
      </c>
      <c r="F431" s="24">
        <v>1.9439</v>
      </c>
      <c r="G431" s="24">
        <v>5463011248.3800001</v>
      </c>
      <c r="H431" s="24">
        <v>2.9140000000000001</v>
      </c>
      <c r="I431" s="24">
        <v>2.3157000000000001</v>
      </c>
      <c r="J431" s="24">
        <v>1.6781999999999999</v>
      </c>
      <c r="K431" s="24">
        <v>172</v>
      </c>
      <c r="L431" s="24" t="s">
        <v>4260</v>
      </c>
    </row>
    <row r="432" spans="1:12" x14ac:dyDescent="0.35">
      <c r="A432" s="24" t="s">
        <v>3242</v>
      </c>
      <c r="B432" s="24" t="str">
        <f>"000869"</f>
        <v>000869</v>
      </c>
      <c r="C432" s="24" t="str">
        <f t="shared" si="6"/>
        <v>'000869.SZ'</v>
      </c>
      <c r="D432" s="24" t="s">
        <v>4261</v>
      </c>
      <c r="E432" s="24" t="s">
        <v>3854</v>
      </c>
      <c r="F432" s="24">
        <v>1.9408000000000001</v>
      </c>
      <c r="G432" s="24">
        <v>20509082880</v>
      </c>
      <c r="H432" s="24">
        <v>2.6353</v>
      </c>
      <c r="I432" s="24">
        <v>1.1315</v>
      </c>
      <c r="J432" s="24">
        <v>0.8478</v>
      </c>
      <c r="K432" s="24">
        <v>860</v>
      </c>
      <c r="L432" s="24" t="s">
        <v>4262</v>
      </c>
    </row>
    <row r="433" spans="1:12" x14ac:dyDescent="0.35">
      <c r="A433" s="24" t="s">
        <v>3246</v>
      </c>
      <c r="B433" s="24" t="str">
        <f>"605289"</f>
        <v>605289</v>
      </c>
      <c r="C433" s="24" t="str">
        <f t="shared" si="6"/>
        <v>'605289.SS'</v>
      </c>
      <c r="D433" s="24" t="s">
        <v>4263</v>
      </c>
      <c r="E433" s="24" t="s">
        <v>4264</v>
      </c>
      <c r="F433" s="24">
        <v>1.9379999999999999</v>
      </c>
      <c r="G433" s="24">
        <v>2448427500</v>
      </c>
      <c r="H433" s="24">
        <v>3.3837000000000002</v>
      </c>
      <c r="I433" s="24">
        <v>2.3022999999999998</v>
      </c>
      <c r="J433" s="24">
        <v>0.84499999999999997</v>
      </c>
      <c r="K433" s="24">
        <v>35</v>
      </c>
      <c r="L433" s="24" t="s">
        <v>4265</v>
      </c>
    </row>
    <row r="434" spans="1:12" x14ac:dyDescent="0.35">
      <c r="A434" s="24" t="s">
        <v>3242</v>
      </c>
      <c r="B434" s="24" t="str">
        <f>"301366"</f>
        <v>301366</v>
      </c>
      <c r="C434" s="24" t="str">
        <f t="shared" si="6"/>
        <v>'301366.SZ'</v>
      </c>
      <c r="D434" s="24" t="s">
        <v>4266</v>
      </c>
      <c r="E434" s="24" t="s">
        <v>3466</v>
      </c>
      <c r="F434" s="24">
        <v>1.9367000000000001</v>
      </c>
      <c r="G434" s="24">
        <v>3968333365.0799999</v>
      </c>
      <c r="H434" s="24">
        <v>8.8063000000000002</v>
      </c>
      <c r="I434" s="24">
        <v>7.6828000000000003</v>
      </c>
      <c r="J434" s="24">
        <v>6.4717000000000002</v>
      </c>
      <c r="K434" s="24">
        <v>8</v>
      </c>
      <c r="L434" s="24" t="s">
        <v>4267</v>
      </c>
    </row>
    <row r="435" spans="1:12" x14ac:dyDescent="0.35">
      <c r="A435" s="24" t="s">
        <v>3242</v>
      </c>
      <c r="B435" s="24" t="str">
        <f>"300683"</f>
        <v>300683</v>
      </c>
      <c r="C435" s="24" t="str">
        <f t="shared" si="6"/>
        <v>'300683.SZ'</v>
      </c>
      <c r="D435" s="24" t="s">
        <v>4268</v>
      </c>
      <c r="E435" s="24" t="s">
        <v>3282</v>
      </c>
      <c r="F435" s="24">
        <v>1.9317</v>
      </c>
      <c r="G435" s="24">
        <v>4526401396.5500002</v>
      </c>
      <c r="H435" s="24">
        <v>6.3444000000000003</v>
      </c>
      <c r="I435" s="24">
        <v>5.0155000000000003</v>
      </c>
      <c r="J435" s="24">
        <v>1.5026999999999999</v>
      </c>
      <c r="K435" s="24">
        <v>123</v>
      </c>
      <c r="L435" s="24" t="s">
        <v>4269</v>
      </c>
    </row>
    <row r="436" spans="1:12" x14ac:dyDescent="0.35">
      <c r="A436" s="24" t="s">
        <v>3246</v>
      </c>
      <c r="B436" s="24" t="str">
        <f>"688049"</f>
        <v>688049</v>
      </c>
      <c r="C436" s="24" t="str">
        <f t="shared" si="6"/>
        <v>'688049.SS'</v>
      </c>
      <c r="D436" s="24" t="s">
        <v>4270</v>
      </c>
      <c r="E436" s="24" t="s">
        <v>3277</v>
      </c>
      <c r="F436" s="24">
        <v>1.9317</v>
      </c>
      <c r="G436" s="24">
        <v>3408680000</v>
      </c>
      <c r="H436" s="24">
        <v>24.8812</v>
      </c>
      <c r="I436" s="24">
        <v>21.247800000000002</v>
      </c>
      <c r="J436" s="24">
        <v>17.584</v>
      </c>
      <c r="K436" s="24">
        <v>39</v>
      </c>
      <c r="L436" s="24" t="s">
        <v>4271</v>
      </c>
    </row>
    <row r="437" spans="1:12" x14ac:dyDescent="0.35">
      <c r="A437" s="24" t="s">
        <v>3242</v>
      </c>
      <c r="B437" s="24" t="str">
        <f>"301166"</f>
        <v>301166</v>
      </c>
      <c r="C437" s="24" t="str">
        <f t="shared" si="6"/>
        <v>'301166.SZ'</v>
      </c>
      <c r="D437" s="24" t="s">
        <v>4272</v>
      </c>
      <c r="E437" s="24" t="s">
        <v>3282</v>
      </c>
      <c r="F437" s="24">
        <v>1.9308000000000001</v>
      </c>
      <c r="G437" s="24">
        <v>4117533396.6799998</v>
      </c>
      <c r="H437" s="24">
        <v>9.8068000000000008</v>
      </c>
      <c r="I437" s="24">
        <v>8.9398999999999997</v>
      </c>
      <c r="J437" s="24">
        <v>3.8965000000000001</v>
      </c>
      <c r="K437" s="24">
        <v>38</v>
      </c>
      <c r="L437" s="24" t="s">
        <v>4273</v>
      </c>
    </row>
    <row r="438" spans="1:12" x14ac:dyDescent="0.35">
      <c r="A438" s="24" t="s">
        <v>3246</v>
      </c>
      <c r="B438" s="24" t="str">
        <f>"600794"</f>
        <v>600794</v>
      </c>
      <c r="C438" s="24" t="str">
        <f t="shared" si="6"/>
        <v>'600794.SS'</v>
      </c>
      <c r="D438" s="24" t="s">
        <v>4274</v>
      </c>
      <c r="E438" s="24" t="s">
        <v>4275</v>
      </c>
      <c r="F438" s="24">
        <v>1.9281999999999999</v>
      </c>
      <c r="G438" s="24">
        <v>4436476894.6199999</v>
      </c>
      <c r="H438" s="24">
        <v>2.9415</v>
      </c>
      <c r="I438" s="24">
        <v>2.7650999999999999</v>
      </c>
      <c r="J438" s="24">
        <v>0.80330000000000001</v>
      </c>
      <c r="K438" s="24">
        <v>112</v>
      </c>
      <c r="L438" s="24" t="s">
        <v>4276</v>
      </c>
    </row>
    <row r="439" spans="1:12" x14ac:dyDescent="0.35">
      <c r="A439" s="24" t="s">
        <v>3242</v>
      </c>
      <c r="B439" s="24" t="str">
        <f>"300148"</f>
        <v>300148</v>
      </c>
      <c r="C439" s="24" t="str">
        <f t="shared" si="6"/>
        <v>'300148.SZ'</v>
      </c>
      <c r="D439" s="24" t="s">
        <v>4277</v>
      </c>
      <c r="E439" s="24" t="s">
        <v>3481</v>
      </c>
      <c r="F439" s="24">
        <v>1.9278999999999999</v>
      </c>
      <c r="G439" s="24">
        <v>2890274126.7800002</v>
      </c>
      <c r="H439" s="24">
        <v>3.7263999999999999</v>
      </c>
      <c r="I439" s="24">
        <v>3.3727999999999998</v>
      </c>
      <c r="J439" s="24">
        <v>1.9119999999999999</v>
      </c>
      <c r="K439" s="24">
        <v>99</v>
      </c>
      <c r="L439" s="24" t="s">
        <v>4278</v>
      </c>
    </row>
    <row r="440" spans="1:12" x14ac:dyDescent="0.35">
      <c r="A440" s="24" t="s">
        <v>3242</v>
      </c>
      <c r="B440" s="24" t="str">
        <f>"300081"</f>
        <v>300081</v>
      </c>
      <c r="C440" s="24" t="str">
        <f t="shared" si="6"/>
        <v>'300081.SZ'</v>
      </c>
      <c r="D440" s="24" t="s">
        <v>4279</v>
      </c>
      <c r="E440" s="24" t="s">
        <v>3339</v>
      </c>
      <c r="F440" s="24">
        <v>1.9278999999999999</v>
      </c>
      <c r="G440" s="24">
        <v>4167040423.1300001</v>
      </c>
      <c r="H440" s="24">
        <v>4.3727999999999998</v>
      </c>
      <c r="I440" s="24">
        <v>2.5682999999999998</v>
      </c>
      <c r="J440" s="24">
        <v>0.99550000000000005</v>
      </c>
      <c r="K440" s="24">
        <v>157</v>
      </c>
      <c r="L440" s="24" t="s">
        <v>4280</v>
      </c>
    </row>
    <row r="441" spans="1:12" x14ac:dyDescent="0.35">
      <c r="A441" s="24" t="s">
        <v>3242</v>
      </c>
      <c r="B441" s="24" t="str">
        <f>"300006"</f>
        <v>300006</v>
      </c>
      <c r="C441" s="24" t="str">
        <f t="shared" si="6"/>
        <v>'300006.SZ'</v>
      </c>
      <c r="D441" s="24" t="s">
        <v>4281</v>
      </c>
      <c r="E441" s="24" t="s">
        <v>3696</v>
      </c>
      <c r="F441" s="24">
        <v>1.9242999999999999</v>
      </c>
      <c r="G441" s="24">
        <v>4118053699.5</v>
      </c>
      <c r="H441" s="24">
        <v>2.7174</v>
      </c>
      <c r="I441" s="24">
        <v>2.4296000000000002</v>
      </c>
      <c r="J441" s="24">
        <v>1.1175999999999999</v>
      </c>
      <c r="K441" s="24">
        <v>132</v>
      </c>
      <c r="L441" s="24" t="s">
        <v>4282</v>
      </c>
    </row>
    <row r="442" spans="1:12" x14ac:dyDescent="0.35">
      <c r="A442" s="24" t="s">
        <v>3242</v>
      </c>
      <c r="B442" s="24" t="str">
        <f>"300308"</f>
        <v>300308</v>
      </c>
      <c r="C442" s="24" t="str">
        <f t="shared" si="6"/>
        <v>'300308.SZ'</v>
      </c>
      <c r="D442" s="24" t="s">
        <v>4283</v>
      </c>
      <c r="E442" s="24" t="s">
        <v>3314</v>
      </c>
      <c r="F442" s="24">
        <v>1.9231</v>
      </c>
      <c r="G442" s="24">
        <v>22763334014.959999</v>
      </c>
      <c r="H442" s="24">
        <v>3.0301</v>
      </c>
      <c r="I442" s="24">
        <v>1.7031000000000001</v>
      </c>
      <c r="J442" s="24">
        <v>0.81610000000000005</v>
      </c>
      <c r="K442" s="24">
        <v>855</v>
      </c>
      <c r="L442" s="24" t="s">
        <v>4284</v>
      </c>
    </row>
    <row r="443" spans="1:12" x14ac:dyDescent="0.35">
      <c r="A443" s="24" t="s">
        <v>3246</v>
      </c>
      <c r="B443" s="24" t="str">
        <f>"600640"</f>
        <v>600640</v>
      </c>
      <c r="C443" s="24" t="str">
        <f t="shared" si="6"/>
        <v>'600640.SS'</v>
      </c>
      <c r="D443" s="24" t="s">
        <v>4285</v>
      </c>
      <c r="E443" s="24" t="s">
        <v>3408</v>
      </c>
      <c r="F443" s="24">
        <v>1.9214</v>
      </c>
      <c r="G443" s="24">
        <v>7789863252.6000004</v>
      </c>
      <c r="H443" s="24">
        <v>3.4603000000000002</v>
      </c>
      <c r="I443" s="24">
        <v>3.3853</v>
      </c>
      <c r="J443" s="24">
        <v>1.3365</v>
      </c>
      <c r="K443" s="24">
        <v>168</v>
      </c>
      <c r="L443" s="24" t="s">
        <v>4286</v>
      </c>
    </row>
    <row r="444" spans="1:12" x14ac:dyDescent="0.35">
      <c r="A444" s="24" t="s">
        <v>3242</v>
      </c>
      <c r="B444" s="24" t="str">
        <f>"301135"</f>
        <v>301135</v>
      </c>
      <c r="C444" s="24" t="str">
        <f t="shared" si="6"/>
        <v>'301135.SZ'</v>
      </c>
      <c r="D444" s="24" t="s">
        <v>4287</v>
      </c>
      <c r="E444" s="24" t="s">
        <v>3327</v>
      </c>
      <c r="F444" s="24">
        <v>1.921</v>
      </c>
      <c r="G444" s="24">
        <v>2447654580</v>
      </c>
      <c r="H444" s="24">
        <v>3.2816999999999998</v>
      </c>
      <c r="I444" s="24">
        <v>2.859</v>
      </c>
      <c r="J444" s="24">
        <v>1.895</v>
      </c>
      <c r="K444" s="24">
        <v>13</v>
      </c>
      <c r="L444" s="24" t="s">
        <v>4288</v>
      </c>
    </row>
    <row r="445" spans="1:12" x14ac:dyDescent="0.35">
      <c r="A445" s="24" t="s">
        <v>3246</v>
      </c>
      <c r="B445" s="24" t="str">
        <f>"688330"</f>
        <v>688330</v>
      </c>
      <c r="C445" s="24" t="str">
        <f t="shared" si="6"/>
        <v>'688330.SS'</v>
      </c>
      <c r="D445" s="24" t="s">
        <v>4289</v>
      </c>
      <c r="E445" s="24" t="s">
        <v>3354</v>
      </c>
      <c r="F445" s="24">
        <v>1.9197</v>
      </c>
      <c r="G445" s="24">
        <v>6720000000</v>
      </c>
      <c r="H445" s="24">
        <v>7.1513999999999998</v>
      </c>
      <c r="I445" s="24">
        <v>5.9078999999999997</v>
      </c>
      <c r="J445" s="24">
        <v>1.1149</v>
      </c>
      <c r="K445" s="24">
        <v>103</v>
      </c>
      <c r="L445" s="24" t="s">
        <v>4290</v>
      </c>
    </row>
    <row r="446" spans="1:12" x14ac:dyDescent="0.35">
      <c r="A446" s="24" t="s">
        <v>3242</v>
      </c>
      <c r="B446" s="24" t="str">
        <f>"300822"</f>
        <v>300822</v>
      </c>
      <c r="C446" s="24" t="str">
        <f t="shared" si="6"/>
        <v>'300822.SZ'</v>
      </c>
      <c r="D446" s="24" t="s">
        <v>4291</v>
      </c>
      <c r="E446" s="24" t="s">
        <v>3327</v>
      </c>
      <c r="F446" s="24">
        <v>1.9196</v>
      </c>
      <c r="G446" s="24">
        <v>2408075250</v>
      </c>
      <c r="H446" s="24">
        <v>3.2330999999999999</v>
      </c>
      <c r="I446" s="24">
        <v>2.2991999999999999</v>
      </c>
      <c r="J446" s="24">
        <v>1.1686000000000001</v>
      </c>
      <c r="K446" s="24">
        <v>138</v>
      </c>
      <c r="L446" s="24" t="s">
        <v>4292</v>
      </c>
    </row>
    <row r="447" spans="1:12" x14ac:dyDescent="0.35">
      <c r="A447" s="24" t="s">
        <v>3246</v>
      </c>
      <c r="B447" s="24" t="str">
        <f>"603687"</f>
        <v>603687</v>
      </c>
      <c r="C447" s="24" t="str">
        <f t="shared" si="6"/>
        <v>'603687.SS'</v>
      </c>
      <c r="D447" s="24" t="s">
        <v>4293</v>
      </c>
      <c r="E447" s="24" t="s">
        <v>4294</v>
      </c>
      <c r="F447" s="24">
        <v>1.9193</v>
      </c>
      <c r="G447" s="24">
        <v>3703887111.1199999</v>
      </c>
      <c r="H447" s="24">
        <v>2.8965999999999998</v>
      </c>
      <c r="I447" s="24">
        <v>2.3096000000000001</v>
      </c>
      <c r="J447" s="24">
        <v>1.4414</v>
      </c>
      <c r="K447" s="24">
        <v>96</v>
      </c>
      <c r="L447" s="24" t="s">
        <v>4295</v>
      </c>
    </row>
    <row r="448" spans="1:12" x14ac:dyDescent="0.35">
      <c r="A448" s="24" t="s">
        <v>3246</v>
      </c>
      <c r="B448" s="24" t="str">
        <f>"601156"</f>
        <v>601156</v>
      </c>
      <c r="C448" s="24" t="str">
        <f t="shared" si="6"/>
        <v>'601156.SS'</v>
      </c>
      <c r="D448" s="24" t="s">
        <v>4296</v>
      </c>
      <c r="E448" s="24" t="s">
        <v>3805</v>
      </c>
      <c r="F448" s="24">
        <v>1.9186000000000001</v>
      </c>
      <c r="G448" s="24">
        <v>24607111118</v>
      </c>
      <c r="H448" s="24">
        <v>2.3622000000000001</v>
      </c>
      <c r="I448" s="24">
        <v>2.3378999999999999</v>
      </c>
      <c r="J448" s="24">
        <v>1.6877</v>
      </c>
      <c r="K448" s="24">
        <v>224</v>
      </c>
      <c r="L448" s="24" t="s">
        <v>4297</v>
      </c>
    </row>
    <row r="449" spans="1:12" x14ac:dyDescent="0.35">
      <c r="A449" s="24" t="s">
        <v>3242</v>
      </c>
      <c r="B449" s="24" t="str">
        <f>"300435"</f>
        <v>300435</v>
      </c>
      <c r="C449" s="24" t="str">
        <f t="shared" si="6"/>
        <v>'300435.SZ'</v>
      </c>
      <c r="D449" s="24" t="s">
        <v>4298</v>
      </c>
      <c r="E449" s="24" t="s">
        <v>3933</v>
      </c>
      <c r="F449" s="24">
        <v>1.9179999999999999</v>
      </c>
      <c r="G449" s="24">
        <v>5267962104</v>
      </c>
      <c r="H449" s="24">
        <v>1.5772999999999999</v>
      </c>
      <c r="I449" s="24">
        <v>1.2903</v>
      </c>
      <c r="J449" s="24">
        <v>0.85660000000000003</v>
      </c>
      <c r="K449" s="24">
        <v>119</v>
      </c>
      <c r="L449" s="24" t="s">
        <v>4299</v>
      </c>
    </row>
    <row r="450" spans="1:12" x14ac:dyDescent="0.35">
      <c r="A450" s="24" t="s">
        <v>3242</v>
      </c>
      <c r="B450" s="24" t="str">
        <f>"300315"</f>
        <v>300315</v>
      </c>
      <c r="C450" s="24" t="str">
        <f t="shared" si="6"/>
        <v>'300315.SZ'</v>
      </c>
      <c r="D450" s="24" t="s">
        <v>4300</v>
      </c>
      <c r="E450" s="24" t="s">
        <v>3481</v>
      </c>
      <c r="F450" s="24">
        <v>1.9176</v>
      </c>
      <c r="G450" s="24">
        <v>8961823624</v>
      </c>
      <c r="H450" s="24">
        <v>5.3631000000000002</v>
      </c>
      <c r="I450" s="24">
        <v>5.1821999999999999</v>
      </c>
      <c r="J450" s="24">
        <v>4.6881000000000004</v>
      </c>
      <c r="K450" s="24">
        <v>459</v>
      </c>
      <c r="L450" s="24" t="s">
        <v>4301</v>
      </c>
    </row>
    <row r="451" spans="1:12" x14ac:dyDescent="0.35">
      <c r="A451" s="24" t="s">
        <v>3246</v>
      </c>
      <c r="B451" s="24" t="str">
        <f>"600613"</f>
        <v>600613</v>
      </c>
      <c r="C451" s="24" t="str">
        <f t="shared" ref="C451:C514" si="7">CONCATENATE("'",B451,IF(A451="sh",".SS'",".SZ'"))</f>
        <v>'600613.SS'</v>
      </c>
      <c r="D451" s="24" t="s">
        <v>4302</v>
      </c>
      <c r="E451" s="24" t="s">
        <v>3696</v>
      </c>
      <c r="F451" s="24">
        <v>1.9068000000000001</v>
      </c>
      <c r="G451" s="24">
        <v>4448816661.2399998</v>
      </c>
      <c r="H451" s="24">
        <v>2.7185999999999999</v>
      </c>
      <c r="I451" s="24">
        <v>2.2458</v>
      </c>
      <c r="J451" s="24">
        <v>1.0797000000000001</v>
      </c>
      <c r="K451" s="24">
        <v>128</v>
      </c>
      <c r="L451" s="24" t="s">
        <v>4303</v>
      </c>
    </row>
    <row r="452" spans="1:12" x14ac:dyDescent="0.35">
      <c r="A452" s="24" t="s">
        <v>3242</v>
      </c>
      <c r="B452" s="24" t="str">
        <f>"300155"</f>
        <v>300155</v>
      </c>
      <c r="C452" s="24" t="str">
        <f t="shared" si="7"/>
        <v>'300155.SZ'</v>
      </c>
      <c r="D452" s="24" t="s">
        <v>4304</v>
      </c>
      <c r="E452" s="24" t="s">
        <v>3565</v>
      </c>
      <c r="F452" s="24">
        <v>1.9045000000000001</v>
      </c>
      <c r="G452" s="24">
        <v>2671444061.4400001</v>
      </c>
      <c r="H452" s="24">
        <v>6.7164999999999999</v>
      </c>
      <c r="I452" s="24">
        <v>5.8559000000000001</v>
      </c>
      <c r="J452" s="24">
        <v>3.0630999999999999</v>
      </c>
      <c r="K452" s="24">
        <v>72</v>
      </c>
      <c r="L452" s="24" t="s">
        <v>4305</v>
      </c>
    </row>
    <row r="453" spans="1:12" x14ac:dyDescent="0.35">
      <c r="A453" s="24" t="s">
        <v>3246</v>
      </c>
      <c r="B453" s="24" t="str">
        <f>"603301"</f>
        <v>603301</v>
      </c>
      <c r="C453" s="24" t="str">
        <f t="shared" si="7"/>
        <v>'603301.SS'</v>
      </c>
      <c r="D453" s="24" t="s">
        <v>4306</v>
      </c>
      <c r="E453" s="24" t="s">
        <v>3319</v>
      </c>
      <c r="F453" s="24">
        <v>1.9045000000000001</v>
      </c>
      <c r="G453" s="24">
        <v>10221068108.719999</v>
      </c>
      <c r="H453" s="24">
        <v>2.4895999999999998</v>
      </c>
      <c r="I453" s="24">
        <v>1.679</v>
      </c>
      <c r="J453" s="24">
        <v>1.036</v>
      </c>
      <c r="K453" s="24">
        <v>1532</v>
      </c>
      <c r="L453" s="24" t="s">
        <v>4307</v>
      </c>
    </row>
    <row r="454" spans="1:12" x14ac:dyDescent="0.35">
      <c r="A454" s="24" t="s">
        <v>3242</v>
      </c>
      <c r="B454" s="24" t="str">
        <f>"300016"</f>
        <v>300016</v>
      </c>
      <c r="C454" s="24" t="str">
        <f t="shared" si="7"/>
        <v>'300016.SZ'</v>
      </c>
      <c r="D454" s="24" t="s">
        <v>4308</v>
      </c>
      <c r="E454" s="24" t="s">
        <v>3696</v>
      </c>
      <c r="F454" s="24">
        <v>1.9041999999999999</v>
      </c>
      <c r="G454" s="24">
        <v>3212476284.5599999</v>
      </c>
      <c r="H454" s="24">
        <v>4.2769000000000004</v>
      </c>
      <c r="I454" s="24">
        <v>3.1907999999999999</v>
      </c>
      <c r="J454" s="24">
        <v>1.3925000000000001</v>
      </c>
      <c r="K454" s="24">
        <v>302</v>
      </c>
      <c r="L454" s="24" t="s">
        <v>4309</v>
      </c>
    </row>
    <row r="455" spans="1:12" x14ac:dyDescent="0.35">
      <c r="A455" s="24" t="s">
        <v>3246</v>
      </c>
      <c r="B455" s="24" t="str">
        <f>"688175"</f>
        <v>688175</v>
      </c>
      <c r="C455" s="24" t="str">
        <f t="shared" si="7"/>
        <v>'688175.SS'</v>
      </c>
      <c r="D455" s="24" t="s">
        <v>4310</v>
      </c>
      <c r="E455" s="24" t="s">
        <v>3383</v>
      </c>
      <c r="F455" s="24">
        <v>1.9029</v>
      </c>
      <c r="G455" s="24">
        <v>3418025683.4099998</v>
      </c>
      <c r="H455" s="24">
        <v>9.2637999999999998</v>
      </c>
      <c r="I455" s="24">
        <v>8.1167999999999996</v>
      </c>
      <c r="J455" s="24">
        <v>0.99790000000000001</v>
      </c>
      <c r="K455" s="24">
        <v>13</v>
      </c>
      <c r="L455" s="24" t="s">
        <v>4311</v>
      </c>
    </row>
    <row r="456" spans="1:12" x14ac:dyDescent="0.35">
      <c r="A456" s="24" t="s">
        <v>3246</v>
      </c>
      <c r="B456" s="24" t="str">
        <f>"603106"</f>
        <v>603106</v>
      </c>
      <c r="C456" s="24" t="str">
        <f t="shared" si="7"/>
        <v>'603106.SS'</v>
      </c>
      <c r="D456" s="24" t="s">
        <v>4312</v>
      </c>
      <c r="E456" s="24" t="s">
        <v>3257</v>
      </c>
      <c r="F456" s="24">
        <v>1.8952</v>
      </c>
      <c r="G456" s="24">
        <v>2930527600</v>
      </c>
      <c r="H456" s="24">
        <v>4.4604999999999997</v>
      </c>
      <c r="I456" s="24">
        <v>3.2736999999999998</v>
      </c>
      <c r="J456" s="24">
        <v>1.5046999999999999</v>
      </c>
      <c r="K456" s="24">
        <v>2940</v>
      </c>
      <c r="L456" s="24" t="s">
        <v>4313</v>
      </c>
    </row>
    <row r="457" spans="1:12" x14ac:dyDescent="0.35">
      <c r="A457" s="24" t="s">
        <v>3246</v>
      </c>
      <c r="B457" s="24" t="str">
        <f>"603010"</f>
        <v>603010</v>
      </c>
      <c r="C457" s="24" t="str">
        <f t="shared" si="7"/>
        <v>'603010.SS'</v>
      </c>
      <c r="D457" s="24" t="s">
        <v>4314</v>
      </c>
      <c r="E457" s="24" t="s">
        <v>3271</v>
      </c>
      <c r="F457" s="24">
        <v>1.8929</v>
      </c>
      <c r="G457" s="24">
        <v>7422794485.8699999</v>
      </c>
      <c r="H457" s="24">
        <v>2.1911999999999998</v>
      </c>
      <c r="I457" s="24">
        <v>1.8189</v>
      </c>
      <c r="J457" s="24">
        <v>1.1589</v>
      </c>
      <c r="K457" s="24">
        <v>285</v>
      </c>
      <c r="L457" s="24" t="s">
        <v>4315</v>
      </c>
    </row>
    <row r="458" spans="1:12" x14ac:dyDescent="0.35">
      <c r="A458" s="24" t="s">
        <v>3246</v>
      </c>
      <c r="B458" s="24" t="str">
        <f>"688227"</f>
        <v>688227</v>
      </c>
      <c r="C458" s="24" t="str">
        <f t="shared" si="7"/>
        <v>'688227.SS'</v>
      </c>
      <c r="D458" s="24" t="s">
        <v>4316</v>
      </c>
      <c r="E458" s="24" t="s">
        <v>3722</v>
      </c>
      <c r="F458" s="24">
        <v>1.8914</v>
      </c>
      <c r="G458" s="24">
        <v>2604793536</v>
      </c>
      <c r="H458" s="24">
        <v>4.8682999999999996</v>
      </c>
      <c r="I458" s="24">
        <v>3.903</v>
      </c>
      <c r="J458" s="24">
        <v>1.7422</v>
      </c>
      <c r="K458" s="24">
        <v>23</v>
      </c>
      <c r="L458" s="24" t="s">
        <v>4317</v>
      </c>
    </row>
    <row r="459" spans="1:12" x14ac:dyDescent="0.35">
      <c r="A459" s="24" t="s">
        <v>3246</v>
      </c>
      <c r="B459" s="24" t="str">
        <f>"688767"</f>
        <v>688767</v>
      </c>
      <c r="C459" s="24" t="str">
        <f t="shared" si="7"/>
        <v>'688767.SS'</v>
      </c>
      <c r="D459" s="24" t="s">
        <v>4318</v>
      </c>
      <c r="E459" s="24" t="s">
        <v>3432</v>
      </c>
      <c r="F459" s="24">
        <v>1.8913</v>
      </c>
      <c r="G459" s="24">
        <v>5056000015.8000002</v>
      </c>
      <c r="H459" s="24">
        <v>8.1646000000000001</v>
      </c>
      <c r="I459" s="24">
        <v>7.4470999999999998</v>
      </c>
      <c r="J459" s="24">
        <v>5.9184999999999999</v>
      </c>
      <c r="K459" s="24">
        <v>68</v>
      </c>
      <c r="L459" s="24" t="s">
        <v>4319</v>
      </c>
    </row>
    <row r="460" spans="1:12" x14ac:dyDescent="0.35">
      <c r="A460" s="24" t="s">
        <v>3246</v>
      </c>
      <c r="B460" s="24" t="str">
        <f>"605018"</f>
        <v>605018</v>
      </c>
      <c r="C460" s="24" t="str">
        <f t="shared" si="7"/>
        <v>'605018.SS'</v>
      </c>
      <c r="D460" s="24" t="s">
        <v>4320</v>
      </c>
      <c r="E460" s="24" t="s">
        <v>3299</v>
      </c>
      <c r="F460" s="24">
        <v>1.8908</v>
      </c>
      <c r="G460" s="24">
        <v>5030962116.5100002</v>
      </c>
      <c r="H460" s="24">
        <v>3.3315000000000001</v>
      </c>
      <c r="I460" s="24">
        <v>2.0594999999999999</v>
      </c>
      <c r="J460" s="24">
        <v>0.97860000000000003</v>
      </c>
      <c r="K460" s="24">
        <v>61</v>
      </c>
      <c r="L460" s="24" t="s">
        <v>4321</v>
      </c>
    </row>
    <row r="461" spans="1:12" x14ac:dyDescent="0.35">
      <c r="A461" s="24" t="s">
        <v>3246</v>
      </c>
      <c r="B461" s="24" t="str">
        <f>"605180"</f>
        <v>605180</v>
      </c>
      <c r="C461" s="24" t="str">
        <f t="shared" si="7"/>
        <v>'605180.SS'</v>
      </c>
      <c r="D461" s="24" t="s">
        <v>4322</v>
      </c>
      <c r="E461" s="24" t="s">
        <v>3357</v>
      </c>
      <c r="F461" s="24">
        <v>1.8896999999999999</v>
      </c>
      <c r="G461" s="24">
        <v>2072200000</v>
      </c>
      <c r="H461" s="24">
        <v>39.727400000000003</v>
      </c>
      <c r="I461" s="24">
        <v>31.6129</v>
      </c>
      <c r="J461" s="24">
        <v>25.337199999999999</v>
      </c>
      <c r="K461" s="24">
        <v>54</v>
      </c>
      <c r="L461" s="24" t="s">
        <v>4323</v>
      </c>
    </row>
    <row r="462" spans="1:12" x14ac:dyDescent="0.35">
      <c r="A462" s="24" t="s">
        <v>3242</v>
      </c>
      <c r="B462" s="24" t="str">
        <f>"300183"</f>
        <v>300183</v>
      </c>
      <c r="C462" s="24" t="str">
        <f t="shared" si="7"/>
        <v>'300183.SZ'</v>
      </c>
      <c r="D462" s="24" t="s">
        <v>4324</v>
      </c>
      <c r="E462" s="24" t="s">
        <v>3374</v>
      </c>
      <c r="F462" s="24">
        <v>1.8892</v>
      </c>
      <c r="G462" s="24">
        <v>5805744669.3500004</v>
      </c>
      <c r="H462" s="24">
        <v>7.7325999999999997</v>
      </c>
      <c r="I462" s="24">
        <v>6.5430999999999999</v>
      </c>
      <c r="J462" s="24">
        <v>3.5081000000000002</v>
      </c>
      <c r="K462" s="24">
        <v>280</v>
      </c>
      <c r="L462" s="24" t="s">
        <v>4325</v>
      </c>
    </row>
    <row r="463" spans="1:12" x14ac:dyDescent="0.35">
      <c r="A463" s="24" t="s">
        <v>3246</v>
      </c>
      <c r="B463" s="24" t="str">
        <f>"603036"</f>
        <v>603036</v>
      </c>
      <c r="C463" s="24" t="str">
        <f t="shared" si="7"/>
        <v>'603036.SS'</v>
      </c>
      <c r="D463" s="24" t="s">
        <v>4326</v>
      </c>
      <c r="E463" s="24" t="s">
        <v>3840</v>
      </c>
      <c r="F463" s="24">
        <v>1.8875</v>
      </c>
      <c r="G463" s="24">
        <v>2217230032</v>
      </c>
      <c r="H463" s="24">
        <v>7.4530000000000003</v>
      </c>
      <c r="I463" s="24">
        <v>6.1844999999999999</v>
      </c>
      <c r="J463" s="24">
        <v>1.4901</v>
      </c>
      <c r="K463" s="24">
        <v>66</v>
      </c>
      <c r="L463" s="24" t="s">
        <v>4327</v>
      </c>
    </row>
    <row r="464" spans="1:12" x14ac:dyDescent="0.35">
      <c r="A464" s="24" t="s">
        <v>3246</v>
      </c>
      <c r="B464" s="24" t="str">
        <f>"688426"</f>
        <v>688426</v>
      </c>
      <c r="C464" s="24" t="str">
        <f t="shared" si="7"/>
        <v>'688426.SS'</v>
      </c>
      <c r="D464" s="24" t="s">
        <v>4328</v>
      </c>
      <c r="E464" s="24" t="s">
        <v>3282</v>
      </c>
      <c r="F464" s="24">
        <v>1.8866000000000001</v>
      </c>
      <c r="G464" s="24">
        <v>3491212582.0900002</v>
      </c>
      <c r="H464" s="24">
        <v>6.3284000000000002</v>
      </c>
      <c r="I464" s="24">
        <v>5.5193000000000003</v>
      </c>
      <c r="J464" s="24">
        <v>1.1109</v>
      </c>
      <c r="K464" s="24">
        <v>5</v>
      </c>
      <c r="L464" s="24" t="s">
        <v>4329</v>
      </c>
    </row>
    <row r="465" spans="1:12" x14ac:dyDescent="0.35">
      <c r="A465" s="24" t="s">
        <v>3242</v>
      </c>
      <c r="B465" s="24" t="str">
        <f>"301186"</f>
        <v>301186</v>
      </c>
      <c r="C465" s="24" t="str">
        <f t="shared" si="7"/>
        <v>'301186.SZ'</v>
      </c>
      <c r="D465" s="24" t="s">
        <v>4330</v>
      </c>
      <c r="E465" s="24" t="s">
        <v>3299</v>
      </c>
      <c r="F465" s="24">
        <v>1.8857999999999999</v>
      </c>
      <c r="G465" s="24">
        <v>2119464484.8599999</v>
      </c>
      <c r="H465" s="24">
        <v>3.51</v>
      </c>
      <c r="I465" s="24">
        <v>2.4253</v>
      </c>
      <c r="J465" s="24">
        <v>1.1534</v>
      </c>
      <c r="K465" s="24">
        <v>15</v>
      </c>
      <c r="L465" s="24" t="s">
        <v>4331</v>
      </c>
    </row>
    <row r="466" spans="1:12" x14ac:dyDescent="0.35">
      <c r="A466" s="24" t="s">
        <v>3242</v>
      </c>
      <c r="B466" s="24" t="str">
        <f>"301217"</f>
        <v>301217</v>
      </c>
      <c r="C466" s="24" t="str">
        <f t="shared" si="7"/>
        <v>'301217.SZ'</v>
      </c>
      <c r="D466" s="24" t="s">
        <v>4332</v>
      </c>
      <c r="E466" s="24" t="s">
        <v>1316</v>
      </c>
      <c r="F466" s="24">
        <v>1.8845000000000001</v>
      </c>
      <c r="G466" s="24">
        <v>10569948186</v>
      </c>
      <c r="H466" s="24">
        <v>13.1791</v>
      </c>
      <c r="I466" s="24">
        <v>11.5349</v>
      </c>
      <c r="J466" s="24">
        <v>6.7698</v>
      </c>
      <c r="K466" s="24">
        <v>36</v>
      </c>
      <c r="L466" s="24" t="s">
        <v>4333</v>
      </c>
    </row>
    <row r="467" spans="1:12" x14ac:dyDescent="0.35">
      <c r="A467" s="24" t="s">
        <v>3242</v>
      </c>
      <c r="B467" s="24" t="str">
        <f>"300002"</f>
        <v>300002</v>
      </c>
      <c r="C467" s="24" t="str">
        <f t="shared" si="7"/>
        <v>'300002.SZ'</v>
      </c>
      <c r="D467" s="24" t="s">
        <v>4334</v>
      </c>
      <c r="E467" s="24" t="s">
        <v>3481</v>
      </c>
      <c r="F467" s="24">
        <v>1.8841000000000001</v>
      </c>
      <c r="G467" s="24">
        <v>8864135767.6800003</v>
      </c>
      <c r="H467" s="24">
        <v>2.7418</v>
      </c>
      <c r="I467" s="24">
        <v>2.4081999999999999</v>
      </c>
      <c r="J467" s="24">
        <v>1.6621999999999999</v>
      </c>
      <c r="K467" s="24">
        <v>287</v>
      </c>
      <c r="L467" s="24" t="s">
        <v>4335</v>
      </c>
    </row>
    <row r="468" spans="1:12" x14ac:dyDescent="0.35">
      <c r="A468" s="24" t="s">
        <v>3246</v>
      </c>
      <c r="B468" s="24" t="str">
        <f>"603393"</f>
        <v>603393</v>
      </c>
      <c r="C468" s="24" t="str">
        <f t="shared" si="7"/>
        <v>'603393.SS'</v>
      </c>
      <c r="D468" s="24" t="s">
        <v>4336</v>
      </c>
      <c r="E468" s="24" t="s">
        <v>3933</v>
      </c>
      <c r="F468" s="24">
        <v>1.8832</v>
      </c>
      <c r="G468" s="24">
        <v>9415292672.6700001</v>
      </c>
      <c r="H468" s="24">
        <v>2.2400000000000002</v>
      </c>
      <c r="I468" s="24">
        <v>2.1884999999999999</v>
      </c>
      <c r="J468" s="24">
        <v>1.4617</v>
      </c>
      <c r="K468" s="24">
        <v>528</v>
      </c>
      <c r="L468" s="24" t="s">
        <v>4337</v>
      </c>
    </row>
    <row r="469" spans="1:12" x14ac:dyDescent="0.35">
      <c r="A469" s="24" t="s">
        <v>3246</v>
      </c>
      <c r="B469" s="24" t="str">
        <f>"603948"</f>
        <v>603948</v>
      </c>
      <c r="C469" s="24" t="str">
        <f t="shared" si="7"/>
        <v>'603948.SS'</v>
      </c>
      <c r="D469" s="24" t="s">
        <v>4338</v>
      </c>
      <c r="E469" s="24" t="s">
        <v>3271</v>
      </c>
      <c r="F469" s="24">
        <v>1.8803000000000001</v>
      </c>
      <c r="G469" s="24">
        <v>3653674400</v>
      </c>
      <c r="H469" s="24">
        <v>3.1269999999999998</v>
      </c>
      <c r="I469" s="24">
        <v>2.8130000000000002</v>
      </c>
      <c r="J469" s="24">
        <v>1.4665999999999999</v>
      </c>
      <c r="K469" s="24">
        <v>74</v>
      </c>
      <c r="L469" s="24" t="s">
        <v>4339</v>
      </c>
    </row>
    <row r="470" spans="1:12" x14ac:dyDescent="0.35">
      <c r="A470" s="24" t="s">
        <v>3246</v>
      </c>
      <c r="B470" s="24" t="str">
        <f>"688416"</f>
        <v>688416</v>
      </c>
      <c r="C470" s="24" t="str">
        <f t="shared" si="7"/>
        <v>'688416.SS'</v>
      </c>
      <c r="D470" s="24" t="s">
        <v>4340</v>
      </c>
      <c r="E470" s="24" t="s">
        <v>3277</v>
      </c>
      <c r="F470" s="24">
        <v>1.8793</v>
      </c>
      <c r="G470" s="24">
        <v>3220374762.6300001</v>
      </c>
      <c r="H470" s="24">
        <v>8.6105</v>
      </c>
      <c r="I470" s="24">
        <v>6.1841999999999997</v>
      </c>
      <c r="J470" s="24">
        <v>5.5053999999999998</v>
      </c>
      <c r="K470" s="24">
        <v>11</v>
      </c>
      <c r="L470" s="24" t="s">
        <v>4341</v>
      </c>
    </row>
    <row r="471" spans="1:12" x14ac:dyDescent="0.35">
      <c r="A471" s="24" t="s">
        <v>3242</v>
      </c>
      <c r="B471" s="24" t="str">
        <f>"301309"</f>
        <v>301309</v>
      </c>
      <c r="C471" s="24" t="str">
        <f t="shared" si="7"/>
        <v>'301309.SZ'</v>
      </c>
      <c r="D471" s="24" t="s">
        <v>4342</v>
      </c>
      <c r="E471" s="24" t="s">
        <v>3351</v>
      </c>
      <c r="F471" s="24">
        <v>1.8771</v>
      </c>
      <c r="G471" s="24">
        <v>2580000000</v>
      </c>
      <c r="H471" s="24">
        <v>4.8635999999999999</v>
      </c>
      <c r="I471" s="24">
        <v>4.1660000000000004</v>
      </c>
      <c r="J471" s="24">
        <v>3.613</v>
      </c>
      <c r="K471" s="24">
        <v>5</v>
      </c>
      <c r="L471" s="24" t="s">
        <v>4343</v>
      </c>
    </row>
    <row r="472" spans="1:12" x14ac:dyDescent="0.35">
      <c r="A472" s="24" t="s">
        <v>3242</v>
      </c>
      <c r="B472" s="24" t="str">
        <f>"001230"</f>
        <v>001230</v>
      </c>
      <c r="C472" s="24" t="str">
        <f t="shared" si="7"/>
        <v>'001230.SZ'</v>
      </c>
      <c r="D472" s="24" t="s">
        <v>4344</v>
      </c>
      <c r="E472" s="24" t="s">
        <v>3422</v>
      </c>
      <c r="F472" s="24">
        <v>1.8754999999999999</v>
      </c>
      <c r="G472" s="24">
        <v>2957493389.4000001</v>
      </c>
      <c r="H472" s="24">
        <v>4.4641000000000002</v>
      </c>
      <c r="I472" s="24">
        <v>4.2381000000000002</v>
      </c>
      <c r="J472" s="24">
        <v>1.4359999999999999</v>
      </c>
      <c r="K472" s="24">
        <v>14</v>
      </c>
      <c r="L472" s="24" t="s">
        <v>4345</v>
      </c>
    </row>
    <row r="473" spans="1:12" x14ac:dyDescent="0.35">
      <c r="A473" s="24" t="s">
        <v>3246</v>
      </c>
      <c r="B473" s="24" t="str">
        <f>"688335"</f>
        <v>688335</v>
      </c>
      <c r="C473" s="24" t="str">
        <f t="shared" si="7"/>
        <v>'688335.SS'</v>
      </c>
      <c r="D473" s="24" t="s">
        <v>4346</v>
      </c>
      <c r="E473" s="24" t="s">
        <v>4197</v>
      </c>
      <c r="F473" s="24">
        <v>1.8740000000000001</v>
      </c>
      <c r="G473" s="24">
        <v>2203203408.6999998</v>
      </c>
      <c r="H473" s="24">
        <v>4.0171000000000001</v>
      </c>
      <c r="I473" s="24">
        <v>2.9007999999999998</v>
      </c>
      <c r="J473" s="24">
        <v>1.1466000000000001</v>
      </c>
      <c r="K473" s="24">
        <v>70</v>
      </c>
      <c r="L473" s="24" t="s">
        <v>4347</v>
      </c>
    </row>
    <row r="474" spans="1:12" x14ac:dyDescent="0.35">
      <c r="A474" s="24" t="s">
        <v>3242</v>
      </c>
      <c r="B474" s="24" t="str">
        <f>"301227"</f>
        <v>301227</v>
      </c>
      <c r="C474" s="24" t="str">
        <f t="shared" si="7"/>
        <v>'301227.SZ'</v>
      </c>
      <c r="D474" s="24" t="s">
        <v>4348</v>
      </c>
      <c r="E474" s="24" t="s">
        <v>4349</v>
      </c>
      <c r="F474" s="24">
        <v>1.8717999999999999</v>
      </c>
      <c r="G474" s="24">
        <v>3306624000</v>
      </c>
      <c r="H474" s="24">
        <v>4.0773999999999999</v>
      </c>
      <c r="I474" s="24">
        <v>3.6040000000000001</v>
      </c>
      <c r="J474" s="24">
        <v>2.6032999999999999</v>
      </c>
      <c r="K474" s="24">
        <v>3</v>
      </c>
      <c r="L474" s="24" t="s">
        <v>4350</v>
      </c>
    </row>
    <row r="475" spans="1:12" x14ac:dyDescent="0.35">
      <c r="A475" s="24" t="s">
        <v>3242</v>
      </c>
      <c r="B475" s="24" t="str">
        <f>"300788"</f>
        <v>300788</v>
      </c>
      <c r="C475" s="24" t="str">
        <f t="shared" si="7"/>
        <v>'300788.SZ'</v>
      </c>
      <c r="D475" s="24" t="s">
        <v>4351</v>
      </c>
      <c r="E475" s="24" t="s">
        <v>4352</v>
      </c>
      <c r="F475" s="24">
        <v>1.8716999999999999</v>
      </c>
      <c r="G475" s="24">
        <v>3882893936.3000002</v>
      </c>
      <c r="H475" s="24">
        <v>2.7004000000000001</v>
      </c>
      <c r="I475" s="24">
        <v>1.8372999999999999</v>
      </c>
      <c r="J475" s="24">
        <v>1.4901</v>
      </c>
      <c r="K475" s="24">
        <v>362</v>
      </c>
      <c r="L475" s="24" t="s">
        <v>4353</v>
      </c>
    </row>
    <row r="476" spans="1:12" x14ac:dyDescent="0.35">
      <c r="A476" s="24" t="s">
        <v>3246</v>
      </c>
      <c r="B476" s="24" t="str">
        <f>"601579"</f>
        <v>601579</v>
      </c>
      <c r="C476" s="24" t="str">
        <f t="shared" si="7"/>
        <v>'601579.SS'</v>
      </c>
      <c r="D476" s="24" t="s">
        <v>4354</v>
      </c>
      <c r="E476" s="24" t="s">
        <v>3854</v>
      </c>
      <c r="F476" s="24">
        <v>1.8669</v>
      </c>
      <c r="G476" s="24">
        <v>6793937600</v>
      </c>
      <c r="H476" s="24">
        <v>3.2345999999999999</v>
      </c>
      <c r="I476" s="24">
        <v>1.1491</v>
      </c>
      <c r="J476" s="24">
        <v>0.84750000000000003</v>
      </c>
      <c r="K476" s="24">
        <v>202</v>
      </c>
      <c r="L476" s="24" t="s">
        <v>4355</v>
      </c>
    </row>
    <row r="477" spans="1:12" x14ac:dyDescent="0.35">
      <c r="A477" s="24" t="s">
        <v>3242</v>
      </c>
      <c r="B477" s="24" t="str">
        <f>"300609"</f>
        <v>300609</v>
      </c>
      <c r="C477" s="24" t="str">
        <f t="shared" si="7"/>
        <v>'300609.SZ'</v>
      </c>
      <c r="D477" s="24" t="s">
        <v>4356</v>
      </c>
      <c r="E477" s="24" t="s">
        <v>3722</v>
      </c>
      <c r="F477" s="24">
        <v>1.8668</v>
      </c>
      <c r="G477" s="24">
        <v>2003110056.4000001</v>
      </c>
      <c r="H477" s="24">
        <v>4.2576999999999998</v>
      </c>
      <c r="I477" s="24">
        <v>3.7054</v>
      </c>
      <c r="J477" s="24">
        <v>0.84079999999999999</v>
      </c>
      <c r="K477" s="24">
        <v>159</v>
      </c>
      <c r="L477" s="24" t="s">
        <v>4357</v>
      </c>
    </row>
    <row r="478" spans="1:12" x14ac:dyDescent="0.35">
      <c r="A478" s="24" t="s">
        <v>3242</v>
      </c>
      <c r="B478" s="24" t="str">
        <f>"002174"</f>
        <v>002174</v>
      </c>
      <c r="C478" s="24" t="str">
        <f t="shared" si="7"/>
        <v>'002174.SZ'</v>
      </c>
      <c r="D478" s="24" t="s">
        <v>4358</v>
      </c>
      <c r="E478" s="24" t="s">
        <v>3481</v>
      </c>
      <c r="F478" s="24">
        <v>1.8645</v>
      </c>
      <c r="G478" s="24">
        <v>9451790433.1200008</v>
      </c>
      <c r="H478" s="24">
        <v>2.8576999999999999</v>
      </c>
      <c r="I478" s="24">
        <v>2.7877000000000001</v>
      </c>
      <c r="J478" s="24">
        <v>1.7065999999999999</v>
      </c>
      <c r="K478" s="24">
        <v>734</v>
      </c>
      <c r="L478" s="24" t="s">
        <v>4359</v>
      </c>
    </row>
    <row r="479" spans="1:12" x14ac:dyDescent="0.35">
      <c r="A479" s="24" t="s">
        <v>3246</v>
      </c>
      <c r="B479" s="24" t="str">
        <f>"603339"</f>
        <v>603339</v>
      </c>
      <c r="C479" s="24" t="str">
        <f t="shared" si="7"/>
        <v>'603339.SS'</v>
      </c>
      <c r="D479" s="24" t="s">
        <v>4360</v>
      </c>
      <c r="E479" s="24" t="s">
        <v>4007</v>
      </c>
      <c r="F479" s="24">
        <v>1.8640000000000001</v>
      </c>
      <c r="G479" s="24">
        <v>3936091746</v>
      </c>
      <c r="H479" s="24">
        <v>2.4295</v>
      </c>
      <c r="I479" s="24">
        <v>1.1164000000000001</v>
      </c>
      <c r="J479" s="24">
        <v>0.85340000000000005</v>
      </c>
      <c r="K479" s="24">
        <v>179</v>
      </c>
      <c r="L479" s="24" t="s">
        <v>4361</v>
      </c>
    </row>
    <row r="480" spans="1:12" x14ac:dyDescent="0.35">
      <c r="A480" s="24" t="s">
        <v>3242</v>
      </c>
      <c r="B480" s="24" t="str">
        <f>"301106"</f>
        <v>301106</v>
      </c>
      <c r="C480" s="24" t="str">
        <f t="shared" si="7"/>
        <v>'301106.SZ'</v>
      </c>
      <c r="D480" s="24" t="s">
        <v>4362</v>
      </c>
      <c r="E480" s="24" t="s">
        <v>3568</v>
      </c>
      <c r="F480" s="24">
        <v>1.86</v>
      </c>
      <c r="G480" s="24">
        <v>2061461371.2</v>
      </c>
      <c r="H480" s="24">
        <v>5.0609000000000002</v>
      </c>
      <c r="I480" s="24">
        <v>4.468</v>
      </c>
      <c r="J480" s="24">
        <v>1.0111000000000001</v>
      </c>
      <c r="K480" s="24">
        <v>19</v>
      </c>
      <c r="L480" s="24" t="s">
        <v>4363</v>
      </c>
    </row>
    <row r="481" spans="1:12" x14ac:dyDescent="0.35">
      <c r="A481" s="24" t="s">
        <v>3246</v>
      </c>
      <c r="B481" s="24" t="str">
        <f>"603790"</f>
        <v>603790</v>
      </c>
      <c r="C481" s="24" t="str">
        <f t="shared" si="7"/>
        <v>'603790.SS'</v>
      </c>
      <c r="D481" s="24" t="s">
        <v>4364</v>
      </c>
      <c r="E481" s="24" t="s">
        <v>4036</v>
      </c>
      <c r="F481" s="24">
        <v>1.8548</v>
      </c>
      <c r="G481" s="24">
        <v>2242739200</v>
      </c>
      <c r="H481" s="24">
        <v>3.6341000000000001</v>
      </c>
      <c r="I481" s="24">
        <v>2.1343999999999999</v>
      </c>
      <c r="J481" s="24">
        <v>0.87019999999999997</v>
      </c>
      <c r="K481" s="24">
        <v>73</v>
      </c>
      <c r="L481" s="24" t="s">
        <v>4365</v>
      </c>
    </row>
    <row r="482" spans="1:12" x14ac:dyDescent="0.35">
      <c r="A482" s="24" t="s">
        <v>3246</v>
      </c>
      <c r="B482" s="24" t="str">
        <f>"688253"</f>
        <v>688253</v>
      </c>
      <c r="C482" s="24" t="str">
        <f t="shared" si="7"/>
        <v>'688253.SS'</v>
      </c>
      <c r="D482" s="24" t="s">
        <v>4366</v>
      </c>
      <c r="E482" s="24" t="s">
        <v>3432</v>
      </c>
      <c r="F482" s="24">
        <v>1.8534999999999999</v>
      </c>
      <c r="G482" s="24">
        <v>3088580523.1999998</v>
      </c>
      <c r="H482" s="24">
        <v>15.6744</v>
      </c>
      <c r="I482" s="24">
        <v>14.8331</v>
      </c>
      <c r="J482" s="24">
        <v>4.5548999999999999</v>
      </c>
      <c r="K482" s="24">
        <v>9</v>
      </c>
      <c r="L482" s="24" t="s">
        <v>4367</v>
      </c>
    </row>
    <row r="483" spans="1:12" x14ac:dyDescent="0.35">
      <c r="A483" s="24" t="s">
        <v>3246</v>
      </c>
      <c r="B483" s="24" t="str">
        <f>"601116"</f>
        <v>601116</v>
      </c>
      <c r="C483" s="24" t="str">
        <f t="shared" si="7"/>
        <v>'601116.SS'</v>
      </c>
      <c r="D483" s="24" t="s">
        <v>4368</v>
      </c>
      <c r="E483" s="24" t="s">
        <v>4369</v>
      </c>
      <c r="F483" s="24">
        <v>1.8517999999999999</v>
      </c>
      <c r="G483" s="24">
        <v>5734192848</v>
      </c>
      <c r="H483" s="24">
        <v>2.1758000000000002</v>
      </c>
      <c r="I483" s="24">
        <v>1.9613</v>
      </c>
      <c r="J483" s="24">
        <v>1.9015</v>
      </c>
      <c r="K483" s="24">
        <v>133</v>
      </c>
      <c r="L483" s="24" t="s">
        <v>4370</v>
      </c>
    </row>
    <row r="484" spans="1:12" x14ac:dyDescent="0.35">
      <c r="A484" s="24" t="s">
        <v>3246</v>
      </c>
      <c r="B484" s="24" t="str">
        <f>"605169"</f>
        <v>605169</v>
      </c>
      <c r="C484" s="24" t="str">
        <f t="shared" si="7"/>
        <v>'605169.SS'</v>
      </c>
      <c r="D484" s="24" t="s">
        <v>4371</v>
      </c>
      <c r="E484" s="24" t="s">
        <v>3933</v>
      </c>
      <c r="F484" s="24">
        <v>1.8517999999999999</v>
      </c>
      <c r="G484" s="24">
        <v>3185228800</v>
      </c>
      <c r="H484" s="24">
        <v>2.4586999999999999</v>
      </c>
      <c r="I484" s="24">
        <v>2.2498999999999998</v>
      </c>
      <c r="J484" s="24">
        <v>2.0693999999999999</v>
      </c>
      <c r="K484" s="24">
        <v>75</v>
      </c>
      <c r="L484" s="24" t="s">
        <v>4372</v>
      </c>
    </row>
    <row r="485" spans="1:12" x14ac:dyDescent="0.35">
      <c r="A485" s="24" t="s">
        <v>3242</v>
      </c>
      <c r="B485" s="24" t="str">
        <f>"301219"</f>
        <v>301219</v>
      </c>
      <c r="C485" s="24" t="str">
        <f t="shared" si="7"/>
        <v>'301219.SZ'</v>
      </c>
      <c r="D485" s="24" t="s">
        <v>4373</v>
      </c>
      <c r="E485" s="24" t="s">
        <v>4374</v>
      </c>
      <c r="F485" s="24">
        <v>1.8511</v>
      </c>
      <c r="G485" s="24">
        <v>16028080617.5</v>
      </c>
      <c r="H485" s="24">
        <v>7.3685999999999998</v>
      </c>
      <c r="I485" s="24">
        <v>4.6893000000000002</v>
      </c>
      <c r="J485" s="24">
        <v>4.0427</v>
      </c>
      <c r="K485" s="24">
        <v>28</v>
      </c>
      <c r="L485" s="24" t="s">
        <v>4375</v>
      </c>
    </row>
    <row r="486" spans="1:12" x14ac:dyDescent="0.35">
      <c r="A486" s="24" t="s">
        <v>3246</v>
      </c>
      <c r="B486" s="24" t="str">
        <f>"688275"</f>
        <v>688275</v>
      </c>
      <c r="C486" s="24" t="str">
        <f t="shared" si="7"/>
        <v>'688275.SS'</v>
      </c>
      <c r="D486" s="24" t="s">
        <v>4376</v>
      </c>
      <c r="E486" s="24" t="s">
        <v>3377</v>
      </c>
      <c r="F486" s="24">
        <v>1.8465</v>
      </c>
      <c r="G486" s="24">
        <v>15561143654.58</v>
      </c>
      <c r="H486" s="24">
        <v>2.0888</v>
      </c>
      <c r="I486" s="24">
        <v>1.6541999999999999</v>
      </c>
      <c r="J486" s="24">
        <v>1.2679</v>
      </c>
      <c r="K486" s="24">
        <v>10</v>
      </c>
      <c r="L486" s="24" t="s">
        <v>4377</v>
      </c>
    </row>
    <row r="487" spans="1:12" x14ac:dyDescent="0.35">
      <c r="A487" s="24" t="s">
        <v>3242</v>
      </c>
      <c r="B487" s="24" t="str">
        <f>"300818"</f>
        <v>300818</v>
      </c>
      <c r="C487" s="24" t="str">
        <f t="shared" si="7"/>
        <v>'300818.SZ'</v>
      </c>
      <c r="D487" s="24" t="s">
        <v>4378</v>
      </c>
      <c r="E487" s="24" t="s">
        <v>3690</v>
      </c>
      <c r="F487" s="24">
        <v>1.8432999999999999</v>
      </c>
      <c r="G487" s="24">
        <v>2160947508.9299998</v>
      </c>
      <c r="H487" s="24">
        <v>3.0169999999999999</v>
      </c>
      <c r="I487" s="24">
        <v>2.3681000000000001</v>
      </c>
      <c r="J487" s="24">
        <v>1.4188000000000001</v>
      </c>
      <c r="K487" s="24">
        <v>97</v>
      </c>
      <c r="L487" s="24" t="s">
        <v>4379</v>
      </c>
    </row>
    <row r="488" spans="1:12" x14ac:dyDescent="0.35">
      <c r="A488" s="24" t="s">
        <v>3242</v>
      </c>
      <c r="B488" s="24" t="str">
        <f>"300652"</f>
        <v>300652</v>
      </c>
      <c r="C488" s="24" t="str">
        <f t="shared" si="7"/>
        <v>'300652.SZ'</v>
      </c>
      <c r="D488" s="24" t="s">
        <v>4380</v>
      </c>
      <c r="E488" s="24" t="s">
        <v>3699</v>
      </c>
      <c r="F488" s="24">
        <v>1.8412999999999999</v>
      </c>
      <c r="G488" s="24">
        <v>2258405007.3299999</v>
      </c>
      <c r="H488" s="24">
        <v>4.2847</v>
      </c>
      <c r="I488" s="24">
        <v>3.3403999999999998</v>
      </c>
      <c r="J488" s="24">
        <v>1.01</v>
      </c>
      <c r="K488" s="24">
        <v>103</v>
      </c>
      <c r="L488" s="24" t="s">
        <v>4381</v>
      </c>
    </row>
    <row r="489" spans="1:12" x14ac:dyDescent="0.35">
      <c r="A489" s="24" t="s">
        <v>3242</v>
      </c>
      <c r="B489" s="24" t="str">
        <f>"300805"</f>
        <v>300805</v>
      </c>
      <c r="C489" s="24" t="str">
        <f t="shared" si="7"/>
        <v>'300805.SZ'</v>
      </c>
      <c r="D489" s="24" t="s">
        <v>4382</v>
      </c>
      <c r="E489" s="24" t="s">
        <v>3408</v>
      </c>
      <c r="F489" s="24">
        <v>1.8393999999999999</v>
      </c>
      <c r="G489" s="24">
        <v>2966842300</v>
      </c>
      <c r="H489" s="24">
        <v>2.9340999999999999</v>
      </c>
      <c r="I489" s="24">
        <v>2.6291000000000002</v>
      </c>
      <c r="J489" s="24">
        <v>1.3608</v>
      </c>
      <c r="K489" s="24">
        <v>72</v>
      </c>
      <c r="L489" s="24" t="s">
        <v>4383</v>
      </c>
    </row>
    <row r="490" spans="1:12" x14ac:dyDescent="0.35">
      <c r="A490" s="24" t="s">
        <v>3242</v>
      </c>
      <c r="B490" s="24" t="str">
        <f>"301318"</f>
        <v>301318</v>
      </c>
      <c r="C490" s="24" t="str">
        <f t="shared" si="7"/>
        <v>'301318.SZ'</v>
      </c>
      <c r="D490" s="24" t="s">
        <v>4384</v>
      </c>
      <c r="E490" s="24" t="s">
        <v>3565</v>
      </c>
      <c r="F490" s="24">
        <v>1.8371999999999999</v>
      </c>
      <c r="G490" s="24">
        <v>3065928040</v>
      </c>
      <c r="H490" s="24">
        <v>23.4649</v>
      </c>
      <c r="I490" s="24">
        <v>21.847200000000001</v>
      </c>
      <c r="J490" s="24">
        <v>16.091999999999999</v>
      </c>
      <c r="K490" s="24">
        <v>7</v>
      </c>
      <c r="L490" s="24" t="s">
        <v>4385</v>
      </c>
    </row>
    <row r="491" spans="1:12" x14ac:dyDescent="0.35">
      <c r="A491" s="24" t="s">
        <v>3246</v>
      </c>
      <c r="B491" s="24" t="str">
        <f>"600007"</f>
        <v>600007</v>
      </c>
      <c r="C491" s="24" t="str">
        <f t="shared" si="7"/>
        <v>'600007.SS'</v>
      </c>
      <c r="D491" s="24" t="s">
        <v>4386</v>
      </c>
      <c r="E491" s="24" t="s">
        <v>4387</v>
      </c>
      <c r="F491" s="24">
        <v>1.8304</v>
      </c>
      <c r="G491" s="24">
        <v>16287758574.780001</v>
      </c>
      <c r="H491" s="24">
        <v>2.2498999999999998</v>
      </c>
      <c r="I491" s="24">
        <v>2.2218</v>
      </c>
      <c r="J491" s="24">
        <v>1.9791000000000001</v>
      </c>
      <c r="K491" s="24">
        <v>341</v>
      </c>
      <c r="L491" s="24" t="s">
        <v>4388</v>
      </c>
    </row>
    <row r="492" spans="1:12" x14ac:dyDescent="0.35">
      <c r="A492" s="24" t="s">
        <v>3242</v>
      </c>
      <c r="B492" s="24" t="str">
        <f>"301110"</f>
        <v>301110</v>
      </c>
      <c r="C492" s="24" t="str">
        <f t="shared" si="7"/>
        <v>'301110.SZ'</v>
      </c>
      <c r="D492" s="24" t="s">
        <v>4389</v>
      </c>
      <c r="E492" s="24" t="s">
        <v>3755</v>
      </c>
      <c r="F492" s="24">
        <v>1.8291999999999999</v>
      </c>
      <c r="G492" s="24">
        <v>2520000012.5999999</v>
      </c>
      <c r="H492" s="24">
        <v>12.5251</v>
      </c>
      <c r="I492" s="24">
        <v>10.7996</v>
      </c>
      <c r="J492" s="24">
        <v>6.7427000000000001</v>
      </c>
      <c r="K492" s="24">
        <v>16</v>
      </c>
      <c r="L492" s="24" t="s">
        <v>4390</v>
      </c>
    </row>
    <row r="493" spans="1:12" x14ac:dyDescent="0.35">
      <c r="A493" s="24" t="s">
        <v>3246</v>
      </c>
      <c r="B493" s="24" t="str">
        <f>"688011"</f>
        <v>688011</v>
      </c>
      <c r="C493" s="24" t="str">
        <f t="shared" si="7"/>
        <v>'688011.SS'</v>
      </c>
      <c r="D493" s="24" t="s">
        <v>4391</v>
      </c>
      <c r="E493" s="24" t="s">
        <v>3383</v>
      </c>
      <c r="F493" s="24">
        <v>1.8278000000000001</v>
      </c>
      <c r="G493" s="24">
        <v>2249000000</v>
      </c>
      <c r="H493" s="24">
        <v>9.1448</v>
      </c>
      <c r="I493" s="24">
        <v>7.3380000000000001</v>
      </c>
      <c r="J493" s="24">
        <v>2.5388999999999999</v>
      </c>
      <c r="K493" s="24">
        <v>93</v>
      </c>
      <c r="L493" s="24" t="s">
        <v>4392</v>
      </c>
    </row>
    <row r="494" spans="1:12" x14ac:dyDescent="0.35">
      <c r="A494" s="24" t="s">
        <v>3246</v>
      </c>
      <c r="B494" s="24" t="str">
        <f>"688338"</f>
        <v>688338</v>
      </c>
      <c r="C494" s="24" t="str">
        <f t="shared" si="7"/>
        <v>'688338.SS'</v>
      </c>
      <c r="D494" s="24" t="s">
        <v>4393</v>
      </c>
      <c r="E494" s="24" t="s">
        <v>3432</v>
      </c>
      <c r="F494" s="24">
        <v>1.8277000000000001</v>
      </c>
      <c r="G494" s="24">
        <v>2702548800</v>
      </c>
      <c r="H494" s="24">
        <v>16.2195</v>
      </c>
      <c r="I494" s="24">
        <v>15.654999999999999</v>
      </c>
      <c r="J494" s="24">
        <v>15.2904</v>
      </c>
      <c r="K494" s="24">
        <v>53</v>
      </c>
      <c r="L494" s="24" t="s">
        <v>4394</v>
      </c>
    </row>
    <row r="495" spans="1:12" x14ac:dyDescent="0.35">
      <c r="A495" s="24" t="s">
        <v>3246</v>
      </c>
      <c r="B495" s="24" t="str">
        <f>"688073"</f>
        <v>688073</v>
      </c>
      <c r="C495" s="24" t="str">
        <f t="shared" si="7"/>
        <v>'688073.SS'</v>
      </c>
      <c r="D495" s="24" t="s">
        <v>4395</v>
      </c>
      <c r="E495" s="24" t="s">
        <v>3500</v>
      </c>
      <c r="F495" s="24">
        <v>1.8273999999999999</v>
      </c>
      <c r="G495" s="24">
        <v>6302083335.3599997</v>
      </c>
      <c r="H495" s="24">
        <v>10.111800000000001</v>
      </c>
      <c r="I495" s="24">
        <v>7.8642000000000003</v>
      </c>
      <c r="J495" s="24">
        <v>7.0129000000000001</v>
      </c>
      <c r="K495" s="24">
        <v>8</v>
      </c>
      <c r="L495" s="24" t="s">
        <v>4396</v>
      </c>
    </row>
    <row r="496" spans="1:12" x14ac:dyDescent="0.35">
      <c r="A496" s="24" t="s">
        <v>3246</v>
      </c>
      <c r="B496" s="24" t="str">
        <f>"688289"</f>
        <v>688289</v>
      </c>
      <c r="C496" s="24" t="str">
        <f t="shared" si="7"/>
        <v>'688289.SS'</v>
      </c>
      <c r="D496" s="24" t="s">
        <v>4397</v>
      </c>
      <c r="E496" s="24" t="s">
        <v>3432</v>
      </c>
      <c r="F496" s="24">
        <v>1.8264</v>
      </c>
      <c r="G496" s="24">
        <v>13175614989.17</v>
      </c>
      <c r="H496" s="24">
        <v>8.8940999999999999</v>
      </c>
      <c r="I496" s="24">
        <v>7.9759000000000002</v>
      </c>
      <c r="J496" s="24">
        <v>3.0792999999999999</v>
      </c>
      <c r="K496" s="24">
        <v>232</v>
      </c>
      <c r="L496" s="24" t="s">
        <v>4398</v>
      </c>
    </row>
    <row r="497" spans="1:12" x14ac:dyDescent="0.35">
      <c r="A497" s="24" t="s">
        <v>3246</v>
      </c>
      <c r="B497" s="24" t="str">
        <f>"600080"</f>
        <v>600080</v>
      </c>
      <c r="C497" s="24" t="str">
        <f t="shared" si="7"/>
        <v>'600080.SS'</v>
      </c>
      <c r="D497" s="24" t="s">
        <v>4399</v>
      </c>
      <c r="E497" s="24" t="s">
        <v>3311</v>
      </c>
      <c r="F497" s="24">
        <v>1.8234999999999999</v>
      </c>
      <c r="G497" s="24">
        <v>3072014445.5500002</v>
      </c>
      <c r="H497" s="24">
        <v>3.1049000000000002</v>
      </c>
      <c r="I497" s="24">
        <v>2.7513999999999998</v>
      </c>
      <c r="J497" s="24">
        <v>1.1970000000000001</v>
      </c>
      <c r="K497" s="24">
        <v>103</v>
      </c>
      <c r="L497" s="24" t="s">
        <v>4400</v>
      </c>
    </row>
    <row r="498" spans="1:12" x14ac:dyDescent="0.35">
      <c r="A498" s="24" t="s">
        <v>3242</v>
      </c>
      <c r="B498" s="24" t="str">
        <f>"301150"</f>
        <v>301150</v>
      </c>
      <c r="C498" s="24" t="str">
        <f t="shared" si="7"/>
        <v>'301150.SZ'</v>
      </c>
      <c r="D498" s="24" t="s">
        <v>4401</v>
      </c>
      <c r="E498" s="24" t="s">
        <v>3539</v>
      </c>
      <c r="F498" s="24">
        <v>1.8228</v>
      </c>
      <c r="G498" s="24">
        <v>6975483616.1000004</v>
      </c>
      <c r="H498" s="24">
        <v>4.9644000000000004</v>
      </c>
      <c r="I498" s="24">
        <v>4.5049999999999999</v>
      </c>
      <c r="J498" s="24">
        <v>1.8768</v>
      </c>
      <c r="K498" s="24">
        <v>26</v>
      </c>
      <c r="L498" s="24" t="s">
        <v>4402</v>
      </c>
    </row>
    <row r="499" spans="1:12" x14ac:dyDescent="0.35">
      <c r="A499" s="24" t="s">
        <v>3242</v>
      </c>
      <c r="B499" s="24" t="str">
        <f>"300771"</f>
        <v>300771</v>
      </c>
      <c r="C499" s="24" t="str">
        <f t="shared" si="7"/>
        <v>'300771.SZ'</v>
      </c>
      <c r="D499" s="24" t="s">
        <v>4403</v>
      </c>
      <c r="E499" s="24" t="s">
        <v>3257</v>
      </c>
      <c r="F499" s="24">
        <v>1.8212999999999999</v>
      </c>
      <c r="G499" s="24">
        <v>3676800000</v>
      </c>
      <c r="H499" s="24">
        <v>6.9248000000000003</v>
      </c>
      <c r="I499" s="24">
        <v>5.9884000000000004</v>
      </c>
      <c r="J499" s="24">
        <v>3.7469999999999999</v>
      </c>
      <c r="K499" s="24">
        <v>226</v>
      </c>
      <c r="L499" s="24" t="s">
        <v>4404</v>
      </c>
    </row>
    <row r="500" spans="1:12" x14ac:dyDescent="0.35">
      <c r="A500" s="24" t="s">
        <v>3242</v>
      </c>
      <c r="B500" s="24" t="str">
        <f>"003023"</f>
        <v>003023</v>
      </c>
      <c r="C500" s="24" t="str">
        <f t="shared" si="7"/>
        <v>'003023.SZ'</v>
      </c>
      <c r="D500" s="24" t="s">
        <v>4405</v>
      </c>
      <c r="E500" s="24" t="s">
        <v>3386</v>
      </c>
      <c r="F500" s="24">
        <v>1.82</v>
      </c>
      <c r="G500" s="24">
        <v>2502916416</v>
      </c>
      <c r="H500" s="24">
        <v>2.5718000000000001</v>
      </c>
      <c r="I500" s="24">
        <v>1.5679000000000001</v>
      </c>
      <c r="J500" s="24">
        <v>1.3992</v>
      </c>
      <c r="K500" s="24">
        <v>52</v>
      </c>
      <c r="L500" s="24" t="s">
        <v>4406</v>
      </c>
    </row>
    <row r="501" spans="1:12" x14ac:dyDescent="0.35">
      <c r="A501" s="24" t="s">
        <v>3246</v>
      </c>
      <c r="B501" s="24" t="str">
        <f>"688553"</f>
        <v>688553</v>
      </c>
      <c r="C501" s="24" t="str">
        <f t="shared" si="7"/>
        <v>'688553.SS'</v>
      </c>
      <c r="D501" s="24" t="s">
        <v>4407</v>
      </c>
      <c r="E501" s="24" t="s">
        <v>3696</v>
      </c>
      <c r="F501" s="24">
        <v>1.8199000000000001</v>
      </c>
      <c r="G501" s="24">
        <v>6743712000</v>
      </c>
      <c r="H501" s="24">
        <v>5.3433000000000002</v>
      </c>
      <c r="I501" s="24">
        <v>5.0114999999999998</v>
      </c>
      <c r="J501" s="24">
        <v>2.7288000000000001</v>
      </c>
      <c r="K501" s="24">
        <v>39</v>
      </c>
      <c r="L501" s="24" t="s">
        <v>4408</v>
      </c>
    </row>
    <row r="502" spans="1:12" x14ac:dyDescent="0.35">
      <c r="A502" s="24" t="s">
        <v>3242</v>
      </c>
      <c r="B502" s="24" t="str">
        <f>"002012"</f>
        <v>002012</v>
      </c>
      <c r="C502" s="24" t="str">
        <f t="shared" si="7"/>
        <v>'002012.SZ'</v>
      </c>
      <c r="D502" s="24" t="s">
        <v>4409</v>
      </c>
      <c r="E502" s="24" t="s">
        <v>3917</v>
      </c>
      <c r="F502" s="24">
        <v>1.8150999999999999</v>
      </c>
      <c r="G502" s="24">
        <v>2730932744.8000002</v>
      </c>
      <c r="H502" s="24">
        <v>3.5426000000000002</v>
      </c>
      <c r="I502" s="24">
        <v>2.7088000000000001</v>
      </c>
      <c r="J502" s="24">
        <v>1.0246999999999999</v>
      </c>
      <c r="K502" s="24">
        <v>139</v>
      </c>
      <c r="L502" s="24" t="s">
        <v>4410</v>
      </c>
    </row>
    <row r="503" spans="1:12" x14ac:dyDescent="0.35">
      <c r="A503" s="24" t="s">
        <v>3246</v>
      </c>
      <c r="B503" s="24" t="str">
        <f>"600679"</f>
        <v>600679</v>
      </c>
      <c r="C503" s="24" t="str">
        <f t="shared" si="7"/>
        <v>'600679.SS'</v>
      </c>
      <c r="D503" s="24" t="s">
        <v>4411</v>
      </c>
      <c r="E503" s="24" t="s">
        <v>4412</v>
      </c>
      <c r="F503" s="24">
        <v>1.8129999999999999</v>
      </c>
      <c r="G503" s="24">
        <v>4519130633.8900003</v>
      </c>
      <c r="H503" s="24">
        <v>2.3241000000000001</v>
      </c>
      <c r="I503" s="24">
        <v>1.9152</v>
      </c>
      <c r="J503" s="24">
        <v>0.83230000000000004</v>
      </c>
      <c r="K503" s="24">
        <v>84</v>
      </c>
      <c r="L503" s="24" t="s">
        <v>4413</v>
      </c>
    </row>
    <row r="504" spans="1:12" x14ac:dyDescent="0.35">
      <c r="A504" s="24" t="s">
        <v>3242</v>
      </c>
      <c r="B504" s="24" t="str">
        <f>"000429"</f>
        <v>000429</v>
      </c>
      <c r="C504" s="24" t="str">
        <f t="shared" si="7"/>
        <v>'000429.SZ'</v>
      </c>
      <c r="D504" s="24" t="s">
        <v>4414</v>
      </c>
      <c r="E504" s="24" t="s">
        <v>4415</v>
      </c>
      <c r="F504" s="24">
        <v>1.8122</v>
      </c>
      <c r="G504" s="24">
        <v>16203747476.5</v>
      </c>
      <c r="H504" s="24">
        <v>2.9403999999999999</v>
      </c>
      <c r="I504" s="24">
        <v>2.9369000000000001</v>
      </c>
      <c r="J504" s="24">
        <v>2.7726000000000002</v>
      </c>
      <c r="K504" s="24">
        <v>1067</v>
      </c>
      <c r="L504" s="24" t="s">
        <v>4416</v>
      </c>
    </row>
    <row r="505" spans="1:12" x14ac:dyDescent="0.35">
      <c r="A505" s="24" t="s">
        <v>3246</v>
      </c>
      <c r="B505" s="24" t="str">
        <f>"601225"</f>
        <v>601225</v>
      </c>
      <c r="C505" s="24" t="str">
        <f t="shared" si="7"/>
        <v>'601225.SS'</v>
      </c>
      <c r="D505" s="24" t="s">
        <v>4417</v>
      </c>
      <c r="E505" s="24" t="s">
        <v>4418</v>
      </c>
      <c r="F505" s="24">
        <v>1.8122</v>
      </c>
      <c r="G505" s="24">
        <v>183817200000</v>
      </c>
      <c r="H505" s="24">
        <v>2.0482</v>
      </c>
      <c r="I505" s="24">
        <v>1.839</v>
      </c>
      <c r="J505" s="24">
        <v>1.5330999999999999</v>
      </c>
      <c r="K505" s="24">
        <v>2951</v>
      </c>
      <c r="L505" s="24" t="s">
        <v>4419</v>
      </c>
    </row>
    <row r="506" spans="1:12" x14ac:dyDescent="0.35">
      <c r="A506" s="24" t="s">
        <v>3242</v>
      </c>
      <c r="B506" s="24" t="str">
        <f>"300968"</f>
        <v>300968</v>
      </c>
      <c r="C506" s="24" t="str">
        <f t="shared" si="7"/>
        <v>'300968.SZ'</v>
      </c>
      <c r="D506" s="24" t="s">
        <v>4420</v>
      </c>
      <c r="E506" s="24" t="s">
        <v>3327</v>
      </c>
      <c r="F506" s="24">
        <v>1.8120000000000001</v>
      </c>
      <c r="G506" s="24">
        <v>3447589200</v>
      </c>
      <c r="H506" s="24">
        <v>2.3037999999999998</v>
      </c>
      <c r="I506" s="24">
        <v>1.9772000000000001</v>
      </c>
      <c r="J506" s="24">
        <v>1.3959999999999999</v>
      </c>
      <c r="K506" s="24">
        <v>34</v>
      </c>
      <c r="L506" s="24" t="s">
        <v>4421</v>
      </c>
    </row>
    <row r="507" spans="1:12" x14ac:dyDescent="0.35">
      <c r="A507" s="24" t="s">
        <v>3242</v>
      </c>
      <c r="B507" s="24" t="str">
        <f>"301065"</f>
        <v>301065</v>
      </c>
      <c r="C507" s="24" t="str">
        <f t="shared" si="7"/>
        <v>'301065.SZ'</v>
      </c>
      <c r="D507" s="24" t="s">
        <v>4422</v>
      </c>
      <c r="E507" s="24" t="s">
        <v>3658</v>
      </c>
      <c r="F507" s="24">
        <v>1.8112999999999999</v>
      </c>
      <c r="G507" s="24">
        <v>2243383200</v>
      </c>
      <c r="H507" s="24">
        <v>8.5839999999999996</v>
      </c>
      <c r="I507" s="24">
        <v>7.3954000000000004</v>
      </c>
      <c r="J507" s="24">
        <v>5.8977000000000004</v>
      </c>
      <c r="K507" s="24">
        <v>19</v>
      </c>
      <c r="L507" s="24" t="s">
        <v>4423</v>
      </c>
    </row>
    <row r="508" spans="1:12" x14ac:dyDescent="0.35">
      <c r="A508" s="24" t="s">
        <v>3246</v>
      </c>
      <c r="B508" s="24" t="str">
        <f>"603168"</f>
        <v>603168</v>
      </c>
      <c r="C508" s="24" t="str">
        <f t="shared" si="7"/>
        <v>'603168.SS'</v>
      </c>
      <c r="D508" s="24" t="s">
        <v>4424</v>
      </c>
      <c r="E508" s="24" t="s">
        <v>3696</v>
      </c>
      <c r="F508" s="24">
        <v>1.8092999999999999</v>
      </c>
      <c r="G508" s="24">
        <v>3088141101.4499998</v>
      </c>
      <c r="H508" s="24">
        <v>3.2277</v>
      </c>
      <c r="I508" s="24">
        <v>2.6596000000000002</v>
      </c>
      <c r="J508" s="24">
        <v>1.4873000000000001</v>
      </c>
      <c r="K508" s="24">
        <v>530</v>
      </c>
      <c r="L508" s="24" t="s">
        <v>4425</v>
      </c>
    </row>
    <row r="509" spans="1:12" x14ac:dyDescent="0.35">
      <c r="A509" s="24" t="s">
        <v>3242</v>
      </c>
      <c r="B509" s="24" t="str">
        <f>"002461"</f>
        <v>002461</v>
      </c>
      <c r="C509" s="24" t="str">
        <f t="shared" si="7"/>
        <v>'002461.SZ'</v>
      </c>
      <c r="D509" s="24" t="s">
        <v>4426</v>
      </c>
      <c r="E509" s="24" t="s">
        <v>4086</v>
      </c>
      <c r="F509" s="24">
        <v>1.8077000000000001</v>
      </c>
      <c r="G509" s="24">
        <v>17330361998.400002</v>
      </c>
      <c r="H509" s="24">
        <v>3.0123000000000002</v>
      </c>
      <c r="I509" s="24">
        <v>2.4468000000000001</v>
      </c>
      <c r="J509" s="24">
        <v>2.2991999999999999</v>
      </c>
      <c r="K509" s="24">
        <v>481</v>
      </c>
      <c r="L509" s="24" t="s">
        <v>4427</v>
      </c>
    </row>
    <row r="510" spans="1:12" x14ac:dyDescent="0.35">
      <c r="A510" s="24" t="s">
        <v>3246</v>
      </c>
      <c r="B510" s="24" t="str">
        <f>"605003"</f>
        <v>605003</v>
      </c>
      <c r="C510" s="24" t="str">
        <f t="shared" si="7"/>
        <v>'605003.SS'</v>
      </c>
      <c r="D510" s="24" t="s">
        <v>4428</v>
      </c>
      <c r="E510" s="24" t="s">
        <v>4429</v>
      </c>
      <c r="F510" s="24">
        <v>1.8048999999999999</v>
      </c>
      <c r="G510" s="24">
        <v>2021800000</v>
      </c>
      <c r="H510" s="24">
        <v>9.1181000000000001</v>
      </c>
      <c r="I510" s="24">
        <v>7.6760000000000002</v>
      </c>
      <c r="J510" s="24">
        <v>3.3936999999999999</v>
      </c>
      <c r="K510" s="24">
        <v>89</v>
      </c>
      <c r="L510" s="24" t="s">
        <v>4430</v>
      </c>
    </row>
    <row r="511" spans="1:12" x14ac:dyDescent="0.35">
      <c r="A511" s="24" t="s">
        <v>3242</v>
      </c>
      <c r="B511" s="24" t="str">
        <f>"003018"</f>
        <v>003018</v>
      </c>
      <c r="C511" s="24" t="str">
        <f t="shared" si="7"/>
        <v>'003018.SZ'</v>
      </c>
      <c r="D511" s="24" t="s">
        <v>4431</v>
      </c>
      <c r="E511" s="24" t="s">
        <v>4432</v>
      </c>
      <c r="F511" s="24">
        <v>1.8038000000000001</v>
      </c>
      <c r="G511" s="24">
        <v>2496000000</v>
      </c>
      <c r="H511" s="24">
        <v>8.4373000000000005</v>
      </c>
      <c r="I511" s="24">
        <v>7.0717999999999996</v>
      </c>
      <c r="J511" s="24">
        <v>4.9513999999999996</v>
      </c>
      <c r="K511" s="24">
        <v>42</v>
      </c>
      <c r="L511" s="24" t="s">
        <v>4433</v>
      </c>
    </row>
    <row r="512" spans="1:12" x14ac:dyDescent="0.35">
      <c r="A512" s="24" t="s">
        <v>3242</v>
      </c>
      <c r="B512" s="24" t="str">
        <f>"301176"</f>
        <v>301176</v>
      </c>
      <c r="C512" s="24" t="str">
        <f t="shared" si="7"/>
        <v>'301176.SZ'</v>
      </c>
      <c r="D512" s="24" t="s">
        <v>4434</v>
      </c>
      <c r="F512" s="24">
        <v>1.8038000000000001</v>
      </c>
      <c r="G512" s="24">
        <v>3009386672.5999999</v>
      </c>
      <c r="H512" s="24">
        <v>2.4971999999999999</v>
      </c>
      <c r="I512" s="24">
        <v>2.1861000000000002</v>
      </c>
      <c r="J512" s="24">
        <v>1.3872</v>
      </c>
      <c r="K512" s="24">
        <v>6</v>
      </c>
      <c r="L512" s="24" t="s">
        <v>4435</v>
      </c>
    </row>
    <row r="513" spans="1:12" x14ac:dyDescent="0.35">
      <c r="A513" s="24" t="s">
        <v>3246</v>
      </c>
      <c r="B513" s="24" t="str">
        <f>"601388"</f>
        <v>601388</v>
      </c>
      <c r="C513" s="24" t="str">
        <f t="shared" si="7"/>
        <v>'601388.SS'</v>
      </c>
      <c r="D513" s="24" t="s">
        <v>4436</v>
      </c>
      <c r="E513" s="24" t="s">
        <v>1174</v>
      </c>
      <c r="F513" s="24">
        <v>1.8023</v>
      </c>
      <c r="G513" s="24">
        <v>7396844938.5600004</v>
      </c>
      <c r="H513" s="24">
        <v>2.8744999999999998</v>
      </c>
      <c r="I513" s="24">
        <v>1.5789</v>
      </c>
      <c r="J513" s="24">
        <v>0.82540000000000002</v>
      </c>
      <c r="K513" s="24">
        <v>231</v>
      </c>
      <c r="L513" s="24" t="s">
        <v>4437</v>
      </c>
    </row>
    <row r="514" spans="1:12" x14ac:dyDescent="0.35">
      <c r="A514" s="24" t="s">
        <v>3242</v>
      </c>
      <c r="B514" s="24" t="str">
        <f>"301115"</f>
        <v>301115</v>
      </c>
      <c r="C514" s="24" t="str">
        <f t="shared" si="7"/>
        <v>'301115.SZ'</v>
      </c>
      <c r="D514" s="24" t="s">
        <v>4438</v>
      </c>
      <c r="E514" s="24" t="s">
        <v>3342</v>
      </c>
      <c r="F514" s="24">
        <v>1.7870999999999999</v>
      </c>
      <c r="G514" s="24">
        <v>4708562400</v>
      </c>
      <c r="H514" s="24">
        <v>6.0099</v>
      </c>
      <c r="I514" s="24">
        <v>5.6973000000000003</v>
      </c>
      <c r="J514" s="24">
        <v>1.5341</v>
      </c>
      <c r="K514" s="24">
        <v>4</v>
      </c>
      <c r="L514" s="24" t="s">
        <v>4439</v>
      </c>
    </row>
    <row r="515" spans="1:12" x14ac:dyDescent="0.35">
      <c r="A515" s="24" t="s">
        <v>3242</v>
      </c>
      <c r="B515" s="24" t="str">
        <f>"301139"</f>
        <v>301139</v>
      </c>
      <c r="C515" s="24" t="str">
        <f t="shared" ref="C515:C578" si="8">CONCATENATE("'",B515,IF(A515="sh",".SS'",".SZ'"))</f>
        <v>'301139.SZ'</v>
      </c>
      <c r="D515" s="24" t="s">
        <v>4440</v>
      </c>
      <c r="E515" s="24" t="s">
        <v>4188</v>
      </c>
      <c r="F515" s="24">
        <v>1.7776000000000001</v>
      </c>
      <c r="G515" s="24">
        <v>3189064384</v>
      </c>
      <c r="H515" s="24">
        <v>3.1920999999999999</v>
      </c>
      <c r="I515" s="24">
        <v>2.5707</v>
      </c>
      <c r="J515" s="24">
        <v>1.3451</v>
      </c>
      <c r="K515" s="24">
        <v>6</v>
      </c>
      <c r="L515" s="24" t="s">
        <v>4441</v>
      </c>
    </row>
    <row r="516" spans="1:12" x14ac:dyDescent="0.35">
      <c r="A516" s="24" t="s">
        <v>3242</v>
      </c>
      <c r="B516" s="24" t="str">
        <f>"300326"</f>
        <v>300326</v>
      </c>
      <c r="C516" s="24" t="str">
        <f t="shared" si="8"/>
        <v>'300326.SZ'</v>
      </c>
      <c r="D516" s="24" t="s">
        <v>4442</v>
      </c>
      <c r="E516" s="24" t="s">
        <v>3319</v>
      </c>
      <c r="F516" s="24">
        <v>1.7674000000000001</v>
      </c>
      <c r="G516" s="24">
        <v>5248632757.5600004</v>
      </c>
      <c r="H516" s="24">
        <v>3.7181000000000002</v>
      </c>
      <c r="I516" s="24">
        <v>2.9698000000000002</v>
      </c>
      <c r="J516" s="24">
        <v>1.3632</v>
      </c>
      <c r="K516" s="24">
        <v>864</v>
      </c>
      <c r="L516" s="24" t="s">
        <v>4443</v>
      </c>
    </row>
    <row r="517" spans="1:12" x14ac:dyDescent="0.35">
      <c r="A517" s="24" t="s">
        <v>3246</v>
      </c>
      <c r="B517" s="24" t="str">
        <f>"688332"</f>
        <v>688332</v>
      </c>
      <c r="C517" s="24" t="str">
        <f t="shared" si="8"/>
        <v>'688332.SS'</v>
      </c>
      <c r="D517" s="24" t="s">
        <v>4444</v>
      </c>
      <c r="E517" s="24" t="s">
        <v>3277</v>
      </c>
      <c r="F517" s="24">
        <v>1.7649999999999999</v>
      </c>
      <c r="G517" s="24">
        <v>6216000000</v>
      </c>
      <c r="H517" s="24">
        <v>32.345999999999997</v>
      </c>
      <c r="I517" s="24">
        <v>28.223400000000002</v>
      </c>
      <c r="J517" s="24">
        <v>10.922599999999999</v>
      </c>
      <c r="K517" s="24">
        <v>15</v>
      </c>
      <c r="L517" s="24" t="s">
        <v>4445</v>
      </c>
    </row>
    <row r="518" spans="1:12" x14ac:dyDescent="0.35">
      <c r="A518" s="24" t="s">
        <v>3242</v>
      </c>
      <c r="B518" s="24" t="str">
        <f>"301265"</f>
        <v>301265</v>
      </c>
      <c r="C518" s="24" t="str">
        <f t="shared" si="8"/>
        <v>'301265.SZ'</v>
      </c>
      <c r="D518" s="24" t="s">
        <v>4446</v>
      </c>
      <c r="E518" s="24" t="s">
        <v>3422</v>
      </c>
      <c r="F518" s="24">
        <v>1.7644</v>
      </c>
      <c r="G518" s="24">
        <v>3681124161.3000002</v>
      </c>
      <c r="H518" s="24">
        <v>5.5918999999999999</v>
      </c>
      <c r="I518" s="24">
        <v>5.2667999999999999</v>
      </c>
      <c r="J518" s="24">
        <v>1.375</v>
      </c>
      <c r="K518" s="24">
        <v>0</v>
      </c>
      <c r="L518" s="24" t="s">
        <v>4447</v>
      </c>
    </row>
    <row r="519" spans="1:12" x14ac:dyDescent="0.35">
      <c r="A519" s="24" t="s">
        <v>3242</v>
      </c>
      <c r="B519" s="24" t="str">
        <f>"002519"</f>
        <v>002519</v>
      </c>
      <c r="C519" s="24" t="str">
        <f t="shared" si="8"/>
        <v>'002519.SZ'</v>
      </c>
      <c r="D519" s="24" t="s">
        <v>4448</v>
      </c>
      <c r="E519" s="24" t="s">
        <v>3402</v>
      </c>
      <c r="F519" s="24">
        <v>1.7643</v>
      </c>
      <c r="G519" s="24">
        <v>5350546765.5</v>
      </c>
      <c r="H519" s="24">
        <v>5.3453999999999997</v>
      </c>
      <c r="I519" s="24">
        <v>3.9344000000000001</v>
      </c>
      <c r="J519" s="24">
        <v>0.87170000000000003</v>
      </c>
      <c r="K519" s="24">
        <v>173</v>
      </c>
      <c r="L519" s="24" t="s">
        <v>4449</v>
      </c>
    </row>
    <row r="520" spans="1:12" x14ac:dyDescent="0.35">
      <c r="A520" s="24" t="s">
        <v>3242</v>
      </c>
      <c r="B520" s="24" t="str">
        <f>"000715"</f>
        <v>000715</v>
      </c>
      <c r="C520" s="24" t="str">
        <f t="shared" si="8"/>
        <v>'000715.SZ'</v>
      </c>
      <c r="D520" s="24" t="s">
        <v>4450</v>
      </c>
      <c r="E520" s="24" t="s">
        <v>3773</v>
      </c>
      <c r="F520" s="24">
        <v>1.7641</v>
      </c>
      <c r="G520" s="24">
        <v>2972390421</v>
      </c>
      <c r="H520" s="24">
        <v>2.1911</v>
      </c>
      <c r="I520" s="24">
        <v>2.0840000000000001</v>
      </c>
      <c r="J520" s="24">
        <v>2.0642</v>
      </c>
      <c r="K520" s="24">
        <v>107</v>
      </c>
      <c r="L520" s="24" t="s">
        <v>4451</v>
      </c>
    </row>
    <row r="521" spans="1:12" x14ac:dyDescent="0.35">
      <c r="A521" s="24" t="s">
        <v>3242</v>
      </c>
      <c r="B521" s="24" t="str">
        <f>"300306"</f>
        <v>300306</v>
      </c>
      <c r="C521" s="24" t="str">
        <f t="shared" si="8"/>
        <v>'300306.SZ'</v>
      </c>
      <c r="D521" s="24" t="s">
        <v>4452</v>
      </c>
      <c r="E521" s="24" t="s">
        <v>3476</v>
      </c>
      <c r="F521" s="24">
        <v>1.7638</v>
      </c>
      <c r="G521" s="24">
        <v>2598141795.48</v>
      </c>
      <c r="H521" s="24">
        <v>5.9695999999999998</v>
      </c>
      <c r="I521" s="24">
        <v>4.5029000000000003</v>
      </c>
      <c r="J521" s="24">
        <v>1.7381</v>
      </c>
      <c r="K521" s="24">
        <v>170</v>
      </c>
      <c r="L521" s="24" t="s">
        <v>4453</v>
      </c>
    </row>
    <row r="522" spans="1:12" x14ac:dyDescent="0.35">
      <c r="A522" s="24" t="s">
        <v>3246</v>
      </c>
      <c r="B522" s="24" t="str">
        <f>"603390"</f>
        <v>603390</v>
      </c>
      <c r="C522" s="24" t="str">
        <f t="shared" si="8"/>
        <v>'603390.SS'</v>
      </c>
      <c r="D522" s="24" t="s">
        <v>4454</v>
      </c>
      <c r="E522" s="24" t="s">
        <v>3274</v>
      </c>
      <c r="F522" s="24">
        <v>1.7536</v>
      </c>
      <c r="G522" s="24">
        <v>2831080221.1999998</v>
      </c>
      <c r="H522" s="24">
        <v>3.9285000000000001</v>
      </c>
      <c r="I522" s="24">
        <v>3.0083000000000002</v>
      </c>
      <c r="J522" s="24">
        <v>1.2059</v>
      </c>
      <c r="K522" s="24">
        <v>99</v>
      </c>
      <c r="L522" s="24" t="s">
        <v>4455</v>
      </c>
    </row>
    <row r="523" spans="1:12" x14ac:dyDescent="0.35">
      <c r="A523" s="24" t="s">
        <v>3242</v>
      </c>
      <c r="B523" s="24" t="str">
        <f>"300245"</f>
        <v>300245</v>
      </c>
      <c r="C523" s="24" t="str">
        <f t="shared" si="8"/>
        <v>'300245.SZ'</v>
      </c>
      <c r="D523" s="24" t="s">
        <v>4456</v>
      </c>
      <c r="E523" s="24" t="s">
        <v>3722</v>
      </c>
      <c r="F523" s="24">
        <v>1.7508999999999999</v>
      </c>
      <c r="G523" s="24">
        <v>2501390794.1399999</v>
      </c>
      <c r="H523" s="24">
        <v>5.1082999999999998</v>
      </c>
      <c r="I523" s="24">
        <v>3.5825</v>
      </c>
      <c r="J523" s="24">
        <v>2.9476</v>
      </c>
      <c r="K523" s="24">
        <v>130</v>
      </c>
      <c r="L523" s="24" t="s">
        <v>4457</v>
      </c>
    </row>
    <row r="524" spans="1:12" x14ac:dyDescent="0.35">
      <c r="A524" s="24" t="s">
        <v>3246</v>
      </c>
      <c r="B524" s="24" t="str">
        <f>"688336"</f>
        <v>688336</v>
      </c>
      <c r="C524" s="24" t="str">
        <f t="shared" si="8"/>
        <v>'688336.SS'</v>
      </c>
      <c r="D524" s="24" t="s">
        <v>4458</v>
      </c>
      <c r="E524" s="24" t="s">
        <v>3282</v>
      </c>
      <c r="F524" s="24">
        <v>1.7504999999999999</v>
      </c>
      <c r="G524" s="24">
        <v>7993543877.2799997</v>
      </c>
      <c r="H524" s="24">
        <v>8.2155000000000005</v>
      </c>
      <c r="I524" s="24">
        <v>7.4623999999999997</v>
      </c>
      <c r="J524" s="24">
        <v>4.1430999999999996</v>
      </c>
      <c r="K524" s="24">
        <v>49</v>
      </c>
      <c r="L524" s="24" t="s">
        <v>4459</v>
      </c>
    </row>
    <row r="525" spans="1:12" x14ac:dyDescent="0.35">
      <c r="A525" s="24" t="s">
        <v>3242</v>
      </c>
      <c r="B525" s="24" t="str">
        <f>"003041"</f>
        <v>003041</v>
      </c>
      <c r="C525" s="24" t="str">
        <f t="shared" si="8"/>
        <v>'003041.SZ'</v>
      </c>
      <c r="D525" s="24" t="s">
        <v>4460</v>
      </c>
      <c r="E525" s="24" t="s">
        <v>4429</v>
      </c>
      <c r="F525" s="24">
        <v>1.7450000000000001</v>
      </c>
      <c r="G525" s="24">
        <v>2106000000</v>
      </c>
      <c r="H525" s="24">
        <v>3.0651999999999999</v>
      </c>
      <c r="I525" s="24">
        <v>2.1362000000000001</v>
      </c>
      <c r="J525" s="24">
        <v>0.81920000000000004</v>
      </c>
      <c r="K525" s="24">
        <v>34</v>
      </c>
      <c r="L525" s="24" t="s">
        <v>4461</v>
      </c>
    </row>
    <row r="526" spans="1:12" x14ac:dyDescent="0.35">
      <c r="A526" s="24" t="s">
        <v>3242</v>
      </c>
      <c r="B526" s="24" t="str">
        <f>"002962"</f>
        <v>002962</v>
      </c>
      <c r="C526" s="24" t="str">
        <f t="shared" si="8"/>
        <v>'002962.SZ'</v>
      </c>
      <c r="D526" s="24" t="s">
        <v>4462</v>
      </c>
      <c r="E526" s="24" t="s">
        <v>3248</v>
      </c>
      <c r="F526" s="24">
        <v>1.7439</v>
      </c>
      <c r="G526" s="24">
        <v>3128487749.6599998</v>
      </c>
      <c r="H526" s="24">
        <v>8.9482999999999997</v>
      </c>
      <c r="I526" s="24">
        <v>8.2002000000000006</v>
      </c>
      <c r="J526" s="24">
        <v>7.1464999999999996</v>
      </c>
      <c r="K526" s="24">
        <v>151</v>
      </c>
      <c r="L526" s="24" t="s">
        <v>4463</v>
      </c>
    </row>
    <row r="527" spans="1:12" x14ac:dyDescent="0.35">
      <c r="A527" s="24" t="s">
        <v>3242</v>
      </c>
      <c r="B527" s="24" t="str">
        <f>"301279"</f>
        <v>301279</v>
      </c>
      <c r="C527" s="24" t="str">
        <f t="shared" si="8"/>
        <v>'301279.SZ'</v>
      </c>
      <c r="D527" s="24" t="s">
        <v>4464</v>
      </c>
      <c r="E527" s="24" t="s">
        <v>3416</v>
      </c>
      <c r="F527" s="24">
        <v>1.7381</v>
      </c>
      <c r="G527" s="24">
        <v>2252000000</v>
      </c>
      <c r="H527" s="24">
        <v>3.0884</v>
      </c>
      <c r="I527" s="24">
        <v>2.4264999999999999</v>
      </c>
      <c r="J527" s="24">
        <v>1.7236</v>
      </c>
      <c r="K527" s="24">
        <v>8</v>
      </c>
      <c r="L527" s="24" t="s">
        <v>4465</v>
      </c>
    </row>
    <row r="528" spans="1:12" x14ac:dyDescent="0.35">
      <c r="A528" s="24" t="s">
        <v>3246</v>
      </c>
      <c r="B528" s="24" t="str">
        <f>"603630"</f>
        <v>603630</v>
      </c>
      <c r="C528" s="24" t="str">
        <f t="shared" si="8"/>
        <v>'603630.SS'</v>
      </c>
      <c r="D528" s="24" t="s">
        <v>4466</v>
      </c>
      <c r="E528" s="24" t="s">
        <v>4467</v>
      </c>
      <c r="F528" s="24">
        <v>1.7343</v>
      </c>
      <c r="G528" s="24">
        <v>3355038240</v>
      </c>
      <c r="H528" s="24">
        <v>5.8823999999999996</v>
      </c>
      <c r="I528" s="24">
        <v>4.9668999999999999</v>
      </c>
      <c r="J528" s="24">
        <v>3.7471999999999999</v>
      </c>
      <c r="K528" s="24">
        <v>150</v>
      </c>
      <c r="L528" s="24" t="s">
        <v>4468</v>
      </c>
    </row>
    <row r="529" spans="1:12" x14ac:dyDescent="0.35">
      <c r="A529" s="24" t="s">
        <v>3242</v>
      </c>
      <c r="B529" s="24" t="str">
        <f>"300193"</f>
        <v>300193</v>
      </c>
      <c r="C529" s="24" t="str">
        <f t="shared" si="8"/>
        <v>'300193.SZ'</v>
      </c>
      <c r="D529" s="24" t="s">
        <v>4469</v>
      </c>
      <c r="E529" s="24" t="s">
        <v>3473</v>
      </c>
      <c r="F529" s="24">
        <v>1.7323999999999999</v>
      </c>
      <c r="G529" s="24">
        <v>3644799077.9200001</v>
      </c>
      <c r="H529" s="24">
        <v>3.4245000000000001</v>
      </c>
      <c r="I529" s="24">
        <v>3.0013000000000001</v>
      </c>
      <c r="J529" s="24">
        <v>2.36</v>
      </c>
      <c r="K529" s="24">
        <v>156</v>
      </c>
      <c r="L529" s="24" t="s">
        <v>4470</v>
      </c>
    </row>
    <row r="530" spans="1:12" x14ac:dyDescent="0.35">
      <c r="A530" s="24" t="s">
        <v>3246</v>
      </c>
      <c r="B530" s="24" t="str">
        <f>"603999"</f>
        <v>603999</v>
      </c>
      <c r="C530" s="24" t="str">
        <f t="shared" si="8"/>
        <v>'603999.SS'</v>
      </c>
      <c r="D530" s="24" t="s">
        <v>4471</v>
      </c>
      <c r="E530" s="24" t="s">
        <v>4352</v>
      </c>
      <c r="F530" s="24">
        <v>1.7263999999999999</v>
      </c>
      <c r="G530" s="24">
        <v>3277440000</v>
      </c>
      <c r="H530" s="24">
        <v>3.4668000000000001</v>
      </c>
      <c r="I530" s="24">
        <v>2.9923999999999999</v>
      </c>
      <c r="J530" s="24">
        <v>1.3068</v>
      </c>
      <c r="K530" s="24">
        <v>92</v>
      </c>
      <c r="L530" s="24" t="s">
        <v>4472</v>
      </c>
    </row>
    <row r="531" spans="1:12" x14ac:dyDescent="0.35">
      <c r="A531" s="24" t="s">
        <v>3246</v>
      </c>
      <c r="B531" s="24" t="str">
        <f>"688312"</f>
        <v>688312</v>
      </c>
      <c r="C531" s="24" t="str">
        <f t="shared" si="8"/>
        <v>'688312.SS'</v>
      </c>
      <c r="D531" s="24" t="s">
        <v>4473</v>
      </c>
      <c r="E531" s="24" t="s">
        <v>3244</v>
      </c>
      <c r="F531" s="24">
        <v>1.7242</v>
      </c>
      <c r="G531" s="24">
        <v>2295849295.5999999</v>
      </c>
      <c r="H531" s="24">
        <v>9.8620999999999999</v>
      </c>
      <c r="I531" s="24">
        <v>9.2364999999999995</v>
      </c>
      <c r="J531" s="24">
        <v>3.8075000000000001</v>
      </c>
      <c r="K531" s="24">
        <v>61</v>
      </c>
      <c r="L531" s="24" t="s">
        <v>4474</v>
      </c>
    </row>
    <row r="532" spans="1:12" x14ac:dyDescent="0.35">
      <c r="A532" s="24" t="s">
        <v>3246</v>
      </c>
      <c r="B532" s="24" t="str">
        <f>"600380"</f>
        <v>600380</v>
      </c>
      <c r="C532" s="24" t="str">
        <f t="shared" si="8"/>
        <v>'600380.SS'</v>
      </c>
      <c r="D532" s="24" t="s">
        <v>4475</v>
      </c>
      <c r="E532" s="24" t="s">
        <v>3696</v>
      </c>
      <c r="F532" s="24">
        <v>1.7226999999999999</v>
      </c>
      <c r="G532" s="24">
        <v>22243553482.220001</v>
      </c>
      <c r="H532" s="24">
        <v>2.3813</v>
      </c>
      <c r="I532" s="24">
        <v>2.0981000000000001</v>
      </c>
      <c r="J532" s="24">
        <v>1.5377000000000001</v>
      </c>
      <c r="K532" s="24">
        <v>964</v>
      </c>
      <c r="L532" s="24" t="s">
        <v>4476</v>
      </c>
    </row>
    <row r="533" spans="1:12" x14ac:dyDescent="0.35">
      <c r="A533" s="24" t="s">
        <v>3242</v>
      </c>
      <c r="B533" s="24" t="str">
        <f>"000859"</f>
        <v>000859</v>
      </c>
      <c r="C533" s="24" t="str">
        <f t="shared" si="8"/>
        <v>'000859.SZ'</v>
      </c>
      <c r="D533" s="24" t="s">
        <v>4477</v>
      </c>
      <c r="E533" s="24" t="s">
        <v>3888</v>
      </c>
      <c r="F533" s="24">
        <v>1.7152000000000001</v>
      </c>
      <c r="G533" s="24">
        <v>4900990202.3699999</v>
      </c>
      <c r="H533" s="24">
        <v>2.8142</v>
      </c>
      <c r="I533" s="24">
        <v>2.3822000000000001</v>
      </c>
      <c r="J533" s="24">
        <v>1.1574</v>
      </c>
      <c r="K533" s="24">
        <v>136</v>
      </c>
      <c r="L533" s="24" t="s">
        <v>4478</v>
      </c>
    </row>
    <row r="534" spans="1:12" x14ac:dyDescent="0.35">
      <c r="A534" s="24" t="s">
        <v>3242</v>
      </c>
      <c r="B534" s="24" t="str">
        <f>"300079"</f>
        <v>300079</v>
      </c>
      <c r="C534" s="24" t="str">
        <f t="shared" si="8"/>
        <v>'300079.SZ'</v>
      </c>
      <c r="D534" s="24" t="s">
        <v>4479</v>
      </c>
      <c r="E534" s="24" t="s">
        <v>3722</v>
      </c>
      <c r="F534" s="24">
        <v>1.712</v>
      </c>
      <c r="G534" s="24">
        <v>7145044310</v>
      </c>
      <c r="H534" s="24">
        <v>5.9074999999999998</v>
      </c>
      <c r="I534" s="24">
        <v>4.9642999999999997</v>
      </c>
      <c r="J534" s="24">
        <v>3.9498000000000002</v>
      </c>
      <c r="K534" s="24">
        <v>265</v>
      </c>
      <c r="L534" s="24" t="s">
        <v>4480</v>
      </c>
    </row>
    <row r="535" spans="1:12" x14ac:dyDescent="0.35">
      <c r="A535" s="24" t="s">
        <v>3242</v>
      </c>
      <c r="B535" s="24" t="str">
        <f>"301365"</f>
        <v>301365</v>
      </c>
      <c r="C535" s="24" t="str">
        <f t="shared" si="8"/>
        <v>'301365.SZ'</v>
      </c>
      <c r="D535" s="24" t="s">
        <v>4481</v>
      </c>
      <c r="E535" s="24" t="s">
        <v>3846</v>
      </c>
      <c r="F535" s="24">
        <v>1.7108000000000001</v>
      </c>
      <c r="G535" s="24">
        <v>3112800000</v>
      </c>
      <c r="H535" s="24">
        <v>3.3616999999999999</v>
      </c>
      <c r="I535" s="24">
        <v>2.7538999999999998</v>
      </c>
      <c r="J535" s="24">
        <v>1.5774999999999999</v>
      </c>
      <c r="K535" s="24">
        <v>3</v>
      </c>
      <c r="L535" s="24" t="s">
        <v>4482</v>
      </c>
    </row>
    <row r="536" spans="1:12" x14ac:dyDescent="0.35">
      <c r="A536" s="24" t="s">
        <v>4483</v>
      </c>
      <c r="B536" s="24" t="str">
        <f>"430139"</f>
        <v>430139</v>
      </c>
      <c r="C536" s="24" t="str">
        <f t="shared" si="8"/>
        <v>'430139.SZ'</v>
      </c>
      <c r="D536" s="24" t="s">
        <v>4484</v>
      </c>
      <c r="E536" s="24" t="s">
        <v>4485</v>
      </c>
      <c r="F536" s="24">
        <v>1.7102999999999999</v>
      </c>
      <c r="G536" s="24">
        <v>2654660000</v>
      </c>
      <c r="H536" s="24">
        <v>14.6744</v>
      </c>
      <c r="I536" s="24">
        <v>14.569599999999999</v>
      </c>
      <c r="J536" s="24">
        <v>11.781700000000001</v>
      </c>
      <c r="K536" s="24">
        <v>4</v>
      </c>
      <c r="L536" s="24" t="s">
        <v>4486</v>
      </c>
    </row>
    <row r="537" spans="1:12" x14ac:dyDescent="0.35">
      <c r="A537" s="24" t="s">
        <v>3246</v>
      </c>
      <c r="B537" s="24" t="str">
        <f>"600746"</f>
        <v>600746</v>
      </c>
      <c r="C537" s="24" t="str">
        <f t="shared" si="8"/>
        <v>'600746.SS'</v>
      </c>
      <c r="D537" s="24" t="s">
        <v>4487</v>
      </c>
      <c r="E537" s="24" t="s">
        <v>4488</v>
      </c>
      <c r="F537" s="24">
        <v>1.7092000000000001</v>
      </c>
      <c r="G537" s="24">
        <v>9739809652.5599995</v>
      </c>
      <c r="H537" s="24">
        <v>4.1161000000000003</v>
      </c>
      <c r="I537" s="24">
        <v>2.8841000000000001</v>
      </c>
      <c r="J537" s="24">
        <v>1.8745000000000001</v>
      </c>
      <c r="K537" s="24">
        <v>229</v>
      </c>
      <c r="L537" s="24" t="s">
        <v>4489</v>
      </c>
    </row>
    <row r="538" spans="1:12" x14ac:dyDescent="0.35">
      <c r="A538" s="24" t="s">
        <v>3242</v>
      </c>
      <c r="B538" s="24" t="str">
        <f>"301123"</f>
        <v>301123</v>
      </c>
      <c r="C538" s="24" t="str">
        <f t="shared" si="8"/>
        <v>'301123.SZ'</v>
      </c>
      <c r="D538" s="24" t="s">
        <v>4490</v>
      </c>
      <c r="E538" s="24" t="s">
        <v>3327</v>
      </c>
      <c r="F538" s="24">
        <v>1.7037</v>
      </c>
      <c r="G538" s="24">
        <v>5192928000</v>
      </c>
      <c r="H538" s="24">
        <v>6.0987999999999998</v>
      </c>
      <c r="I538" s="24">
        <v>5.5064000000000002</v>
      </c>
      <c r="J538" s="24">
        <v>3.0491000000000001</v>
      </c>
      <c r="K538" s="24">
        <v>21</v>
      </c>
      <c r="L538" s="24" t="s">
        <v>4491</v>
      </c>
    </row>
    <row r="539" spans="1:12" x14ac:dyDescent="0.35">
      <c r="A539" s="24" t="s">
        <v>3242</v>
      </c>
      <c r="B539" s="24" t="str">
        <f>"300289"</f>
        <v>300289</v>
      </c>
      <c r="C539" s="24" t="str">
        <f t="shared" si="8"/>
        <v>'300289.SZ'</v>
      </c>
      <c r="D539" s="24" t="s">
        <v>4492</v>
      </c>
      <c r="E539" s="24" t="s">
        <v>3432</v>
      </c>
      <c r="F539" s="24">
        <v>1.7035</v>
      </c>
      <c r="G539" s="24">
        <v>3166146854.3400002</v>
      </c>
      <c r="H539" s="24">
        <v>9.07</v>
      </c>
      <c r="I539" s="24">
        <v>8.3162000000000003</v>
      </c>
      <c r="J539" s="24">
        <v>4.5768000000000004</v>
      </c>
      <c r="K539" s="24">
        <v>132</v>
      </c>
      <c r="L539" s="24" t="s">
        <v>4493</v>
      </c>
    </row>
    <row r="540" spans="1:12" x14ac:dyDescent="0.35">
      <c r="A540" s="24" t="s">
        <v>3242</v>
      </c>
      <c r="B540" s="24" t="str">
        <f>"002649"</f>
        <v>002649</v>
      </c>
      <c r="C540" s="24" t="str">
        <f t="shared" si="8"/>
        <v>'002649.SZ'</v>
      </c>
      <c r="D540" s="24" t="s">
        <v>4494</v>
      </c>
      <c r="E540" s="24" t="s">
        <v>3722</v>
      </c>
      <c r="F540" s="24">
        <v>1.7032</v>
      </c>
      <c r="G540" s="24">
        <v>6567479812.8000002</v>
      </c>
      <c r="H540" s="24">
        <v>2.9093</v>
      </c>
      <c r="I540" s="24">
        <v>2.8452999999999999</v>
      </c>
      <c r="J540" s="24">
        <v>1.3543000000000001</v>
      </c>
      <c r="K540" s="24">
        <v>281</v>
      </c>
      <c r="L540" s="24" t="s">
        <v>4495</v>
      </c>
    </row>
    <row r="541" spans="1:12" x14ac:dyDescent="0.35">
      <c r="A541" s="24" t="s">
        <v>3242</v>
      </c>
      <c r="B541" s="24" t="str">
        <f>"300485"</f>
        <v>300485</v>
      </c>
      <c r="C541" s="24" t="str">
        <f t="shared" si="8"/>
        <v>'300485.SZ'</v>
      </c>
      <c r="D541" s="24" t="s">
        <v>4496</v>
      </c>
      <c r="E541" s="24" t="s">
        <v>3282</v>
      </c>
      <c r="F541" s="24">
        <v>1.7027000000000001</v>
      </c>
      <c r="G541" s="24">
        <v>5823346776</v>
      </c>
      <c r="H541" s="24">
        <v>23.322099999999999</v>
      </c>
      <c r="I541" s="24">
        <v>21.9438</v>
      </c>
      <c r="J541" s="24">
        <v>1.9043000000000001</v>
      </c>
      <c r="K541" s="24">
        <v>197</v>
      </c>
      <c r="L541" s="24" t="s">
        <v>4497</v>
      </c>
    </row>
    <row r="542" spans="1:12" x14ac:dyDescent="0.35">
      <c r="A542" s="24" t="s">
        <v>3246</v>
      </c>
      <c r="B542" s="24" t="str">
        <f>"688393"</f>
        <v>688393</v>
      </c>
      <c r="C542" s="24" t="str">
        <f t="shared" si="8"/>
        <v>'688393.SS'</v>
      </c>
      <c r="D542" s="24" t="s">
        <v>4498</v>
      </c>
      <c r="E542" s="24" t="s">
        <v>3432</v>
      </c>
      <c r="F542" s="24">
        <v>1.7027000000000001</v>
      </c>
      <c r="G542" s="24">
        <v>2090816000</v>
      </c>
      <c r="H542" s="24">
        <v>6.8148</v>
      </c>
      <c r="I542" s="24">
        <v>6.18</v>
      </c>
      <c r="J542" s="24">
        <v>1.0664</v>
      </c>
      <c r="K542" s="24">
        <v>73</v>
      </c>
      <c r="L542" s="24" t="s">
        <v>4499</v>
      </c>
    </row>
    <row r="543" spans="1:12" x14ac:dyDescent="0.35">
      <c r="A543" s="24" t="s">
        <v>3246</v>
      </c>
      <c r="B543" s="24" t="str">
        <f>"688737"</f>
        <v>688737</v>
      </c>
      <c r="C543" s="24" t="str">
        <f t="shared" si="8"/>
        <v>'688737.SS'</v>
      </c>
      <c r="D543" s="24" t="s">
        <v>4500</v>
      </c>
      <c r="E543" s="24" t="s">
        <v>3299</v>
      </c>
      <c r="F543" s="24">
        <v>1.6976</v>
      </c>
      <c r="G543" s="24">
        <v>3223730550.7199998</v>
      </c>
      <c r="H543" s="24">
        <v>9.8078000000000003</v>
      </c>
      <c r="I543" s="24">
        <v>8.0922000000000001</v>
      </c>
      <c r="J543" s="24">
        <v>2.6583000000000001</v>
      </c>
      <c r="K543" s="24">
        <v>18</v>
      </c>
      <c r="L543" s="24" t="s">
        <v>4501</v>
      </c>
    </row>
    <row r="544" spans="1:12" x14ac:dyDescent="0.35">
      <c r="A544" s="24" t="s">
        <v>3246</v>
      </c>
      <c r="B544" s="24" t="str">
        <f>"603508"</f>
        <v>603508</v>
      </c>
      <c r="C544" s="24" t="str">
        <f t="shared" si="8"/>
        <v>'603508.SS'</v>
      </c>
      <c r="D544" s="24" t="s">
        <v>4502</v>
      </c>
      <c r="E544" s="24" t="s">
        <v>3565</v>
      </c>
      <c r="F544" s="24">
        <v>1.6957</v>
      </c>
      <c r="G544" s="24">
        <v>7114579874.8199997</v>
      </c>
      <c r="H544" s="24">
        <v>10.14</v>
      </c>
      <c r="I544" s="24">
        <v>8.5335999999999999</v>
      </c>
      <c r="J544" s="24">
        <v>5.1459999999999999</v>
      </c>
      <c r="K544" s="24">
        <v>223</v>
      </c>
      <c r="L544" s="24" t="s">
        <v>4503</v>
      </c>
    </row>
    <row r="545" spans="1:12" x14ac:dyDescent="0.35">
      <c r="A545" s="24" t="s">
        <v>3246</v>
      </c>
      <c r="B545" s="24" t="str">
        <f>"603230"</f>
        <v>603230</v>
      </c>
      <c r="C545" s="24" t="str">
        <f t="shared" si="8"/>
        <v>'603230.SS'</v>
      </c>
      <c r="D545" s="24" t="s">
        <v>4504</v>
      </c>
      <c r="E545" s="24" t="s">
        <v>3505</v>
      </c>
      <c r="F545" s="24">
        <v>1.6950000000000001</v>
      </c>
      <c r="G545" s="24">
        <v>3962992830</v>
      </c>
      <c r="H545" s="24">
        <v>2.2195</v>
      </c>
      <c r="I545" s="24">
        <v>2.0819000000000001</v>
      </c>
      <c r="J545" s="24">
        <v>1.1887000000000001</v>
      </c>
      <c r="K545" s="24">
        <v>26</v>
      </c>
      <c r="L545" s="24" t="s">
        <v>4505</v>
      </c>
    </row>
    <row r="546" spans="1:12" x14ac:dyDescent="0.35">
      <c r="A546" s="24" t="s">
        <v>3242</v>
      </c>
      <c r="B546" s="24" t="str">
        <f>"002053"</f>
        <v>002053</v>
      </c>
      <c r="C546" s="24" t="str">
        <f t="shared" si="8"/>
        <v>'002053.SZ'</v>
      </c>
      <c r="D546" s="24" t="s">
        <v>4506</v>
      </c>
      <c r="E546" s="24" t="s">
        <v>4507</v>
      </c>
      <c r="F546" s="24">
        <v>1.6931</v>
      </c>
      <c r="G546" s="24">
        <v>10938266032.32</v>
      </c>
      <c r="H546" s="24">
        <v>2.8921999999999999</v>
      </c>
      <c r="I546" s="24">
        <v>2.766</v>
      </c>
      <c r="J546" s="24">
        <v>1.6694</v>
      </c>
      <c r="K546" s="24">
        <v>123</v>
      </c>
      <c r="L546" s="24" t="s">
        <v>4508</v>
      </c>
    </row>
    <row r="547" spans="1:12" x14ac:dyDescent="0.35">
      <c r="A547" s="24" t="s">
        <v>3242</v>
      </c>
      <c r="B547" s="24" t="str">
        <f>"300641"</f>
        <v>300641</v>
      </c>
      <c r="C547" s="24" t="str">
        <f t="shared" si="8"/>
        <v>'300641.SZ'</v>
      </c>
      <c r="D547" s="24" t="s">
        <v>4509</v>
      </c>
      <c r="E547" s="24" t="s">
        <v>3271</v>
      </c>
      <c r="F547" s="24">
        <v>1.6906000000000001</v>
      </c>
      <c r="G547" s="24">
        <v>2545943337.5999999</v>
      </c>
      <c r="H547" s="24">
        <v>3.121</v>
      </c>
      <c r="I547" s="24">
        <v>2.3620999999999999</v>
      </c>
      <c r="J547" s="24">
        <v>0.86909999999999998</v>
      </c>
      <c r="K547" s="24">
        <v>82</v>
      </c>
      <c r="L547" s="24" t="s">
        <v>4510</v>
      </c>
    </row>
    <row r="548" spans="1:12" x14ac:dyDescent="0.35">
      <c r="A548" s="24" t="s">
        <v>3246</v>
      </c>
      <c r="B548" s="24" t="str">
        <f>"603006"</f>
        <v>603006</v>
      </c>
      <c r="C548" s="24" t="str">
        <f t="shared" si="8"/>
        <v>'603006.SS'</v>
      </c>
      <c r="D548" s="24" t="s">
        <v>4511</v>
      </c>
      <c r="E548" s="24" t="s">
        <v>3299</v>
      </c>
      <c r="F548" s="24">
        <v>1.6895</v>
      </c>
      <c r="G548" s="24">
        <v>2344224185</v>
      </c>
      <c r="H548" s="24">
        <v>2.6086999999999998</v>
      </c>
      <c r="I548" s="24">
        <v>1.8248</v>
      </c>
      <c r="J548" s="24">
        <v>0.84740000000000004</v>
      </c>
      <c r="K548" s="24">
        <v>114</v>
      </c>
      <c r="L548" s="24" t="s">
        <v>4512</v>
      </c>
    </row>
    <row r="549" spans="1:12" x14ac:dyDescent="0.35">
      <c r="A549" s="24" t="s">
        <v>3242</v>
      </c>
      <c r="B549" s="24" t="str">
        <f>"002492"</f>
        <v>002492</v>
      </c>
      <c r="C549" s="24" t="str">
        <f t="shared" si="8"/>
        <v>'002492.SZ'</v>
      </c>
      <c r="D549" s="24" t="s">
        <v>4513</v>
      </c>
      <c r="E549" s="24" t="s">
        <v>4275</v>
      </c>
      <c r="F549" s="24">
        <v>1.6877</v>
      </c>
      <c r="G549" s="24">
        <v>2628450000</v>
      </c>
      <c r="H549" s="24">
        <v>4.2986000000000004</v>
      </c>
      <c r="I549" s="24">
        <v>4.2549000000000001</v>
      </c>
      <c r="J549" s="24">
        <v>1.2452000000000001</v>
      </c>
      <c r="K549" s="24">
        <v>92</v>
      </c>
      <c r="L549" s="24" t="s">
        <v>4514</v>
      </c>
    </row>
    <row r="550" spans="1:12" x14ac:dyDescent="0.35">
      <c r="A550" s="24" t="s">
        <v>3242</v>
      </c>
      <c r="B550" s="24" t="str">
        <f>"301330"</f>
        <v>301330</v>
      </c>
      <c r="C550" s="24" t="str">
        <f t="shared" si="8"/>
        <v>'301330.SZ'</v>
      </c>
      <c r="D550" s="24" t="s">
        <v>4515</v>
      </c>
      <c r="E550" s="24" t="s">
        <v>3565</v>
      </c>
      <c r="F550" s="24">
        <v>1.6848000000000001</v>
      </c>
      <c r="G550" s="24">
        <v>5047244813.4899998</v>
      </c>
      <c r="H550" s="24">
        <v>6.2298999999999998</v>
      </c>
      <c r="I550" s="24">
        <v>5.3182</v>
      </c>
      <c r="J550" s="24">
        <v>4.3556999999999997</v>
      </c>
      <c r="K550" s="24">
        <v>7</v>
      </c>
      <c r="L550" s="24" t="s">
        <v>4516</v>
      </c>
    </row>
    <row r="551" spans="1:12" x14ac:dyDescent="0.35">
      <c r="A551" s="24" t="s">
        <v>3242</v>
      </c>
      <c r="B551" s="24" t="str">
        <f>"000676"</f>
        <v>000676</v>
      </c>
      <c r="C551" s="24" t="str">
        <f t="shared" si="8"/>
        <v>'000676.SZ'</v>
      </c>
      <c r="D551" s="24" t="s">
        <v>4517</v>
      </c>
      <c r="E551" s="24" t="s">
        <v>3408</v>
      </c>
      <c r="F551" s="24">
        <v>1.6828000000000001</v>
      </c>
      <c r="G551" s="24">
        <v>6931432857.96</v>
      </c>
      <c r="H551" s="24">
        <v>3.282</v>
      </c>
      <c r="I551" s="24">
        <v>3.1198000000000001</v>
      </c>
      <c r="J551" s="24">
        <v>1.2758</v>
      </c>
      <c r="K551" s="24">
        <v>219</v>
      </c>
      <c r="L551" s="24" t="s">
        <v>4518</v>
      </c>
    </row>
    <row r="552" spans="1:12" x14ac:dyDescent="0.35">
      <c r="A552" s="24" t="s">
        <v>3242</v>
      </c>
      <c r="B552" s="24" t="str">
        <f>"301290"</f>
        <v>301290</v>
      </c>
      <c r="C552" s="24" t="str">
        <f t="shared" si="8"/>
        <v>'301290.SZ'</v>
      </c>
      <c r="D552" s="24" t="s">
        <v>4519</v>
      </c>
      <c r="E552" s="24" t="s">
        <v>3443</v>
      </c>
      <c r="F552" s="24">
        <v>1.6789000000000001</v>
      </c>
      <c r="G552" s="24">
        <v>3806586692</v>
      </c>
      <c r="H552" s="24">
        <v>4.0740999999999996</v>
      </c>
      <c r="I552" s="24">
        <v>2.9874000000000001</v>
      </c>
      <c r="J552" s="24">
        <v>1.0230999999999999</v>
      </c>
      <c r="K552" s="24">
        <v>1</v>
      </c>
      <c r="L552" s="24" t="s">
        <v>4520</v>
      </c>
    </row>
    <row r="553" spans="1:12" x14ac:dyDescent="0.35">
      <c r="A553" s="24" t="s">
        <v>3242</v>
      </c>
      <c r="B553" s="24" t="str">
        <f>"300729"</f>
        <v>300729</v>
      </c>
      <c r="C553" s="24" t="str">
        <f t="shared" si="8"/>
        <v>'300729.SZ'</v>
      </c>
      <c r="D553" s="24" t="s">
        <v>4521</v>
      </c>
      <c r="E553" s="24" t="s">
        <v>3636</v>
      </c>
      <c r="F553" s="24">
        <v>1.6767000000000001</v>
      </c>
      <c r="G553" s="24">
        <v>3984434405.1399999</v>
      </c>
      <c r="H553" s="24">
        <v>1.5933999999999999</v>
      </c>
      <c r="I553" s="24">
        <v>1.2539</v>
      </c>
      <c r="J553" s="24">
        <v>0.96030000000000004</v>
      </c>
      <c r="K553" s="24">
        <v>229</v>
      </c>
      <c r="L553" s="24" t="s">
        <v>4522</v>
      </c>
    </row>
    <row r="554" spans="1:12" x14ac:dyDescent="0.35">
      <c r="A554" s="24" t="s">
        <v>3242</v>
      </c>
      <c r="B554" s="24" t="str">
        <f>"301206"</f>
        <v>301206</v>
      </c>
      <c r="C554" s="24" t="str">
        <f t="shared" si="8"/>
        <v>'301206.SZ'</v>
      </c>
      <c r="D554" s="24" t="s">
        <v>4523</v>
      </c>
      <c r="E554" s="24" t="s">
        <v>3419</v>
      </c>
      <c r="F554" s="24">
        <v>1.6718999999999999</v>
      </c>
      <c r="G554" s="24">
        <v>7704562656</v>
      </c>
      <c r="H554" s="24">
        <v>4.2488999999999999</v>
      </c>
      <c r="I554" s="24">
        <v>3.7128999999999999</v>
      </c>
      <c r="J554" s="24">
        <v>3.1059000000000001</v>
      </c>
      <c r="K554" s="24">
        <v>48</v>
      </c>
      <c r="L554" s="24" t="s">
        <v>4524</v>
      </c>
    </row>
    <row r="555" spans="1:12" x14ac:dyDescent="0.35">
      <c r="A555" s="24" t="s">
        <v>3246</v>
      </c>
      <c r="B555" s="24" t="str">
        <f>"688571"</f>
        <v>688571</v>
      </c>
      <c r="C555" s="24" t="str">
        <f t="shared" si="8"/>
        <v>'688571.SS'</v>
      </c>
      <c r="D555" s="24" t="s">
        <v>4525</v>
      </c>
      <c r="E555" s="24" t="s">
        <v>4227</v>
      </c>
      <c r="F555" s="24">
        <v>1.6698</v>
      </c>
      <c r="G555" s="24">
        <v>2281600000</v>
      </c>
      <c r="H555" s="24">
        <v>4.0602999999999998</v>
      </c>
      <c r="I555" s="24">
        <v>3.6417000000000002</v>
      </c>
      <c r="J555" s="24">
        <v>2.0449000000000002</v>
      </c>
      <c r="K555" s="24">
        <v>34</v>
      </c>
      <c r="L555" s="24" t="s">
        <v>4526</v>
      </c>
    </row>
    <row r="556" spans="1:12" x14ac:dyDescent="0.35">
      <c r="A556" s="24" t="s">
        <v>3242</v>
      </c>
      <c r="B556" s="24" t="str">
        <f>"002951"</f>
        <v>002951</v>
      </c>
      <c r="C556" s="24" t="str">
        <f t="shared" si="8"/>
        <v>'002951.SZ'</v>
      </c>
      <c r="D556" s="24" t="s">
        <v>4527</v>
      </c>
      <c r="E556" s="24" t="s">
        <v>4294</v>
      </c>
      <c r="F556" s="24">
        <v>1.6693</v>
      </c>
      <c r="G556" s="24">
        <v>3786750000</v>
      </c>
      <c r="H556" s="24">
        <v>6.5401999999999996</v>
      </c>
      <c r="I556" s="24">
        <v>5.8337000000000003</v>
      </c>
      <c r="J556" s="24">
        <v>3.5905999999999998</v>
      </c>
      <c r="K556" s="24">
        <v>98</v>
      </c>
      <c r="L556" s="24" t="s">
        <v>4528</v>
      </c>
    </row>
    <row r="557" spans="1:12" x14ac:dyDescent="0.35">
      <c r="A557" s="24" t="s">
        <v>3246</v>
      </c>
      <c r="B557" s="24" t="str">
        <f>"601568"</f>
        <v>601568</v>
      </c>
      <c r="C557" s="24" t="str">
        <f t="shared" si="8"/>
        <v>'601568.SS'</v>
      </c>
      <c r="D557" s="24" t="s">
        <v>4529</v>
      </c>
      <c r="E557" s="24" t="s">
        <v>4530</v>
      </c>
      <c r="F557" s="24">
        <v>1.6693</v>
      </c>
      <c r="G557" s="24">
        <v>22681388899.040001</v>
      </c>
      <c r="H557" s="24">
        <v>3.1831999999999998</v>
      </c>
      <c r="I557" s="24">
        <v>2.8973</v>
      </c>
      <c r="J557" s="24">
        <v>2.5346000000000002</v>
      </c>
      <c r="K557" s="24">
        <v>137</v>
      </c>
      <c r="L557" s="24" t="s">
        <v>4531</v>
      </c>
    </row>
    <row r="558" spans="1:12" x14ac:dyDescent="0.35">
      <c r="A558" s="24" t="s">
        <v>3246</v>
      </c>
      <c r="B558" s="24" t="str">
        <f>"605336"</f>
        <v>605336</v>
      </c>
      <c r="C558" s="24" t="str">
        <f t="shared" si="8"/>
        <v>'605336.SS'</v>
      </c>
      <c r="D558" s="24" t="s">
        <v>4532</v>
      </c>
      <c r="E558" s="24" t="s">
        <v>4533</v>
      </c>
      <c r="F558" s="24">
        <v>1.6633</v>
      </c>
      <c r="G558" s="24">
        <v>3088515680.25</v>
      </c>
      <c r="H558" s="24">
        <v>4.1859000000000002</v>
      </c>
      <c r="I558" s="24">
        <v>3.8144999999999998</v>
      </c>
      <c r="J558" s="24">
        <v>1.6279999999999999</v>
      </c>
      <c r="K558" s="24">
        <v>154</v>
      </c>
      <c r="L558" s="24" t="s">
        <v>4534</v>
      </c>
    </row>
    <row r="559" spans="1:12" x14ac:dyDescent="0.35">
      <c r="A559" s="24" t="s">
        <v>3242</v>
      </c>
      <c r="B559" s="24" t="str">
        <f>"000096"</f>
        <v>000096</v>
      </c>
      <c r="C559" s="24" t="str">
        <f t="shared" si="8"/>
        <v>'000096.SZ'</v>
      </c>
      <c r="D559" s="24" t="s">
        <v>4535</v>
      </c>
      <c r="E559" s="24" t="s">
        <v>3251</v>
      </c>
      <c r="F559" s="24">
        <v>1.6587000000000001</v>
      </c>
      <c r="G559" s="24">
        <v>4287360000</v>
      </c>
      <c r="H559" s="24">
        <v>14.1838</v>
      </c>
      <c r="I559" s="24">
        <v>13.3666</v>
      </c>
      <c r="J559" s="24">
        <v>11.471299999999999</v>
      </c>
      <c r="K559" s="24">
        <v>90</v>
      </c>
      <c r="L559" s="24" t="s">
        <v>4536</v>
      </c>
    </row>
    <row r="560" spans="1:12" x14ac:dyDescent="0.35">
      <c r="A560" s="24" t="s">
        <v>3242</v>
      </c>
      <c r="B560" s="24" t="str">
        <f>"000529"</f>
        <v>000529</v>
      </c>
      <c r="C560" s="24" t="str">
        <f t="shared" si="8"/>
        <v>'000529.SZ'</v>
      </c>
      <c r="D560" s="24" t="s">
        <v>4537</v>
      </c>
      <c r="E560" s="24" t="s">
        <v>3505</v>
      </c>
      <c r="F560" s="24">
        <v>1.6577999999999999</v>
      </c>
      <c r="G560" s="24">
        <v>4915514578.6000004</v>
      </c>
      <c r="H560" s="24">
        <v>2.2155</v>
      </c>
      <c r="I560" s="24">
        <v>1.8198000000000001</v>
      </c>
      <c r="J560" s="24">
        <v>1.7378</v>
      </c>
      <c r="K560" s="24">
        <v>318</v>
      </c>
      <c r="L560" s="24" t="s">
        <v>4538</v>
      </c>
    </row>
    <row r="561" spans="1:12" x14ac:dyDescent="0.35">
      <c r="A561" s="24" t="s">
        <v>3246</v>
      </c>
      <c r="B561" s="24" t="str">
        <f>"603950"</f>
        <v>603950</v>
      </c>
      <c r="C561" s="24" t="str">
        <f t="shared" si="8"/>
        <v>'603950.SS'</v>
      </c>
      <c r="D561" s="24" t="s">
        <v>4539</v>
      </c>
      <c r="E561" s="24" t="s">
        <v>3405</v>
      </c>
      <c r="F561" s="24">
        <v>1.6556999999999999</v>
      </c>
      <c r="G561" s="24">
        <v>3713612880</v>
      </c>
      <c r="H561" s="24">
        <v>2.8250000000000002</v>
      </c>
      <c r="I561" s="24">
        <v>2.2408999999999999</v>
      </c>
      <c r="J561" s="24">
        <v>1.1020000000000001</v>
      </c>
      <c r="K561" s="24">
        <v>105</v>
      </c>
      <c r="L561" s="24" t="s">
        <v>4540</v>
      </c>
    </row>
    <row r="562" spans="1:12" x14ac:dyDescent="0.35">
      <c r="A562" s="24" t="s">
        <v>3242</v>
      </c>
      <c r="B562" s="24" t="str">
        <f>"300834"</f>
        <v>300834</v>
      </c>
      <c r="C562" s="24" t="str">
        <f t="shared" si="8"/>
        <v>'300834.SZ'</v>
      </c>
      <c r="D562" s="24" t="s">
        <v>4541</v>
      </c>
      <c r="E562" s="24" t="s">
        <v>3896</v>
      </c>
      <c r="F562" s="24">
        <v>1.6543000000000001</v>
      </c>
      <c r="G562" s="24">
        <v>4883488419.1300001</v>
      </c>
      <c r="H562" s="24">
        <v>3.879</v>
      </c>
      <c r="I562" s="24">
        <v>3.3818000000000001</v>
      </c>
      <c r="J562" s="24">
        <v>1.1577</v>
      </c>
      <c r="K562" s="24">
        <v>29</v>
      </c>
      <c r="L562" s="24" t="s">
        <v>4542</v>
      </c>
    </row>
    <row r="563" spans="1:12" x14ac:dyDescent="0.35">
      <c r="A563" s="24" t="s">
        <v>3242</v>
      </c>
      <c r="B563" s="24" t="str">
        <f>"301237"</f>
        <v>301237</v>
      </c>
      <c r="C563" s="24" t="str">
        <f t="shared" si="8"/>
        <v>'301237.SZ'</v>
      </c>
      <c r="D563" s="24" t="s">
        <v>4543</v>
      </c>
      <c r="E563" s="24" t="s">
        <v>3888</v>
      </c>
      <c r="F563" s="24">
        <v>1.6501999999999999</v>
      </c>
      <c r="G563" s="24">
        <v>2464000000</v>
      </c>
      <c r="H563" s="24">
        <v>13.7728</v>
      </c>
      <c r="I563" s="24">
        <v>11.9076</v>
      </c>
      <c r="J563" s="24">
        <v>4.3375000000000004</v>
      </c>
      <c r="K563" s="24">
        <v>13</v>
      </c>
      <c r="L563" s="24" t="s">
        <v>4544</v>
      </c>
    </row>
    <row r="564" spans="1:12" x14ac:dyDescent="0.35">
      <c r="A564" s="24" t="s">
        <v>3246</v>
      </c>
      <c r="B564" s="24" t="str">
        <f>"600866"</f>
        <v>600866</v>
      </c>
      <c r="C564" s="24" t="str">
        <f t="shared" si="8"/>
        <v>'600866.SS'</v>
      </c>
      <c r="D564" s="24" t="s">
        <v>4545</v>
      </c>
      <c r="E564" s="24" t="s">
        <v>3419</v>
      </c>
      <c r="F564" s="24">
        <v>1.6466000000000001</v>
      </c>
      <c r="G564" s="24">
        <v>10616810016.24</v>
      </c>
      <c r="H564" s="24">
        <v>2.5922000000000001</v>
      </c>
      <c r="I564" s="24">
        <v>1.5669999999999999</v>
      </c>
      <c r="J564" s="24">
        <v>0.81230000000000002</v>
      </c>
      <c r="K564" s="24">
        <v>147</v>
      </c>
      <c r="L564" s="24" t="s">
        <v>4546</v>
      </c>
    </row>
    <row r="565" spans="1:12" x14ac:dyDescent="0.35">
      <c r="A565" s="24" t="s">
        <v>3246</v>
      </c>
      <c r="B565" s="24" t="str">
        <f>"688550"</f>
        <v>688550</v>
      </c>
      <c r="C565" s="24" t="str">
        <f t="shared" si="8"/>
        <v>'688550.SS'</v>
      </c>
      <c r="D565" s="24" t="s">
        <v>4547</v>
      </c>
      <c r="E565" s="24" t="s">
        <v>3907</v>
      </c>
      <c r="F565" s="24">
        <v>1.6443000000000001</v>
      </c>
      <c r="G565" s="24">
        <v>4797920416.96</v>
      </c>
      <c r="H565" s="24">
        <v>4.3960999999999997</v>
      </c>
      <c r="I565" s="24">
        <v>2.9979</v>
      </c>
      <c r="J565" s="24">
        <v>1.6751</v>
      </c>
      <c r="K565" s="24">
        <v>66</v>
      </c>
      <c r="L565" s="24" t="s">
        <v>4548</v>
      </c>
    </row>
    <row r="566" spans="1:12" x14ac:dyDescent="0.35">
      <c r="A566" s="24" t="s">
        <v>3246</v>
      </c>
      <c r="B566" s="24" t="str">
        <f>"600135"</f>
        <v>600135</v>
      </c>
      <c r="C566" s="24" t="str">
        <f t="shared" si="8"/>
        <v>'600135.SS'</v>
      </c>
      <c r="D566" s="24" t="s">
        <v>4549</v>
      </c>
      <c r="E566" s="24" t="s">
        <v>3888</v>
      </c>
      <c r="F566" s="24">
        <v>1.6397999999999999</v>
      </c>
      <c r="G566" s="24">
        <v>4315795372.1999998</v>
      </c>
      <c r="H566" s="24">
        <v>4.4127999999999998</v>
      </c>
      <c r="I566" s="24">
        <v>3.4977</v>
      </c>
      <c r="J566" s="24">
        <v>0.88100000000000001</v>
      </c>
      <c r="K566" s="24">
        <v>123</v>
      </c>
      <c r="L566" s="24" t="s">
        <v>4550</v>
      </c>
    </row>
    <row r="567" spans="1:12" x14ac:dyDescent="0.35">
      <c r="A567" s="24" t="s">
        <v>3246</v>
      </c>
      <c r="B567" s="24" t="str">
        <f>"603079"</f>
        <v>603079</v>
      </c>
      <c r="C567" s="24" t="str">
        <f t="shared" si="8"/>
        <v>'603079.SS'</v>
      </c>
      <c r="D567" s="24" t="s">
        <v>4551</v>
      </c>
      <c r="E567" s="24" t="s">
        <v>3658</v>
      </c>
      <c r="F567" s="24">
        <v>1.6386000000000001</v>
      </c>
      <c r="G567" s="24">
        <v>2199778110.3000002</v>
      </c>
      <c r="H567" s="24">
        <v>2.6530999999999998</v>
      </c>
      <c r="I567" s="24">
        <v>1.6640999999999999</v>
      </c>
      <c r="J567" s="24">
        <v>1.0542</v>
      </c>
      <c r="K567" s="24">
        <v>237</v>
      </c>
      <c r="L567" s="24" t="s">
        <v>4552</v>
      </c>
    </row>
    <row r="568" spans="1:12" x14ac:dyDescent="0.35">
      <c r="A568" s="24" t="s">
        <v>3246</v>
      </c>
      <c r="B568" s="24" t="str">
        <f>"600398"</f>
        <v>600398</v>
      </c>
      <c r="C568" s="24" t="str">
        <f t="shared" si="8"/>
        <v>'600398.SS'</v>
      </c>
      <c r="D568" s="24" t="s">
        <v>4553</v>
      </c>
      <c r="E568" s="24" t="s">
        <v>4121</v>
      </c>
      <c r="F568" s="24">
        <v>1.6378999999999999</v>
      </c>
      <c r="G568" s="24">
        <v>22980310724.279999</v>
      </c>
      <c r="H568" s="24">
        <v>1.7641</v>
      </c>
      <c r="I568" s="24">
        <v>1.0276000000000001</v>
      </c>
      <c r="J568" s="24">
        <v>0.86819999999999997</v>
      </c>
      <c r="K568" s="24">
        <v>2687</v>
      </c>
      <c r="L568" s="24" t="s">
        <v>4554</v>
      </c>
    </row>
    <row r="569" spans="1:12" x14ac:dyDescent="0.35">
      <c r="A569" s="24" t="s">
        <v>3246</v>
      </c>
      <c r="B569" s="24" t="str">
        <f>"600859"</f>
        <v>600859</v>
      </c>
      <c r="C569" s="24" t="str">
        <f t="shared" si="8"/>
        <v>'600859.SS'</v>
      </c>
      <c r="D569" s="24" t="s">
        <v>4555</v>
      </c>
      <c r="E569" s="24" t="s">
        <v>3773</v>
      </c>
      <c r="F569" s="24">
        <v>1.6372</v>
      </c>
      <c r="G569" s="24">
        <v>31667879682.900002</v>
      </c>
      <c r="H569" s="24">
        <v>1.6738999999999999</v>
      </c>
      <c r="I569" s="24">
        <v>1.4484999999999999</v>
      </c>
      <c r="J569" s="24">
        <v>1.3676999999999999</v>
      </c>
      <c r="K569" s="24">
        <v>569</v>
      </c>
      <c r="L569" s="24" t="s">
        <v>4556</v>
      </c>
    </row>
    <row r="570" spans="1:12" x14ac:dyDescent="0.35">
      <c r="A570" s="24" t="s">
        <v>3242</v>
      </c>
      <c r="B570" s="24" t="str">
        <f>"000886"</f>
        <v>000886</v>
      </c>
      <c r="C570" s="24" t="str">
        <f t="shared" si="8"/>
        <v>'000886.SZ'</v>
      </c>
      <c r="D570" s="24" t="s">
        <v>4557</v>
      </c>
      <c r="E570" s="24" t="s">
        <v>3988</v>
      </c>
      <c r="F570" s="24">
        <v>1.6354</v>
      </c>
      <c r="G570" s="24">
        <v>4746375840</v>
      </c>
      <c r="H570" s="24">
        <v>7.7697000000000003</v>
      </c>
      <c r="I570" s="24">
        <v>6.5282999999999998</v>
      </c>
      <c r="J570" s="24">
        <v>3.2879999999999998</v>
      </c>
      <c r="K570" s="24">
        <v>141</v>
      </c>
      <c r="L570" s="24" t="s">
        <v>4558</v>
      </c>
    </row>
    <row r="571" spans="1:12" x14ac:dyDescent="0.35">
      <c r="A571" s="24" t="s">
        <v>3246</v>
      </c>
      <c r="B571" s="24" t="str">
        <f>"688062"</f>
        <v>688062</v>
      </c>
      <c r="C571" s="24" t="str">
        <f t="shared" si="8"/>
        <v>'688062.SS'</v>
      </c>
      <c r="D571" s="24" t="s">
        <v>4559</v>
      </c>
      <c r="E571" s="24" t="s">
        <v>3696</v>
      </c>
      <c r="F571" s="24">
        <v>1.6347</v>
      </c>
      <c r="G571" s="24">
        <v>6129864000</v>
      </c>
      <c r="H571" s="24">
        <v>7.7967000000000004</v>
      </c>
      <c r="I571" s="24">
        <v>7.5228999999999999</v>
      </c>
      <c r="J571" s="24">
        <v>7.2115</v>
      </c>
      <c r="K571" s="24">
        <v>19</v>
      </c>
      <c r="L571" s="24" t="s">
        <v>4560</v>
      </c>
    </row>
    <row r="572" spans="1:12" x14ac:dyDescent="0.35">
      <c r="A572" s="24" t="s">
        <v>3242</v>
      </c>
      <c r="B572" s="24" t="str">
        <f>"001209"</f>
        <v>001209</v>
      </c>
      <c r="C572" s="24" t="str">
        <f t="shared" si="8"/>
        <v>'001209.SZ'</v>
      </c>
      <c r="D572" s="24" t="s">
        <v>4561</v>
      </c>
      <c r="E572" s="24" t="s">
        <v>4121</v>
      </c>
      <c r="F572" s="24">
        <v>1.633</v>
      </c>
      <c r="G572" s="24">
        <v>2043863068.8</v>
      </c>
      <c r="H572" s="24">
        <v>4.4297000000000004</v>
      </c>
      <c r="I572" s="24">
        <v>2.4459</v>
      </c>
      <c r="J572" s="24">
        <v>1.0782</v>
      </c>
      <c r="K572" s="24">
        <v>25</v>
      </c>
      <c r="L572" s="24" t="s">
        <v>4562</v>
      </c>
    </row>
    <row r="573" spans="1:12" x14ac:dyDescent="0.35">
      <c r="A573" s="24" t="s">
        <v>3246</v>
      </c>
      <c r="B573" s="24" t="str">
        <f>"688184"</f>
        <v>688184</v>
      </c>
      <c r="C573" s="24" t="str">
        <f t="shared" si="8"/>
        <v>'688184.SS'</v>
      </c>
      <c r="D573" s="24" t="s">
        <v>4563</v>
      </c>
      <c r="E573" s="24" t="s">
        <v>3377</v>
      </c>
      <c r="F573" s="24">
        <v>1.6315</v>
      </c>
      <c r="G573" s="24">
        <v>5027089509.4799995</v>
      </c>
      <c r="H573" s="24">
        <v>3.1688999999999998</v>
      </c>
      <c r="I573" s="24">
        <v>2.4316</v>
      </c>
      <c r="J573" s="24">
        <v>1.8120000000000001</v>
      </c>
      <c r="K573" s="24">
        <v>4</v>
      </c>
      <c r="L573" s="24" t="s">
        <v>4564</v>
      </c>
    </row>
    <row r="574" spans="1:12" x14ac:dyDescent="0.35">
      <c r="A574" s="24" t="s">
        <v>3246</v>
      </c>
      <c r="B574" s="24" t="str">
        <f>"688095"</f>
        <v>688095</v>
      </c>
      <c r="C574" s="24" t="str">
        <f t="shared" si="8"/>
        <v>'688095.SS'</v>
      </c>
      <c r="D574" s="24" t="s">
        <v>4565</v>
      </c>
      <c r="E574" s="24" t="s">
        <v>3285</v>
      </c>
      <c r="F574" s="24">
        <v>1.6298999999999999</v>
      </c>
      <c r="G574" s="24">
        <v>4364055747.8400002</v>
      </c>
      <c r="H574" s="24">
        <v>10.0078</v>
      </c>
      <c r="I574" s="24">
        <v>9.9509000000000007</v>
      </c>
      <c r="J574" s="24">
        <v>2.5619999999999998</v>
      </c>
      <c r="K574" s="24">
        <v>149</v>
      </c>
      <c r="L574" s="24" t="s">
        <v>4566</v>
      </c>
    </row>
    <row r="575" spans="1:12" x14ac:dyDescent="0.35">
      <c r="A575" s="24" t="s">
        <v>3246</v>
      </c>
      <c r="B575" s="24" t="str">
        <f>"603096"</f>
        <v>603096</v>
      </c>
      <c r="C575" s="24" t="str">
        <f t="shared" si="8"/>
        <v>'603096.SS'</v>
      </c>
      <c r="D575" s="24" t="s">
        <v>4567</v>
      </c>
      <c r="E575" s="24" t="s">
        <v>4352</v>
      </c>
      <c r="F575" s="24">
        <v>1.6288</v>
      </c>
      <c r="G575" s="24">
        <v>3212695875.4499998</v>
      </c>
      <c r="H575" s="24">
        <v>9.6632999999999996</v>
      </c>
      <c r="I575" s="24">
        <v>6.8639999999999999</v>
      </c>
      <c r="J575" s="24">
        <v>3.5684</v>
      </c>
      <c r="K575" s="24">
        <v>222</v>
      </c>
      <c r="L575" s="24" t="s">
        <v>4568</v>
      </c>
    </row>
    <row r="576" spans="1:12" x14ac:dyDescent="0.35">
      <c r="A576" s="24" t="s">
        <v>3246</v>
      </c>
      <c r="B576" s="24" t="str">
        <f>"603165"</f>
        <v>603165</v>
      </c>
      <c r="C576" s="24" t="str">
        <f t="shared" si="8"/>
        <v>'603165.SS'</v>
      </c>
      <c r="D576" s="24" t="s">
        <v>4569</v>
      </c>
      <c r="E576" s="24" t="s">
        <v>4570</v>
      </c>
      <c r="F576" s="24">
        <v>1.6209</v>
      </c>
      <c r="G576" s="24">
        <v>3174116546.4000001</v>
      </c>
      <c r="H576" s="24">
        <v>2.8782000000000001</v>
      </c>
      <c r="I576" s="24">
        <v>2.6865000000000001</v>
      </c>
      <c r="J576" s="24">
        <v>1.2146999999999999</v>
      </c>
      <c r="K576" s="24">
        <v>789</v>
      </c>
      <c r="L576" s="24" t="s">
        <v>4571</v>
      </c>
    </row>
    <row r="577" spans="1:12" x14ac:dyDescent="0.35">
      <c r="A577" s="24" t="s">
        <v>3246</v>
      </c>
      <c r="B577" s="24" t="str">
        <f>"600636"</f>
        <v>600636</v>
      </c>
      <c r="C577" s="24" t="str">
        <f t="shared" si="8"/>
        <v>'600636.SS'</v>
      </c>
      <c r="D577" s="24" t="s">
        <v>4572</v>
      </c>
      <c r="E577" s="24" t="s">
        <v>4247</v>
      </c>
      <c r="F577" s="24">
        <v>1.6198999999999999</v>
      </c>
      <c r="G577" s="24">
        <v>4245928697.4000001</v>
      </c>
      <c r="H577" s="24">
        <v>13.9602</v>
      </c>
      <c r="I577" s="24">
        <v>12.7928</v>
      </c>
      <c r="J577" s="24">
        <v>7.6481000000000003</v>
      </c>
      <c r="K577" s="24">
        <v>139</v>
      </c>
      <c r="L577" s="24" t="s">
        <v>4573</v>
      </c>
    </row>
    <row r="578" spans="1:12" x14ac:dyDescent="0.35">
      <c r="A578" s="24" t="s">
        <v>3242</v>
      </c>
      <c r="B578" s="24" t="str">
        <f>"301199"</f>
        <v>301199</v>
      </c>
      <c r="C578" s="24" t="str">
        <f t="shared" si="8"/>
        <v>'301199.SZ'</v>
      </c>
      <c r="D578" s="24" t="s">
        <v>4574</v>
      </c>
      <c r="E578" s="24" t="s">
        <v>4575</v>
      </c>
      <c r="F578" s="24">
        <v>1.6192</v>
      </c>
      <c r="G578" s="24">
        <v>2813474000</v>
      </c>
      <c r="H578" s="24">
        <v>2.4392999999999998</v>
      </c>
      <c r="I578" s="24">
        <v>1.2606999999999999</v>
      </c>
      <c r="J578" s="24">
        <v>0.82340000000000002</v>
      </c>
      <c r="K578" s="24">
        <v>17</v>
      </c>
      <c r="L578" s="24" t="s">
        <v>4576</v>
      </c>
    </row>
    <row r="579" spans="1:12" x14ac:dyDescent="0.35">
      <c r="A579" s="24" t="s">
        <v>3246</v>
      </c>
      <c r="B579" s="24" t="str">
        <f>"603579"</f>
        <v>603579</v>
      </c>
      <c r="C579" s="24" t="str">
        <f t="shared" ref="C579:C642" si="9">CONCATENATE("'",B579,IF(A579="sh",".SS'",".SZ'"))</f>
        <v>'603579.SS'</v>
      </c>
      <c r="D579" s="24" t="s">
        <v>4577</v>
      </c>
      <c r="E579" s="24" t="s">
        <v>4578</v>
      </c>
      <c r="F579" s="24">
        <v>1.6174999999999999</v>
      </c>
      <c r="G579" s="24">
        <v>2869455376.5</v>
      </c>
      <c r="H579" s="24">
        <v>2.3041999999999998</v>
      </c>
      <c r="I579" s="24">
        <v>2.0146000000000002</v>
      </c>
      <c r="J579" s="24">
        <v>1.3398000000000001</v>
      </c>
      <c r="K579" s="24">
        <v>603</v>
      </c>
      <c r="L579" s="24" t="s">
        <v>4579</v>
      </c>
    </row>
    <row r="580" spans="1:12" x14ac:dyDescent="0.35">
      <c r="A580" s="24" t="s">
        <v>3246</v>
      </c>
      <c r="B580" s="24" t="str">
        <f>"688317"</f>
        <v>688317</v>
      </c>
      <c r="C580" s="24" t="str">
        <f t="shared" si="9"/>
        <v>'688317.SS'</v>
      </c>
      <c r="D580" s="24" t="s">
        <v>4580</v>
      </c>
      <c r="E580" s="24" t="s">
        <v>3432</v>
      </c>
      <c r="F580" s="24">
        <v>1.6153</v>
      </c>
      <c r="G580" s="24">
        <v>6581007030</v>
      </c>
      <c r="H580" s="24">
        <v>6.6426999999999996</v>
      </c>
      <c r="I580" s="24">
        <v>5.7891000000000004</v>
      </c>
      <c r="J580" s="24">
        <v>5.1471</v>
      </c>
      <c r="K580" s="24">
        <v>137</v>
      </c>
      <c r="L580" s="24" t="s">
        <v>4581</v>
      </c>
    </row>
    <row r="581" spans="1:12" x14ac:dyDescent="0.35">
      <c r="A581" s="24" t="s">
        <v>3242</v>
      </c>
      <c r="B581" s="24" t="str">
        <f>"301356"</f>
        <v>301356</v>
      </c>
      <c r="C581" s="24" t="str">
        <f t="shared" si="9"/>
        <v>'301356.SZ'</v>
      </c>
      <c r="D581" s="24" t="s">
        <v>4582</v>
      </c>
      <c r="E581" s="24" t="s">
        <v>4583</v>
      </c>
      <c r="F581" s="24">
        <v>1.6137999999999999</v>
      </c>
      <c r="G581" s="24">
        <v>5600400000</v>
      </c>
      <c r="H581" s="24">
        <v>1.9380999999999999</v>
      </c>
      <c r="I581" s="24">
        <v>1.5722</v>
      </c>
      <c r="J581" s="24">
        <v>0.83679999999999999</v>
      </c>
      <c r="K581" s="24">
        <v>3</v>
      </c>
      <c r="L581" s="24" t="s">
        <v>4584</v>
      </c>
    </row>
    <row r="582" spans="1:12" x14ac:dyDescent="0.35">
      <c r="A582" s="24" t="s">
        <v>3246</v>
      </c>
      <c r="B582" s="24" t="str">
        <f>"600059"</f>
        <v>600059</v>
      </c>
      <c r="C582" s="24" t="str">
        <f t="shared" si="9"/>
        <v>'600059.SS'</v>
      </c>
      <c r="D582" s="24" t="s">
        <v>4585</v>
      </c>
      <c r="E582" s="24" t="s">
        <v>3854</v>
      </c>
      <c r="F582" s="24">
        <v>1.6031</v>
      </c>
      <c r="G582" s="24">
        <v>8686999195.8899994</v>
      </c>
      <c r="H582" s="24">
        <v>7.6679000000000004</v>
      </c>
      <c r="I582" s="24">
        <v>3.6827999999999999</v>
      </c>
      <c r="J582" s="24">
        <v>2.6175999999999999</v>
      </c>
      <c r="K582" s="24">
        <v>342</v>
      </c>
      <c r="L582" s="24" t="s">
        <v>4586</v>
      </c>
    </row>
    <row r="583" spans="1:12" x14ac:dyDescent="0.35">
      <c r="A583" s="24" t="s">
        <v>3242</v>
      </c>
      <c r="B583" s="24" t="str">
        <f>"002331"</f>
        <v>002331</v>
      </c>
      <c r="C583" s="24" t="str">
        <f t="shared" si="9"/>
        <v>'002331.SZ'</v>
      </c>
      <c r="D583" s="24" t="s">
        <v>4587</v>
      </c>
      <c r="E583" s="24" t="s">
        <v>3722</v>
      </c>
      <c r="F583" s="24">
        <v>1.6012</v>
      </c>
      <c r="G583" s="24">
        <v>2801979831.6700001</v>
      </c>
      <c r="H583" s="24">
        <v>2.8464999999999998</v>
      </c>
      <c r="I583" s="24">
        <v>1.8694999999999999</v>
      </c>
      <c r="J583" s="24">
        <v>0.82679999999999998</v>
      </c>
      <c r="K583" s="24">
        <v>131</v>
      </c>
      <c r="L583" s="24" t="s">
        <v>4588</v>
      </c>
    </row>
    <row r="584" spans="1:12" x14ac:dyDescent="0.35">
      <c r="A584" s="24" t="s">
        <v>3246</v>
      </c>
      <c r="B584" s="24" t="str">
        <f>"605566"</f>
        <v>605566</v>
      </c>
      <c r="C584" s="24" t="str">
        <f t="shared" si="9"/>
        <v>'605566.SS'</v>
      </c>
      <c r="D584" s="24" t="s">
        <v>4589</v>
      </c>
      <c r="E584" s="24" t="s">
        <v>4036</v>
      </c>
      <c r="F584" s="24">
        <v>1.5961000000000001</v>
      </c>
      <c r="G584" s="24">
        <v>3214827400</v>
      </c>
      <c r="H584" s="24">
        <v>3.5579000000000001</v>
      </c>
      <c r="I584" s="24">
        <v>2.6387</v>
      </c>
      <c r="J584" s="24">
        <v>1.8120000000000001</v>
      </c>
      <c r="K584" s="24">
        <v>31</v>
      </c>
      <c r="L584" s="24" t="s">
        <v>4590</v>
      </c>
    </row>
    <row r="585" spans="1:12" x14ac:dyDescent="0.35">
      <c r="A585" s="24" t="s">
        <v>3242</v>
      </c>
      <c r="B585" s="24" t="str">
        <f>"300735"</f>
        <v>300735</v>
      </c>
      <c r="C585" s="24" t="str">
        <f t="shared" si="9"/>
        <v>'300735.SZ'</v>
      </c>
      <c r="D585" s="24" t="s">
        <v>4591</v>
      </c>
      <c r="E585" s="24" t="s">
        <v>3327</v>
      </c>
      <c r="F585" s="24">
        <v>1.5952</v>
      </c>
      <c r="G585" s="24">
        <v>7146891553.2799997</v>
      </c>
      <c r="H585" s="24">
        <v>3.4293999999999998</v>
      </c>
      <c r="I585" s="24">
        <v>3.1707999999999998</v>
      </c>
      <c r="J585" s="24">
        <v>1.4573</v>
      </c>
      <c r="K585" s="24">
        <v>455</v>
      </c>
      <c r="L585" s="24" t="s">
        <v>4592</v>
      </c>
    </row>
    <row r="586" spans="1:12" x14ac:dyDescent="0.35">
      <c r="A586" s="24" t="s">
        <v>3242</v>
      </c>
      <c r="B586" s="24" t="str">
        <f>"300154"</f>
        <v>300154</v>
      </c>
      <c r="C586" s="24" t="str">
        <f t="shared" si="9"/>
        <v>'300154.SZ'</v>
      </c>
      <c r="D586" s="24" t="s">
        <v>4593</v>
      </c>
      <c r="E586" s="24" t="s">
        <v>3473</v>
      </c>
      <c r="F586" s="24">
        <v>1.5939000000000001</v>
      </c>
      <c r="G586" s="24">
        <v>2617952000</v>
      </c>
      <c r="H586" s="24">
        <v>4.3544</v>
      </c>
      <c r="I586" s="24">
        <v>3.6629999999999998</v>
      </c>
      <c r="J586" s="24">
        <v>2.2749999999999999</v>
      </c>
      <c r="K586" s="24">
        <v>87</v>
      </c>
      <c r="L586" s="24" t="s">
        <v>4594</v>
      </c>
    </row>
    <row r="587" spans="1:12" x14ac:dyDescent="0.35">
      <c r="A587" s="24" t="s">
        <v>3242</v>
      </c>
      <c r="B587" s="24" t="str">
        <f>"000537"</f>
        <v>000537</v>
      </c>
      <c r="C587" s="24" t="str">
        <f t="shared" si="9"/>
        <v>'000537.SZ'</v>
      </c>
      <c r="D587" s="24" t="s">
        <v>4595</v>
      </c>
      <c r="E587" s="24" t="s">
        <v>4596</v>
      </c>
      <c r="F587" s="24">
        <v>1.5901000000000001</v>
      </c>
      <c r="G587" s="24">
        <v>26075290080</v>
      </c>
      <c r="H587" s="24">
        <v>3.7222</v>
      </c>
      <c r="I587" s="24">
        <v>3.5266999999999999</v>
      </c>
      <c r="J587" s="24">
        <v>1.4157</v>
      </c>
      <c r="K587" s="24">
        <v>626</v>
      </c>
      <c r="L587" s="24" t="s">
        <v>4597</v>
      </c>
    </row>
    <row r="588" spans="1:12" x14ac:dyDescent="0.35">
      <c r="A588" s="24" t="s">
        <v>3242</v>
      </c>
      <c r="B588" s="24" t="str">
        <f>"301108"</f>
        <v>301108</v>
      </c>
      <c r="C588" s="24" t="str">
        <f t="shared" si="9"/>
        <v>'301108.SZ'</v>
      </c>
      <c r="D588" s="24" t="s">
        <v>4598</v>
      </c>
      <c r="E588" s="24" t="s">
        <v>3571</v>
      </c>
      <c r="F588" s="24">
        <v>1.589</v>
      </c>
      <c r="G588" s="24">
        <v>2802550819.1799998</v>
      </c>
      <c r="H588" s="24">
        <v>6.6106999999999996</v>
      </c>
      <c r="I588" s="24">
        <v>6.2721999999999998</v>
      </c>
      <c r="J588" s="24">
        <v>4.4211999999999998</v>
      </c>
      <c r="K588" s="24">
        <v>38</v>
      </c>
      <c r="L588" s="24" t="s">
        <v>4599</v>
      </c>
    </row>
    <row r="589" spans="1:12" x14ac:dyDescent="0.35">
      <c r="A589" s="24" t="s">
        <v>3246</v>
      </c>
      <c r="B589" s="24" t="str">
        <f>"603163"</f>
        <v>603163</v>
      </c>
      <c r="C589" s="24" t="str">
        <f t="shared" si="9"/>
        <v>'603163.SS'</v>
      </c>
      <c r="D589" s="24" t="s">
        <v>4600</v>
      </c>
      <c r="E589" s="24" t="s">
        <v>4264</v>
      </c>
      <c r="F589" s="24">
        <v>1.5884</v>
      </c>
      <c r="G589" s="24">
        <v>2417600000</v>
      </c>
      <c r="H589" s="24">
        <v>2.1663999999999999</v>
      </c>
      <c r="I589" s="24">
        <v>1.5158</v>
      </c>
      <c r="J589" s="24">
        <v>0.88019999999999998</v>
      </c>
      <c r="K589" s="24">
        <v>5</v>
      </c>
      <c r="L589" s="24" t="s">
        <v>4601</v>
      </c>
    </row>
    <row r="590" spans="1:12" x14ac:dyDescent="0.35">
      <c r="A590" s="24" t="s">
        <v>3246</v>
      </c>
      <c r="B590" s="24" t="str">
        <f>"600229"</f>
        <v>600229</v>
      </c>
      <c r="C590" s="24" t="str">
        <f t="shared" si="9"/>
        <v>'600229.SS'</v>
      </c>
      <c r="D590" s="24" t="s">
        <v>4602</v>
      </c>
      <c r="E590" s="24" t="s">
        <v>4352</v>
      </c>
      <c r="F590" s="24">
        <v>1.5867</v>
      </c>
      <c r="G590" s="24">
        <v>4611198960</v>
      </c>
      <c r="H590" s="24">
        <v>2.2006000000000001</v>
      </c>
      <c r="I590" s="24">
        <v>1.5138</v>
      </c>
      <c r="J590" s="24">
        <v>0.89410000000000001</v>
      </c>
      <c r="K590" s="24">
        <v>186</v>
      </c>
      <c r="L590" s="24" t="s">
        <v>4603</v>
      </c>
    </row>
    <row r="591" spans="1:12" x14ac:dyDescent="0.35">
      <c r="A591" s="24" t="s">
        <v>3246</v>
      </c>
      <c r="B591" s="24" t="str">
        <f>"688172"</f>
        <v>688172</v>
      </c>
      <c r="C591" s="24" t="str">
        <f t="shared" si="9"/>
        <v>'688172.SS'</v>
      </c>
      <c r="D591" s="24" t="s">
        <v>4604</v>
      </c>
      <c r="E591" s="24" t="s">
        <v>3508</v>
      </c>
      <c r="F591" s="24">
        <v>1.5838000000000001</v>
      </c>
      <c r="G591" s="24">
        <v>22998816848.98</v>
      </c>
      <c r="H591" s="24">
        <v>4.4566999999999997</v>
      </c>
      <c r="I591" s="24">
        <v>3.9003999999999999</v>
      </c>
      <c r="J591" s="24">
        <v>3.0817000000000001</v>
      </c>
      <c r="K591" s="24">
        <v>1</v>
      </c>
      <c r="L591" s="24" t="s">
        <v>4605</v>
      </c>
    </row>
    <row r="592" spans="1:12" x14ac:dyDescent="0.35">
      <c r="A592" s="24" t="s">
        <v>3246</v>
      </c>
      <c r="B592" s="24" t="str">
        <f>"600179"</f>
        <v>600179</v>
      </c>
      <c r="C592" s="24" t="str">
        <f t="shared" si="9"/>
        <v>'600179.SS'</v>
      </c>
      <c r="D592" s="24" t="s">
        <v>4606</v>
      </c>
      <c r="E592" s="24" t="s">
        <v>3371</v>
      </c>
      <c r="F592" s="24">
        <v>1.5826</v>
      </c>
      <c r="G592" s="24">
        <v>13879408491.120001</v>
      </c>
      <c r="H592" s="24">
        <v>2.1606999999999998</v>
      </c>
      <c r="I592" s="24">
        <v>2.1202000000000001</v>
      </c>
      <c r="J592" s="24">
        <v>0.88</v>
      </c>
      <c r="K592" s="24">
        <v>160</v>
      </c>
      <c r="L592" s="24" t="s">
        <v>4607</v>
      </c>
    </row>
    <row r="593" spans="1:12" x14ac:dyDescent="0.35">
      <c r="A593" s="24" t="s">
        <v>3242</v>
      </c>
      <c r="B593" s="24" t="str">
        <f>"002038"</f>
        <v>002038</v>
      </c>
      <c r="C593" s="24" t="str">
        <f t="shared" si="9"/>
        <v>'002038.SZ'</v>
      </c>
      <c r="D593" s="24" t="s">
        <v>4608</v>
      </c>
      <c r="E593" s="24" t="s">
        <v>3282</v>
      </c>
      <c r="F593" s="24">
        <v>1.5821000000000001</v>
      </c>
      <c r="G593" s="24">
        <v>8619466500</v>
      </c>
      <c r="H593" s="24">
        <v>7.4337999999999997</v>
      </c>
      <c r="I593" s="24">
        <v>6.4652000000000003</v>
      </c>
      <c r="J593" s="24">
        <v>2.8614000000000002</v>
      </c>
      <c r="K593" s="24">
        <v>5163</v>
      </c>
      <c r="L593" s="24" t="s">
        <v>4609</v>
      </c>
    </row>
    <row r="594" spans="1:12" x14ac:dyDescent="0.35">
      <c r="A594" s="24" t="s">
        <v>3246</v>
      </c>
      <c r="B594" s="24" t="str">
        <f>"688151"</f>
        <v>688151</v>
      </c>
      <c r="C594" s="24" t="str">
        <f t="shared" si="9"/>
        <v>'688151.SS'</v>
      </c>
      <c r="D594" s="24" t="s">
        <v>4610</v>
      </c>
      <c r="E594" s="24" t="s">
        <v>3319</v>
      </c>
      <c r="F594" s="24">
        <v>1.579</v>
      </c>
      <c r="G594" s="24">
        <v>6662630000</v>
      </c>
      <c r="H594" s="24">
        <v>9.0454000000000008</v>
      </c>
      <c r="I594" s="24">
        <v>8.4267000000000003</v>
      </c>
      <c r="J594" s="24">
        <v>6.9358000000000004</v>
      </c>
      <c r="K594" s="24">
        <v>20</v>
      </c>
      <c r="L594" s="24" t="s">
        <v>4611</v>
      </c>
    </row>
    <row r="595" spans="1:12" x14ac:dyDescent="0.35">
      <c r="A595" s="24" t="s">
        <v>3246</v>
      </c>
      <c r="B595" s="24" t="str">
        <f>"688068"</f>
        <v>688068</v>
      </c>
      <c r="C595" s="24" t="str">
        <f t="shared" si="9"/>
        <v>'688068.SS'</v>
      </c>
      <c r="D595" s="24" t="s">
        <v>4612</v>
      </c>
      <c r="E595" s="24" t="s">
        <v>3432</v>
      </c>
      <c r="F595" s="24">
        <v>1.5744</v>
      </c>
      <c r="G595" s="24">
        <v>5572742415.8999996</v>
      </c>
      <c r="H595" s="24">
        <v>7.1120999999999999</v>
      </c>
      <c r="I595" s="24">
        <v>6.1044</v>
      </c>
      <c r="J595" s="24">
        <v>2.0122</v>
      </c>
      <c r="K595" s="24">
        <v>273</v>
      </c>
      <c r="L595" s="24" t="s">
        <v>4613</v>
      </c>
    </row>
    <row r="596" spans="1:12" x14ac:dyDescent="0.35">
      <c r="A596" s="24" t="s">
        <v>3242</v>
      </c>
      <c r="B596" s="24" t="str">
        <f>"301087"</f>
        <v>301087</v>
      </c>
      <c r="C596" s="24" t="str">
        <f t="shared" si="9"/>
        <v>'301087.SZ'</v>
      </c>
      <c r="D596" s="24" t="s">
        <v>4614</v>
      </c>
      <c r="E596" s="24" t="s">
        <v>3319</v>
      </c>
      <c r="F596" s="24">
        <v>1.5741000000000001</v>
      </c>
      <c r="G596" s="24">
        <v>7680679500</v>
      </c>
      <c r="H596" s="24">
        <v>4.016</v>
      </c>
      <c r="I596" s="24">
        <v>3.3866000000000001</v>
      </c>
      <c r="J596" s="24">
        <v>1.3090999999999999</v>
      </c>
      <c r="K596" s="24">
        <v>45</v>
      </c>
      <c r="L596" s="24" t="s">
        <v>4615</v>
      </c>
    </row>
    <row r="597" spans="1:12" x14ac:dyDescent="0.35">
      <c r="A597" s="24" t="s">
        <v>3242</v>
      </c>
      <c r="B597" s="24" t="str">
        <f>"002064"</f>
        <v>002064</v>
      </c>
      <c r="C597" s="24" t="str">
        <f t="shared" si="9"/>
        <v>'002064.SZ'</v>
      </c>
      <c r="D597" s="24" t="s">
        <v>4616</v>
      </c>
      <c r="E597" s="24" t="s">
        <v>4617</v>
      </c>
      <c r="F597" s="24">
        <v>1.5731999999999999</v>
      </c>
      <c r="G597" s="24">
        <v>35730316058.400002</v>
      </c>
      <c r="H597" s="24">
        <v>2.2534000000000001</v>
      </c>
      <c r="I597" s="24">
        <v>1.8436999999999999</v>
      </c>
      <c r="J597" s="24">
        <v>1.2408999999999999</v>
      </c>
      <c r="K597" s="24">
        <v>762</v>
      </c>
      <c r="L597" s="24" t="s">
        <v>4618</v>
      </c>
    </row>
    <row r="598" spans="1:12" x14ac:dyDescent="0.35">
      <c r="A598" s="24" t="s">
        <v>3242</v>
      </c>
      <c r="B598" s="24" t="str">
        <f>"301088"</f>
        <v>301088</v>
      </c>
      <c r="C598" s="24" t="str">
        <f t="shared" si="9"/>
        <v>'301088.SZ'</v>
      </c>
      <c r="D598" s="24" t="s">
        <v>4619</v>
      </c>
      <c r="E598" s="24" t="s">
        <v>4121</v>
      </c>
      <c r="F598" s="24">
        <v>1.5723</v>
      </c>
      <c r="G598" s="24">
        <v>3951240000</v>
      </c>
      <c r="H598" s="24">
        <v>21.913</v>
      </c>
      <c r="I598" s="24">
        <v>17.9359</v>
      </c>
      <c r="J598" s="24">
        <v>7.5106999999999999</v>
      </c>
      <c r="K598" s="24">
        <v>31</v>
      </c>
      <c r="L598" s="24" t="s">
        <v>4620</v>
      </c>
    </row>
    <row r="599" spans="1:12" x14ac:dyDescent="0.35">
      <c r="A599" s="24" t="s">
        <v>3242</v>
      </c>
      <c r="B599" s="24" t="str">
        <f>"002469"</f>
        <v>002469</v>
      </c>
      <c r="C599" s="24" t="str">
        <f t="shared" si="9"/>
        <v>'002469.SZ'</v>
      </c>
      <c r="D599" s="24" t="s">
        <v>4621</v>
      </c>
      <c r="E599" s="24" t="s">
        <v>4622</v>
      </c>
      <c r="F599" s="24">
        <v>1.5699000000000001</v>
      </c>
      <c r="G599" s="24">
        <v>3958062043</v>
      </c>
      <c r="H599" s="24">
        <v>5.1783000000000001</v>
      </c>
      <c r="I599" s="24">
        <v>4.4499000000000004</v>
      </c>
      <c r="J599" s="24">
        <v>2.5167000000000002</v>
      </c>
      <c r="K599" s="24">
        <v>121</v>
      </c>
      <c r="L599" s="24" t="s">
        <v>4623</v>
      </c>
    </row>
    <row r="600" spans="1:12" x14ac:dyDescent="0.35">
      <c r="A600" s="24" t="s">
        <v>3246</v>
      </c>
      <c r="B600" s="24" t="str">
        <f>"603767"</f>
        <v>603767</v>
      </c>
      <c r="C600" s="24" t="str">
        <f t="shared" si="9"/>
        <v>'603767.SS'</v>
      </c>
      <c r="D600" s="24" t="s">
        <v>4624</v>
      </c>
      <c r="E600" s="24" t="s">
        <v>3405</v>
      </c>
      <c r="F600" s="24">
        <v>1.5603</v>
      </c>
      <c r="G600" s="24">
        <v>2278167450</v>
      </c>
      <c r="H600" s="24">
        <v>2.7324000000000002</v>
      </c>
      <c r="I600" s="24">
        <v>2.1349999999999998</v>
      </c>
      <c r="J600" s="24">
        <v>1.0823</v>
      </c>
      <c r="K600" s="24">
        <v>91</v>
      </c>
      <c r="L600" s="24" t="s">
        <v>4625</v>
      </c>
    </row>
    <row r="601" spans="1:12" x14ac:dyDescent="0.35">
      <c r="A601" s="24" t="s">
        <v>3246</v>
      </c>
      <c r="B601" s="24" t="str">
        <f>"600527"</f>
        <v>600527</v>
      </c>
      <c r="C601" s="24" t="str">
        <f t="shared" si="9"/>
        <v>'600527.SS'</v>
      </c>
      <c r="D601" s="24" t="s">
        <v>4626</v>
      </c>
      <c r="E601" s="24" t="s">
        <v>3357</v>
      </c>
      <c r="F601" s="24">
        <v>1.5584</v>
      </c>
      <c r="G601" s="24">
        <v>3619380285.1799998</v>
      </c>
      <c r="H601" s="24">
        <v>18.8995</v>
      </c>
      <c r="I601" s="24">
        <v>13.996700000000001</v>
      </c>
      <c r="J601" s="24">
        <v>3.7147000000000001</v>
      </c>
      <c r="K601" s="24">
        <v>121</v>
      </c>
      <c r="L601" s="24" t="s">
        <v>4627</v>
      </c>
    </row>
    <row r="602" spans="1:12" x14ac:dyDescent="0.35">
      <c r="A602" s="24" t="s">
        <v>3246</v>
      </c>
      <c r="B602" s="24" t="str">
        <f>"688569"</f>
        <v>688569</v>
      </c>
      <c r="C602" s="24" t="str">
        <f t="shared" si="9"/>
        <v>'688569.SS'</v>
      </c>
      <c r="D602" s="24" t="s">
        <v>4628</v>
      </c>
      <c r="E602" s="24" t="s">
        <v>3522</v>
      </c>
      <c r="F602" s="24">
        <v>1.5584</v>
      </c>
      <c r="G602" s="24">
        <v>3834133940</v>
      </c>
      <c r="H602" s="24">
        <v>4.6257999999999999</v>
      </c>
      <c r="I602" s="24">
        <v>3.8197000000000001</v>
      </c>
      <c r="J602" s="24">
        <v>2.2464</v>
      </c>
      <c r="K602" s="24">
        <v>51</v>
      </c>
      <c r="L602" s="24" t="s">
        <v>4629</v>
      </c>
    </row>
    <row r="603" spans="1:12" x14ac:dyDescent="0.35">
      <c r="A603" s="24" t="s">
        <v>3246</v>
      </c>
      <c r="B603" s="24" t="str">
        <f>"600516"</f>
        <v>600516</v>
      </c>
      <c r="C603" s="24" t="str">
        <f t="shared" si="9"/>
        <v>'600516.SS'</v>
      </c>
      <c r="D603" s="24" t="s">
        <v>4630</v>
      </c>
      <c r="E603" s="24" t="s">
        <v>4631</v>
      </c>
      <c r="F603" s="24">
        <v>1.5561</v>
      </c>
      <c r="G603" s="24">
        <v>23749255096.32</v>
      </c>
      <c r="H603" s="24">
        <v>3.2850999999999999</v>
      </c>
      <c r="I603" s="24">
        <v>2.3969</v>
      </c>
      <c r="J603" s="24">
        <v>1.4347000000000001</v>
      </c>
      <c r="K603" s="24">
        <v>1180</v>
      </c>
      <c r="L603" s="24" t="s">
        <v>4632</v>
      </c>
    </row>
    <row r="604" spans="1:12" x14ac:dyDescent="0.35">
      <c r="A604" s="24" t="s">
        <v>3242</v>
      </c>
      <c r="B604" s="24" t="str">
        <f>"300004"</f>
        <v>300004</v>
      </c>
      <c r="C604" s="24" t="str">
        <f t="shared" si="9"/>
        <v>'300004.SZ'</v>
      </c>
      <c r="D604" s="24" t="s">
        <v>4633</v>
      </c>
      <c r="E604" s="24" t="s">
        <v>3244</v>
      </c>
      <c r="F604" s="24">
        <v>1.5556000000000001</v>
      </c>
      <c r="G604" s="24">
        <v>2639964789</v>
      </c>
      <c r="H604" s="24">
        <v>9.7339000000000002</v>
      </c>
      <c r="I604" s="24">
        <v>7.8829000000000002</v>
      </c>
      <c r="J604" s="24">
        <v>2.9407000000000001</v>
      </c>
      <c r="K604" s="24">
        <v>85</v>
      </c>
      <c r="L604" s="24" t="s">
        <v>4634</v>
      </c>
    </row>
    <row r="605" spans="1:12" x14ac:dyDescent="0.35">
      <c r="A605" s="24" t="s">
        <v>3246</v>
      </c>
      <c r="B605" s="24" t="str">
        <f>"603556"</f>
        <v>603556</v>
      </c>
      <c r="C605" s="24" t="str">
        <f t="shared" si="9"/>
        <v>'603556.SS'</v>
      </c>
      <c r="D605" s="24" t="s">
        <v>4635</v>
      </c>
      <c r="E605" s="24" t="s">
        <v>3670</v>
      </c>
      <c r="F605" s="24">
        <v>1.5551999999999999</v>
      </c>
      <c r="G605" s="24">
        <v>8991786336</v>
      </c>
      <c r="H605" s="24">
        <v>3.99</v>
      </c>
      <c r="I605" s="24">
        <v>3.4933999999999998</v>
      </c>
      <c r="J605" s="24">
        <v>2.0017</v>
      </c>
      <c r="K605" s="24">
        <v>244</v>
      </c>
      <c r="L605" s="24" t="s">
        <v>4636</v>
      </c>
    </row>
    <row r="606" spans="1:12" x14ac:dyDescent="0.35">
      <c r="A606" s="24" t="s">
        <v>3246</v>
      </c>
      <c r="B606" s="24" t="str">
        <f>"600825"</f>
        <v>600825</v>
      </c>
      <c r="C606" s="24" t="str">
        <f t="shared" si="9"/>
        <v>'600825.SS'</v>
      </c>
      <c r="D606" s="24" t="s">
        <v>4637</v>
      </c>
      <c r="E606" s="24" t="s">
        <v>4352</v>
      </c>
      <c r="F606" s="24">
        <v>1.5516000000000001</v>
      </c>
      <c r="G606" s="24">
        <v>4022818222.5</v>
      </c>
      <c r="H606" s="24">
        <v>1.7727999999999999</v>
      </c>
      <c r="I606" s="24">
        <v>1.4031</v>
      </c>
      <c r="J606" s="24">
        <v>0.85460000000000003</v>
      </c>
      <c r="K606" s="24">
        <v>91</v>
      </c>
      <c r="L606" s="24" t="s">
        <v>4638</v>
      </c>
    </row>
    <row r="607" spans="1:12" x14ac:dyDescent="0.35">
      <c r="A607" s="24" t="s">
        <v>3242</v>
      </c>
      <c r="B607" s="24" t="str">
        <f>"002108"</f>
        <v>002108</v>
      </c>
      <c r="C607" s="24" t="str">
        <f t="shared" si="9"/>
        <v>'002108.SZ'</v>
      </c>
      <c r="D607" s="24" t="s">
        <v>4639</v>
      </c>
      <c r="E607" s="24" t="s">
        <v>3733</v>
      </c>
      <c r="F607" s="24">
        <v>1.5501</v>
      </c>
      <c r="G607" s="24">
        <v>7895133455.5200005</v>
      </c>
      <c r="H607" s="24">
        <v>3.0518000000000001</v>
      </c>
      <c r="I607" s="24">
        <v>2.4742999999999999</v>
      </c>
      <c r="J607" s="24">
        <v>1.3313999999999999</v>
      </c>
      <c r="K607" s="24">
        <v>349</v>
      </c>
      <c r="L607" s="24" t="s">
        <v>4640</v>
      </c>
    </row>
    <row r="608" spans="1:12" x14ac:dyDescent="0.35">
      <c r="A608" s="24" t="s">
        <v>3246</v>
      </c>
      <c r="B608" s="24" t="str">
        <f>"601360"</f>
        <v>601360</v>
      </c>
      <c r="C608" s="24" t="str">
        <f t="shared" si="9"/>
        <v>'601360.SS'</v>
      </c>
      <c r="D608" s="24" t="s">
        <v>4641</v>
      </c>
      <c r="E608" s="24" t="s">
        <v>3285</v>
      </c>
      <c r="F608" s="24">
        <v>1.5434000000000001</v>
      </c>
      <c r="G608" s="24">
        <v>48088294315.809998</v>
      </c>
      <c r="H608" s="24">
        <v>4.7991000000000001</v>
      </c>
      <c r="I608" s="24">
        <v>4.6292</v>
      </c>
      <c r="J608" s="24">
        <v>4.0507</v>
      </c>
      <c r="K608" s="24">
        <v>1031</v>
      </c>
      <c r="L608" s="24" t="s">
        <v>4642</v>
      </c>
    </row>
    <row r="609" spans="1:12" x14ac:dyDescent="0.35">
      <c r="A609" s="24" t="s">
        <v>3242</v>
      </c>
      <c r="B609" s="24" t="str">
        <f>"300017"</f>
        <v>300017</v>
      </c>
      <c r="C609" s="24" t="str">
        <f t="shared" si="9"/>
        <v>'300017.SZ'</v>
      </c>
      <c r="D609" s="24" t="s">
        <v>4643</v>
      </c>
      <c r="E609" s="24" t="s">
        <v>3722</v>
      </c>
      <c r="F609" s="24">
        <v>1.5402</v>
      </c>
      <c r="G609" s="24">
        <v>13721608700.25</v>
      </c>
      <c r="H609" s="24">
        <v>5.8417000000000003</v>
      </c>
      <c r="I609" s="24">
        <v>5.7972000000000001</v>
      </c>
      <c r="J609" s="24">
        <v>1.8717999999999999</v>
      </c>
      <c r="K609" s="24">
        <v>759</v>
      </c>
      <c r="L609" s="24" t="s">
        <v>4644</v>
      </c>
    </row>
    <row r="610" spans="1:12" x14ac:dyDescent="0.35">
      <c r="A610" s="24" t="s">
        <v>3242</v>
      </c>
      <c r="B610" s="24" t="str">
        <f>"002763"</f>
        <v>002763</v>
      </c>
      <c r="C610" s="24" t="str">
        <f t="shared" si="9"/>
        <v>'002763.SZ'</v>
      </c>
      <c r="D610" s="24" t="s">
        <v>4645</v>
      </c>
      <c r="E610" s="24" t="s">
        <v>4646</v>
      </c>
      <c r="F610" s="24">
        <v>1.5401</v>
      </c>
      <c r="G610" s="24">
        <v>3181010240</v>
      </c>
      <c r="H610" s="24">
        <v>4.1452999999999998</v>
      </c>
      <c r="I610" s="24">
        <v>2.5558999999999998</v>
      </c>
      <c r="J610" s="24">
        <v>2.0968</v>
      </c>
      <c r="K610" s="24">
        <v>284</v>
      </c>
      <c r="L610" s="24" t="s">
        <v>4647</v>
      </c>
    </row>
    <row r="611" spans="1:12" x14ac:dyDescent="0.35">
      <c r="A611" s="24" t="s">
        <v>3246</v>
      </c>
      <c r="B611" s="24" t="str">
        <f>"600814"</f>
        <v>600814</v>
      </c>
      <c r="C611" s="24" t="str">
        <f t="shared" si="9"/>
        <v>'600814.SS'</v>
      </c>
      <c r="D611" s="24" t="s">
        <v>4648</v>
      </c>
      <c r="E611" s="24" t="s">
        <v>3773</v>
      </c>
      <c r="F611" s="24">
        <v>1.5399</v>
      </c>
      <c r="G611" s="24">
        <v>4989626133.2399998</v>
      </c>
      <c r="H611" s="24">
        <v>2.1217000000000001</v>
      </c>
      <c r="I611" s="24">
        <v>2.0703</v>
      </c>
      <c r="J611" s="24">
        <v>1.9247000000000001</v>
      </c>
      <c r="K611" s="24">
        <v>167</v>
      </c>
      <c r="L611" s="24" t="s">
        <v>4649</v>
      </c>
    </row>
    <row r="612" spans="1:12" x14ac:dyDescent="0.35">
      <c r="A612" s="24" t="s">
        <v>3246</v>
      </c>
      <c r="B612" s="24" t="str">
        <f>"603758"</f>
        <v>603758</v>
      </c>
      <c r="C612" s="24" t="str">
        <f t="shared" si="9"/>
        <v>'603758.SS'</v>
      </c>
      <c r="D612" s="24" t="s">
        <v>4650</v>
      </c>
      <c r="E612" s="24" t="s">
        <v>3405</v>
      </c>
      <c r="F612" s="24">
        <v>1.5353000000000001</v>
      </c>
      <c r="G612" s="24">
        <v>3979889234.4299998</v>
      </c>
      <c r="H612" s="24">
        <v>4.2979000000000003</v>
      </c>
      <c r="I612" s="24">
        <v>3.5945999999999998</v>
      </c>
      <c r="J612" s="24">
        <v>2.2101999999999999</v>
      </c>
      <c r="K612" s="24">
        <v>140</v>
      </c>
      <c r="L612" s="24" t="s">
        <v>4651</v>
      </c>
    </row>
    <row r="613" spans="1:12" x14ac:dyDescent="0.35">
      <c r="A613" s="24" t="s">
        <v>3246</v>
      </c>
      <c r="B613" s="24" t="str">
        <f>"600618"</f>
        <v>600618</v>
      </c>
      <c r="C613" s="24" t="str">
        <f t="shared" si="9"/>
        <v>'600618.SS'</v>
      </c>
      <c r="D613" s="24" t="s">
        <v>4652</v>
      </c>
      <c r="E613" s="24" t="s">
        <v>4530</v>
      </c>
      <c r="F613" s="24">
        <v>1.5303</v>
      </c>
      <c r="G613" s="24">
        <v>11529307760.719999</v>
      </c>
      <c r="H613" s="24">
        <v>3.0133999999999999</v>
      </c>
      <c r="I613" s="24">
        <v>2.7881999999999998</v>
      </c>
      <c r="J613" s="24">
        <v>2.3557000000000001</v>
      </c>
      <c r="K613" s="24">
        <v>280</v>
      </c>
      <c r="L613" s="24" t="s">
        <v>4653</v>
      </c>
    </row>
    <row r="614" spans="1:12" x14ac:dyDescent="0.35">
      <c r="A614" s="24" t="s">
        <v>3246</v>
      </c>
      <c r="B614" s="24" t="str">
        <f>"688069"</f>
        <v>688069</v>
      </c>
      <c r="C614" s="24" t="str">
        <f t="shared" si="9"/>
        <v>'688069.SS'</v>
      </c>
      <c r="D614" s="24" t="s">
        <v>4654</v>
      </c>
      <c r="E614" s="24" t="s">
        <v>4197</v>
      </c>
      <c r="F614" s="24">
        <v>1.5286999999999999</v>
      </c>
      <c r="G614" s="24">
        <v>2270626244</v>
      </c>
      <c r="H614" s="24">
        <v>6.0480999999999998</v>
      </c>
      <c r="I614" s="24">
        <v>5.0801999999999996</v>
      </c>
      <c r="J614" s="24">
        <v>0.872</v>
      </c>
      <c r="K614" s="24">
        <v>82</v>
      </c>
      <c r="L614" s="24" t="s">
        <v>4655</v>
      </c>
    </row>
    <row r="615" spans="1:12" x14ac:dyDescent="0.35">
      <c r="A615" s="24" t="s">
        <v>3242</v>
      </c>
      <c r="B615" s="24" t="str">
        <f>"002173"</f>
        <v>002173</v>
      </c>
      <c r="C615" s="24" t="str">
        <f t="shared" si="9"/>
        <v>'002173.SZ'</v>
      </c>
      <c r="D615" s="24" t="s">
        <v>4656</v>
      </c>
      <c r="E615" s="24" t="s">
        <v>3796</v>
      </c>
      <c r="F615" s="24">
        <v>1.5286</v>
      </c>
      <c r="G615" s="24">
        <v>3022040818.6100001</v>
      </c>
      <c r="H615" s="24">
        <v>2.9304999999999999</v>
      </c>
      <c r="I615" s="24">
        <v>2.7639999999999998</v>
      </c>
      <c r="J615" s="24">
        <v>2.3561999999999999</v>
      </c>
      <c r="K615" s="24">
        <v>126</v>
      </c>
      <c r="L615" s="24" t="s">
        <v>4657</v>
      </c>
    </row>
    <row r="616" spans="1:12" x14ac:dyDescent="0.35">
      <c r="A616" s="24" t="s">
        <v>3242</v>
      </c>
      <c r="B616" s="24" t="str">
        <f>"301093"</f>
        <v>301093</v>
      </c>
      <c r="C616" s="24" t="str">
        <f t="shared" si="9"/>
        <v>'301093.SZ'</v>
      </c>
      <c r="D616" s="24" t="s">
        <v>4658</v>
      </c>
      <c r="E616" s="24" t="s">
        <v>3319</v>
      </c>
      <c r="F616" s="24">
        <v>1.5286</v>
      </c>
      <c r="G616" s="24">
        <v>3666973342.4099998</v>
      </c>
      <c r="H616" s="24">
        <v>17.175799999999999</v>
      </c>
      <c r="I616" s="24">
        <v>15.922599999999999</v>
      </c>
      <c r="J616" s="24">
        <v>0.93740000000000001</v>
      </c>
      <c r="K616" s="24">
        <v>38</v>
      </c>
      <c r="L616" s="24" t="s">
        <v>4659</v>
      </c>
    </row>
    <row r="617" spans="1:12" x14ac:dyDescent="0.35">
      <c r="A617" s="24" t="s">
        <v>3246</v>
      </c>
      <c r="B617" s="24" t="str">
        <f>"600187"</f>
        <v>600187</v>
      </c>
      <c r="C617" s="24" t="str">
        <f t="shared" si="9"/>
        <v>'600187.SS'</v>
      </c>
      <c r="D617" s="24" t="s">
        <v>4660</v>
      </c>
      <c r="E617" s="24" t="s">
        <v>4197</v>
      </c>
      <c r="F617" s="24">
        <v>1.5195000000000001</v>
      </c>
      <c r="G617" s="24">
        <v>4776792064.8800001</v>
      </c>
      <c r="H617" s="24">
        <v>2.9975000000000001</v>
      </c>
      <c r="I617" s="24">
        <v>2.7746</v>
      </c>
      <c r="J617" s="24">
        <v>1.6189</v>
      </c>
      <c r="K617" s="24">
        <v>118</v>
      </c>
      <c r="L617" s="24" t="s">
        <v>4661</v>
      </c>
    </row>
    <row r="618" spans="1:12" x14ac:dyDescent="0.35">
      <c r="A618" s="24" t="s">
        <v>3242</v>
      </c>
      <c r="B618" s="24" t="str">
        <f>"300137"</f>
        <v>300137</v>
      </c>
      <c r="C618" s="24" t="str">
        <f t="shared" si="9"/>
        <v>'300137.SZ'</v>
      </c>
      <c r="D618" s="24" t="s">
        <v>4662</v>
      </c>
      <c r="E618" s="24" t="s">
        <v>3843</v>
      </c>
      <c r="F618" s="24">
        <v>1.5188999999999999</v>
      </c>
      <c r="G618" s="24">
        <v>3130446817.4000001</v>
      </c>
      <c r="H618" s="24">
        <v>5.6287000000000003</v>
      </c>
      <c r="I618" s="24">
        <v>4.1765999999999996</v>
      </c>
      <c r="J618" s="24">
        <v>1.5713999999999999</v>
      </c>
      <c r="K618" s="24">
        <v>250</v>
      </c>
      <c r="L618" s="24" t="s">
        <v>4663</v>
      </c>
    </row>
    <row r="619" spans="1:12" x14ac:dyDescent="0.35">
      <c r="A619" s="24" t="s">
        <v>3246</v>
      </c>
      <c r="B619" s="24" t="str">
        <f>"603041"</f>
        <v>603041</v>
      </c>
      <c r="C619" s="24" t="str">
        <f t="shared" si="9"/>
        <v>'603041.SS'</v>
      </c>
      <c r="D619" s="24" t="s">
        <v>4664</v>
      </c>
      <c r="E619" s="24" t="s">
        <v>4665</v>
      </c>
      <c r="F619" s="24">
        <v>1.5188999999999999</v>
      </c>
      <c r="G619" s="24">
        <v>2084220734.96</v>
      </c>
      <c r="H619" s="24">
        <v>5.2674000000000003</v>
      </c>
      <c r="I619" s="24">
        <v>4.9753999999999996</v>
      </c>
      <c r="J619" s="24">
        <v>2.0687000000000002</v>
      </c>
      <c r="K619" s="24">
        <v>106</v>
      </c>
      <c r="L619" s="24" t="s">
        <v>4666</v>
      </c>
    </row>
    <row r="620" spans="1:12" x14ac:dyDescent="0.35">
      <c r="A620" s="24" t="s">
        <v>3242</v>
      </c>
      <c r="B620" s="24" t="str">
        <f>"002181"</f>
        <v>002181</v>
      </c>
      <c r="C620" s="24" t="str">
        <f t="shared" si="9"/>
        <v>'002181.SZ'</v>
      </c>
      <c r="D620" s="24" t="s">
        <v>4667</v>
      </c>
      <c r="E620" s="24" t="s">
        <v>4352</v>
      </c>
      <c r="F620" s="24">
        <v>1.5158</v>
      </c>
      <c r="G620" s="24">
        <v>6455483447.4399996</v>
      </c>
      <c r="H620" s="24">
        <v>4.3734999999999999</v>
      </c>
      <c r="I620" s="24">
        <v>4.2168999999999999</v>
      </c>
      <c r="J620" s="24">
        <v>1.5088999999999999</v>
      </c>
      <c r="K620" s="24">
        <v>117</v>
      </c>
      <c r="L620" s="24" t="s">
        <v>4668</v>
      </c>
    </row>
    <row r="621" spans="1:12" x14ac:dyDescent="0.35">
      <c r="A621" s="24" t="s">
        <v>3242</v>
      </c>
      <c r="B621" s="24" t="str">
        <f>"300196"</f>
        <v>300196</v>
      </c>
      <c r="C621" s="24" t="str">
        <f t="shared" si="9"/>
        <v>'300196.SZ'</v>
      </c>
      <c r="D621" s="24" t="s">
        <v>4669</v>
      </c>
      <c r="E621" s="24" t="s">
        <v>4670</v>
      </c>
      <c r="F621" s="24">
        <v>1.5067999999999999</v>
      </c>
      <c r="G621" s="24">
        <v>5930469798.4399996</v>
      </c>
      <c r="H621" s="24">
        <v>4.1212999999999997</v>
      </c>
      <c r="I621" s="24">
        <v>3.5796999999999999</v>
      </c>
      <c r="J621" s="24">
        <v>1.4103000000000001</v>
      </c>
      <c r="K621" s="24">
        <v>251</v>
      </c>
      <c r="L621" s="24" t="s">
        <v>4671</v>
      </c>
    </row>
    <row r="622" spans="1:12" x14ac:dyDescent="0.35">
      <c r="A622" s="24" t="s">
        <v>3246</v>
      </c>
      <c r="B622" s="24" t="str">
        <f>"600650"</f>
        <v>600650</v>
      </c>
      <c r="C622" s="24" t="str">
        <f t="shared" si="9"/>
        <v>'600650.SS'</v>
      </c>
      <c r="D622" s="24" t="s">
        <v>4672</v>
      </c>
      <c r="E622" s="24" t="s">
        <v>4673</v>
      </c>
      <c r="F622" s="24">
        <v>1.5043</v>
      </c>
      <c r="G622" s="24">
        <v>5797422224.5699997</v>
      </c>
      <c r="H622" s="24">
        <v>2.4016999999999999</v>
      </c>
      <c r="I622" s="24">
        <v>2.2282999999999999</v>
      </c>
      <c r="J622" s="24">
        <v>1.8977999999999999</v>
      </c>
      <c r="K622" s="24">
        <v>118</v>
      </c>
      <c r="L622" s="24" t="s">
        <v>4674</v>
      </c>
    </row>
    <row r="623" spans="1:12" x14ac:dyDescent="0.35">
      <c r="A623" s="24" t="s">
        <v>3242</v>
      </c>
      <c r="B623" s="24" t="str">
        <f>"002932"</f>
        <v>002932</v>
      </c>
      <c r="C623" s="24" t="str">
        <f t="shared" si="9"/>
        <v>'002932.SZ'</v>
      </c>
      <c r="D623" s="24" t="s">
        <v>4675</v>
      </c>
      <c r="E623" s="24" t="s">
        <v>3432</v>
      </c>
      <c r="F623" s="24">
        <v>1.4937</v>
      </c>
      <c r="G623" s="24">
        <v>9113862775.3500004</v>
      </c>
      <c r="H623" s="24">
        <v>6.1506999999999996</v>
      </c>
      <c r="I623" s="24">
        <v>5.4249000000000001</v>
      </c>
      <c r="J623" s="24">
        <v>1.1822999999999999</v>
      </c>
      <c r="K623" s="24">
        <v>477</v>
      </c>
      <c r="L623" s="24" t="s">
        <v>4676</v>
      </c>
    </row>
    <row r="624" spans="1:12" x14ac:dyDescent="0.35">
      <c r="A624" s="24" t="s">
        <v>3242</v>
      </c>
      <c r="B624" s="24" t="str">
        <f>"301148"</f>
        <v>301148</v>
      </c>
      <c r="C624" s="24" t="str">
        <f t="shared" si="9"/>
        <v>'301148.SZ'</v>
      </c>
      <c r="D624" s="24" t="s">
        <v>4677</v>
      </c>
      <c r="E624" s="24" t="s">
        <v>4197</v>
      </c>
      <c r="F624" s="24">
        <v>1.4935</v>
      </c>
      <c r="G624" s="24">
        <v>2530316577.5999999</v>
      </c>
      <c r="H624" s="24">
        <v>4.55</v>
      </c>
      <c r="I624" s="24">
        <v>3.8565</v>
      </c>
      <c r="J624" s="24">
        <v>1.8069</v>
      </c>
      <c r="K624" s="24">
        <v>12</v>
      </c>
      <c r="L624" s="24" t="s">
        <v>4678</v>
      </c>
    </row>
    <row r="625" spans="1:12" x14ac:dyDescent="0.35">
      <c r="A625" s="24" t="s">
        <v>3242</v>
      </c>
      <c r="B625" s="24" t="str">
        <f>"000813"</f>
        <v>000813</v>
      </c>
      <c r="C625" s="24" t="str">
        <f t="shared" si="9"/>
        <v>'000813.SZ'</v>
      </c>
      <c r="D625" s="24" t="s">
        <v>4679</v>
      </c>
      <c r="E625" s="24" t="s">
        <v>3696</v>
      </c>
      <c r="F625" s="24">
        <v>1.4932000000000001</v>
      </c>
      <c r="G625" s="24">
        <v>8081811904.3199997</v>
      </c>
      <c r="H625" s="24">
        <v>21.733799999999999</v>
      </c>
      <c r="I625" s="24">
        <v>19.903600000000001</v>
      </c>
      <c r="J625" s="24">
        <v>12.678699999999999</v>
      </c>
      <c r="K625" s="24">
        <v>269</v>
      </c>
      <c r="L625" s="24" t="s">
        <v>4680</v>
      </c>
    </row>
    <row r="626" spans="1:12" x14ac:dyDescent="0.35">
      <c r="A626" s="24" t="s">
        <v>3242</v>
      </c>
      <c r="B626" s="24" t="str">
        <f>"300133"</f>
        <v>300133</v>
      </c>
      <c r="C626" s="24" t="str">
        <f t="shared" si="9"/>
        <v>'300133.SZ'</v>
      </c>
      <c r="D626" s="24" t="s">
        <v>4681</v>
      </c>
      <c r="E626" s="24" t="s">
        <v>3305</v>
      </c>
      <c r="F626" s="24">
        <v>1.4856</v>
      </c>
      <c r="G626" s="24">
        <v>9999647667.2600002</v>
      </c>
      <c r="H626" s="24">
        <v>3.3239000000000001</v>
      </c>
      <c r="I626" s="24">
        <v>2.3022999999999998</v>
      </c>
      <c r="J626" s="24">
        <v>1.0626</v>
      </c>
      <c r="K626" s="24">
        <v>359</v>
      </c>
      <c r="L626" s="24" t="s">
        <v>4682</v>
      </c>
    </row>
    <row r="627" spans="1:12" x14ac:dyDescent="0.35">
      <c r="A627" s="24" t="s">
        <v>3246</v>
      </c>
      <c r="B627" s="24" t="str">
        <f>"600271"</f>
        <v>600271</v>
      </c>
      <c r="C627" s="24" t="str">
        <f t="shared" si="9"/>
        <v>'600271.SS'</v>
      </c>
      <c r="D627" s="24" t="s">
        <v>4683</v>
      </c>
      <c r="E627" s="24" t="s">
        <v>3722</v>
      </c>
      <c r="F627" s="24">
        <v>1.4834000000000001</v>
      </c>
      <c r="G627" s="24">
        <v>19937038704.880001</v>
      </c>
      <c r="H627" s="24">
        <v>2.8346</v>
      </c>
      <c r="I627" s="24">
        <v>1.9827999999999999</v>
      </c>
      <c r="J627" s="24">
        <v>1.0616000000000001</v>
      </c>
      <c r="K627" s="24">
        <v>16685</v>
      </c>
      <c r="L627" s="24" t="s">
        <v>4684</v>
      </c>
    </row>
    <row r="628" spans="1:12" x14ac:dyDescent="0.35">
      <c r="A628" s="24" t="s">
        <v>3242</v>
      </c>
      <c r="B628" s="24" t="str">
        <f>"002252"</f>
        <v>002252</v>
      </c>
      <c r="C628" s="24" t="str">
        <f t="shared" si="9"/>
        <v>'002252.SZ'</v>
      </c>
      <c r="D628" s="24" t="s">
        <v>4685</v>
      </c>
      <c r="E628" s="24" t="s">
        <v>3711</v>
      </c>
      <c r="F628" s="24">
        <v>1.4823</v>
      </c>
      <c r="G628" s="24">
        <v>42669187451.309998</v>
      </c>
      <c r="H628" s="24">
        <v>5.5827</v>
      </c>
      <c r="I628" s="24">
        <v>3.3854000000000002</v>
      </c>
      <c r="J628" s="24">
        <v>2.2280000000000002</v>
      </c>
      <c r="K628" s="24">
        <v>627</v>
      </c>
      <c r="L628" s="24" t="s">
        <v>4686</v>
      </c>
    </row>
    <row r="629" spans="1:12" x14ac:dyDescent="0.35">
      <c r="A629" s="24" t="s">
        <v>3246</v>
      </c>
      <c r="B629" s="24" t="str">
        <f>"601872"</f>
        <v>601872</v>
      </c>
      <c r="C629" s="24" t="str">
        <f t="shared" si="9"/>
        <v>'601872.SS'</v>
      </c>
      <c r="D629" s="24" t="s">
        <v>4687</v>
      </c>
      <c r="E629" s="24" t="s">
        <v>3371</v>
      </c>
      <c r="F629" s="24">
        <v>1.4807999999999999</v>
      </c>
      <c r="G629" s="24">
        <v>47538562599.449997</v>
      </c>
      <c r="H629" s="24">
        <v>1.8514999999999999</v>
      </c>
      <c r="I629" s="24">
        <v>1.4646999999999999</v>
      </c>
      <c r="J629" s="24">
        <v>1.0531999999999999</v>
      </c>
      <c r="K629" s="24">
        <v>640</v>
      </c>
      <c r="L629" s="24" t="s">
        <v>4688</v>
      </c>
    </row>
    <row r="630" spans="1:12" x14ac:dyDescent="0.35">
      <c r="A630" s="24" t="s">
        <v>3242</v>
      </c>
      <c r="B630" s="24" t="str">
        <f>"002243"</f>
        <v>002243</v>
      </c>
      <c r="C630" s="24" t="str">
        <f t="shared" si="9"/>
        <v>'002243.SZ'</v>
      </c>
      <c r="D630" s="24" t="s">
        <v>4689</v>
      </c>
      <c r="E630" s="24" t="s">
        <v>4690</v>
      </c>
      <c r="F630" s="24">
        <v>1.4792000000000001</v>
      </c>
      <c r="G630" s="24">
        <v>9672727709.8099995</v>
      </c>
      <c r="H630" s="24">
        <v>3.5941000000000001</v>
      </c>
      <c r="I630" s="24">
        <v>1.6047</v>
      </c>
      <c r="J630" s="24">
        <v>0.90839999999999999</v>
      </c>
      <c r="K630" s="24">
        <v>169</v>
      </c>
      <c r="L630" s="24" t="s">
        <v>4691</v>
      </c>
    </row>
    <row r="631" spans="1:12" x14ac:dyDescent="0.35">
      <c r="A631" s="24" t="s">
        <v>3246</v>
      </c>
      <c r="B631" s="24" t="str">
        <f>"600106"</f>
        <v>600106</v>
      </c>
      <c r="C631" s="24" t="str">
        <f t="shared" si="9"/>
        <v>'600106.SS'</v>
      </c>
      <c r="D631" s="24" t="s">
        <v>4692</v>
      </c>
      <c r="E631" s="24" t="s">
        <v>4415</v>
      </c>
      <c r="F631" s="24">
        <v>1.4787999999999999</v>
      </c>
      <c r="G631" s="24">
        <v>6498932553.1800003</v>
      </c>
      <c r="H631" s="24">
        <v>2.3620999999999999</v>
      </c>
      <c r="I631" s="24">
        <v>1.9901</v>
      </c>
      <c r="J631" s="24">
        <v>1.9008</v>
      </c>
      <c r="K631" s="24">
        <v>155</v>
      </c>
      <c r="L631" s="24" t="s">
        <v>4693</v>
      </c>
    </row>
    <row r="632" spans="1:12" x14ac:dyDescent="0.35">
      <c r="A632" s="24" t="s">
        <v>3242</v>
      </c>
      <c r="B632" s="24" t="str">
        <f>"000636"</f>
        <v>000636</v>
      </c>
      <c r="C632" s="24" t="str">
        <f t="shared" si="9"/>
        <v>'000636.SZ'</v>
      </c>
      <c r="D632" s="24" t="s">
        <v>4694</v>
      </c>
      <c r="E632" s="24" t="s">
        <v>4695</v>
      </c>
      <c r="F632" s="24">
        <v>1.4666999999999999</v>
      </c>
      <c r="G632" s="24">
        <v>17598170939.310001</v>
      </c>
      <c r="H632" s="24">
        <v>3.2945000000000002</v>
      </c>
      <c r="I632" s="24">
        <v>2.9878</v>
      </c>
      <c r="J632" s="24">
        <v>2.4860000000000002</v>
      </c>
      <c r="K632" s="24">
        <v>923</v>
      </c>
      <c r="L632" s="24" t="s">
        <v>4696</v>
      </c>
    </row>
    <row r="633" spans="1:12" x14ac:dyDescent="0.35">
      <c r="A633" s="24" t="s">
        <v>3242</v>
      </c>
      <c r="B633" s="24" t="str">
        <f>"301196"</f>
        <v>301196</v>
      </c>
      <c r="C633" s="24" t="str">
        <f t="shared" si="9"/>
        <v>'301196.SZ'</v>
      </c>
      <c r="D633" s="24" t="s">
        <v>4697</v>
      </c>
      <c r="E633" s="24" t="s">
        <v>3733</v>
      </c>
      <c r="F633" s="24">
        <v>1.4666999999999999</v>
      </c>
      <c r="G633" s="24">
        <v>4274400000</v>
      </c>
      <c r="H633" s="24">
        <v>10.308299999999999</v>
      </c>
      <c r="I633" s="24">
        <v>9.2462999999999997</v>
      </c>
      <c r="J633" s="24">
        <v>1.5358000000000001</v>
      </c>
      <c r="K633" s="24">
        <v>17</v>
      </c>
      <c r="L633" s="24" t="s">
        <v>4698</v>
      </c>
    </row>
    <row r="634" spans="1:12" x14ac:dyDescent="0.35">
      <c r="A634" s="24" t="s">
        <v>3242</v>
      </c>
      <c r="B634" s="24" t="str">
        <f>"300883"</f>
        <v>300883</v>
      </c>
      <c r="C634" s="24" t="str">
        <f t="shared" si="9"/>
        <v>'300883.SZ'</v>
      </c>
      <c r="D634" s="24" t="s">
        <v>4699</v>
      </c>
      <c r="E634" s="24" t="s">
        <v>4294</v>
      </c>
      <c r="F634" s="24">
        <v>1.4635</v>
      </c>
      <c r="G634" s="24">
        <v>2103680000</v>
      </c>
      <c r="H634" s="24">
        <v>3.2930999999999999</v>
      </c>
      <c r="I634" s="24">
        <v>1.9935</v>
      </c>
      <c r="J634" s="24">
        <v>1.4844999999999999</v>
      </c>
      <c r="K634" s="24">
        <v>42</v>
      </c>
      <c r="L634" s="24" t="s">
        <v>4700</v>
      </c>
    </row>
    <row r="635" spans="1:12" x14ac:dyDescent="0.35">
      <c r="A635" s="24" t="s">
        <v>3246</v>
      </c>
      <c r="B635" s="24" t="str">
        <f>"688788"</f>
        <v>688788</v>
      </c>
      <c r="C635" s="24" t="str">
        <f t="shared" si="9"/>
        <v>'688788.SS'</v>
      </c>
      <c r="D635" s="24" t="s">
        <v>4701</v>
      </c>
      <c r="E635" s="24" t="s">
        <v>3383</v>
      </c>
      <c r="F635" s="24">
        <v>1.4616</v>
      </c>
      <c r="G635" s="24">
        <v>4103019490</v>
      </c>
      <c r="H635" s="24">
        <v>30.5152</v>
      </c>
      <c r="I635" s="24">
        <v>26.976500000000001</v>
      </c>
      <c r="J635" s="24">
        <v>17.2121</v>
      </c>
      <c r="K635" s="24">
        <v>57</v>
      </c>
      <c r="L635" s="24" t="s">
        <v>4702</v>
      </c>
    </row>
    <row r="636" spans="1:12" x14ac:dyDescent="0.35">
      <c r="A636" s="24" t="s">
        <v>3242</v>
      </c>
      <c r="B636" s="24" t="str">
        <f>"301151"</f>
        <v>301151</v>
      </c>
      <c r="C636" s="24" t="str">
        <f t="shared" si="9"/>
        <v>'301151.SZ'</v>
      </c>
      <c r="D636" s="24" t="s">
        <v>4703</v>
      </c>
      <c r="E636" s="24" t="s">
        <v>3351</v>
      </c>
      <c r="F636" s="24">
        <v>1.4603999999999999</v>
      </c>
      <c r="G636" s="24">
        <v>2900765217</v>
      </c>
      <c r="H636" s="24">
        <v>3.2294999999999998</v>
      </c>
      <c r="I636" s="24">
        <v>2.7193000000000001</v>
      </c>
      <c r="J636" s="24">
        <v>1.4703999999999999</v>
      </c>
      <c r="K636" s="24">
        <v>17</v>
      </c>
      <c r="L636" s="24" t="s">
        <v>4704</v>
      </c>
    </row>
    <row r="637" spans="1:12" x14ac:dyDescent="0.35">
      <c r="A637" s="24" t="s">
        <v>3246</v>
      </c>
      <c r="B637" s="24" t="str">
        <f>"601218"</f>
        <v>601218</v>
      </c>
      <c r="C637" s="24" t="str">
        <f t="shared" si="9"/>
        <v>'601218.SS'</v>
      </c>
      <c r="D637" s="24" t="s">
        <v>4705</v>
      </c>
      <c r="E637" s="24" t="s">
        <v>4067</v>
      </c>
      <c r="F637" s="24">
        <v>1.4589000000000001</v>
      </c>
      <c r="G637" s="24">
        <v>4007176000</v>
      </c>
      <c r="H637" s="24">
        <v>3.3248000000000002</v>
      </c>
      <c r="I637" s="24">
        <v>2.7505999999999999</v>
      </c>
      <c r="J637" s="24">
        <v>0.83699999999999997</v>
      </c>
      <c r="K637" s="24">
        <v>157</v>
      </c>
      <c r="L637" s="24" t="s">
        <v>4706</v>
      </c>
    </row>
    <row r="638" spans="1:12" x14ac:dyDescent="0.35">
      <c r="A638" s="24" t="s">
        <v>3246</v>
      </c>
      <c r="B638" s="24" t="str">
        <f>"601515"</f>
        <v>601515</v>
      </c>
      <c r="C638" s="24" t="str">
        <f t="shared" si="9"/>
        <v>'601515.SS'</v>
      </c>
      <c r="D638" s="24" t="s">
        <v>4707</v>
      </c>
      <c r="E638" s="24" t="s">
        <v>4294</v>
      </c>
      <c r="F638" s="24">
        <v>1.4567000000000001</v>
      </c>
      <c r="G638" s="24">
        <v>8035290697.5200005</v>
      </c>
      <c r="H638" s="24">
        <v>2.8980999999999999</v>
      </c>
      <c r="I638" s="24">
        <v>2.3056000000000001</v>
      </c>
      <c r="J638" s="24">
        <v>1.4316</v>
      </c>
      <c r="K638" s="24">
        <v>28110</v>
      </c>
      <c r="L638" s="24" t="s">
        <v>4708</v>
      </c>
    </row>
    <row r="639" spans="1:12" x14ac:dyDescent="0.35">
      <c r="A639" s="24" t="s">
        <v>3246</v>
      </c>
      <c r="B639" s="24" t="str">
        <f>"603077"</f>
        <v>603077</v>
      </c>
      <c r="C639" s="24" t="str">
        <f t="shared" si="9"/>
        <v>'603077.SS'</v>
      </c>
      <c r="D639" s="24" t="s">
        <v>4709</v>
      </c>
      <c r="E639" s="24" t="s">
        <v>3975</v>
      </c>
      <c r="F639" s="24">
        <v>1.4519</v>
      </c>
      <c r="G639" s="24">
        <v>27023625697.68</v>
      </c>
      <c r="H639" s="24">
        <v>2.4860000000000002</v>
      </c>
      <c r="I639" s="24">
        <v>2.0325000000000002</v>
      </c>
      <c r="J639" s="24">
        <v>1.0741000000000001</v>
      </c>
      <c r="K639" s="24">
        <v>296</v>
      </c>
      <c r="L639" s="24" t="s">
        <v>4710</v>
      </c>
    </row>
    <row r="640" spans="1:12" x14ac:dyDescent="0.35">
      <c r="A640" s="24" t="s">
        <v>3242</v>
      </c>
      <c r="B640" s="24" t="str">
        <f>"301061"</f>
        <v>301061</v>
      </c>
      <c r="C640" s="24" t="str">
        <f t="shared" si="9"/>
        <v>'301061.SZ'</v>
      </c>
      <c r="D640" s="24" t="s">
        <v>4711</v>
      </c>
      <c r="E640" s="24" t="s">
        <v>4712</v>
      </c>
      <c r="F640" s="24">
        <v>1.4510000000000001</v>
      </c>
      <c r="G640" s="24">
        <v>3809280000</v>
      </c>
      <c r="H640" s="24">
        <v>8.9224999999999994</v>
      </c>
      <c r="I640" s="24">
        <v>7.7958999999999996</v>
      </c>
      <c r="J640" s="24">
        <v>1.8355999999999999</v>
      </c>
      <c r="K640" s="24">
        <v>36</v>
      </c>
      <c r="L640" s="24" t="s">
        <v>4713</v>
      </c>
    </row>
    <row r="641" spans="1:12" x14ac:dyDescent="0.35">
      <c r="A641" s="24" t="s">
        <v>3246</v>
      </c>
      <c r="B641" s="24" t="str">
        <f>"688399"</f>
        <v>688399</v>
      </c>
      <c r="C641" s="24" t="str">
        <f t="shared" si="9"/>
        <v>'688399.SS'</v>
      </c>
      <c r="D641" s="24" t="s">
        <v>4714</v>
      </c>
      <c r="E641" s="24" t="s">
        <v>3432</v>
      </c>
      <c r="F641" s="24">
        <v>1.4466000000000001</v>
      </c>
      <c r="G641" s="24">
        <v>5170870200</v>
      </c>
      <c r="H641" s="24">
        <v>3.6775000000000002</v>
      </c>
      <c r="I641" s="24">
        <v>3.1257000000000001</v>
      </c>
      <c r="J641" s="24">
        <v>1.7485999999999999</v>
      </c>
      <c r="K641" s="24">
        <v>418</v>
      </c>
      <c r="L641" s="24" t="s">
        <v>4715</v>
      </c>
    </row>
    <row r="642" spans="1:12" x14ac:dyDescent="0.35">
      <c r="A642" s="24" t="s">
        <v>3246</v>
      </c>
      <c r="B642" s="24" t="str">
        <f>"600167"</f>
        <v>600167</v>
      </c>
      <c r="C642" s="24" t="str">
        <f t="shared" si="9"/>
        <v>'600167.SS'</v>
      </c>
      <c r="D642" s="24" t="s">
        <v>4716</v>
      </c>
      <c r="E642" s="24" t="s">
        <v>3332</v>
      </c>
      <c r="F642" s="24">
        <v>1.4453</v>
      </c>
      <c r="G642" s="24">
        <v>14827014198</v>
      </c>
      <c r="H642" s="24">
        <v>3.4144000000000001</v>
      </c>
      <c r="I642" s="24">
        <v>3.1983000000000001</v>
      </c>
      <c r="J642" s="24">
        <v>2.6555</v>
      </c>
      <c r="K642" s="24">
        <v>39681</v>
      </c>
      <c r="L642" s="24" t="s">
        <v>4717</v>
      </c>
    </row>
    <row r="643" spans="1:12" x14ac:dyDescent="0.35">
      <c r="A643" s="24" t="s">
        <v>3246</v>
      </c>
      <c r="B643" s="24" t="str">
        <f>"605189"</f>
        <v>605189</v>
      </c>
      <c r="C643" s="24" t="str">
        <f t="shared" ref="C643:C706" si="10">CONCATENATE("'",B643,IF(A643="sh",".SS'",".SZ'"))</f>
        <v>'605189.SS'</v>
      </c>
      <c r="D643" s="24" t="s">
        <v>4718</v>
      </c>
      <c r="E643" s="24" t="s">
        <v>4719</v>
      </c>
      <c r="F643" s="24">
        <v>1.4442999999999999</v>
      </c>
      <c r="G643" s="24">
        <v>2328768951.6599998</v>
      </c>
      <c r="H643" s="24">
        <v>2.7082000000000002</v>
      </c>
      <c r="I643" s="24">
        <v>1.8655999999999999</v>
      </c>
      <c r="J643" s="24">
        <v>1.2472000000000001</v>
      </c>
      <c r="K643" s="24">
        <v>50</v>
      </c>
      <c r="L643" s="24" t="s">
        <v>4720</v>
      </c>
    </row>
    <row r="644" spans="1:12" x14ac:dyDescent="0.35">
      <c r="A644" s="24" t="s">
        <v>3246</v>
      </c>
      <c r="B644" s="24" t="str">
        <f>"600987"</f>
        <v>600987</v>
      </c>
      <c r="C644" s="24" t="str">
        <f t="shared" si="10"/>
        <v>'600987.SS'</v>
      </c>
      <c r="D644" s="24" t="s">
        <v>4721</v>
      </c>
      <c r="E644" s="24" t="s">
        <v>4719</v>
      </c>
      <c r="F644" s="24">
        <v>1.4308000000000001</v>
      </c>
      <c r="G644" s="24">
        <v>7996731516.9899998</v>
      </c>
      <c r="H644" s="24">
        <v>3.3498000000000001</v>
      </c>
      <c r="I644" s="24">
        <v>2.3405</v>
      </c>
      <c r="J644" s="24">
        <v>0.98099999999999998</v>
      </c>
      <c r="K644" s="24">
        <v>4850</v>
      </c>
      <c r="L644" s="24" t="s">
        <v>4722</v>
      </c>
    </row>
    <row r="645" spans="1:12" x14ac:dyDescent="0.35">
      <c r="A645" s="24" t="s">
        <v>3242</v>
      </c>
      <c r="B645" s="24" t="str">
        <f>"301276"</f>
        <v>301276</v>
      </c>
      <c r="C645" s="24" t="str">
        <f t="shared" si="10"/>
        <v>'301276.SZ'</v>
      </c>
      <c r="D645" s="24" t="s">
        <v>4723</v>
      </c>
      <c r="E645" s="24" t="s">
        <v>4121</v>
      </c>
      <c r="F645" s="24">
        <v>1.4279999999999999</v>
      </c>
      <c r="G645" s="24">
        <v>2572560000</v>
      </c>
      <c r="H645" s="24">
        <v>4.7328999999999999</v>
      </c>
      <c r="I645" s="24">
        <v>3.5733000000000001</v>
      </c>
      <c r="J645" s="24">
        <v>2.6314000000000002</v>
      </c>
      <c r="K645" s="24">
        <v>4</v>
      </c>
      <c r="L645" s="24" t="s">
        <v>4724</v>
      </c>
    </row>
    <row r="646" spans="1:12" x14ac:dyDescent="0.35">
      <c r="A646" s="24" t="s">
        <v>3242</v>
      </c>
      <c r="B646" s="24" t="str">
        <f>"002177"</f>
        <v>002177</v>
      </c>
      <c r="C646" s="24" t="str">
        <f t="shared" si="10"/>
        <v>'002177.SZ'</v>
      </c>
      <c r="D646" s="24" t="s">
        <v>4725</v>
      </c>
      <c r="E646" s="24" t="s">
        <v>3257</v>
      </c>
      <c r="F646" s="24">
        <v>1.4221999999999999</v>
      </c>
      <c r="G646" s="24">
        <v>2390140663.1599998</v>
      </c>
      <c r="H646" s="24">
        <v>8.1190999999999995</v>
      </c>
      <c r="I646" s="24">
        <v>8.0511999999999997</v>
      </c>
      <c r="J646" s="24">
        <v>1.2512000000000001</v>
      </c>
      <c r="K646" s="24">
        <v>3026</v>
      </c>
      <c r="L646" s="24" t="s">
        <v>4726</v>
      </c>
    </row>
    <row r="647" spans="1:12" x14ac:dyDescent="0.35">
      <c r="A647" s="24" t="s">
        <v>3246</v>
      </c>
      <c r="B647" s="24" t="str">
        <f>"603590"</f>
        <v>603590</v>
      </c>
      <c r="C647" s="24" t="str">
        <f t="shared" si="10"/>
        <v>'603590.SS'</v>
      </c>
      <c r="D647" s="24" t="s">
        <v>4727</v>
      </c>
      <c r="E647" s="24" t="s">
        <v>3282</v>
      </c>
      <c r="F647" s="24">
        <v>1.4151</v>
      </c>
      <c r="G647" s="24">
        <v>4094400000</v>
      </c>
      <c r="H647" s="24">
        <v>6.3540999999999999</v>
      </c>
      <c r="I647" s="24">
        <v>5.8686999999999996</v>
      </c>
      <c r="J647" s="24">
        <v>3.8094000000000001</v>
      </c>
      <c r="K647" s="24">
        <v>155</v>
      </c>
      <c r="L647" s="24" t="s">
        <v>4728</v>
      </c>
    </row>
    <row r="648" spans="1:12" x14ac:dyDescent="0.35">
      <c r="A648" s="24" t="s">
        <v>3246</v>
      </c>
      <c r="B648" s="24" t="str">
        <f>"688075"</f>
        <v>688075</v>
      </c>
      <c r="C648" s="24" t="str">
        <f t="shared" si="10"/>
        <v>'688075.SS'</v>
      </c>
      <c r="D648" s="24" t="s">
        <v>4729</v>
      </c>
      <c r="E648" s="24" t="s">
        <v>3432</v>
      </c>
      <c r="F648" s="24">
        <v>1.4142999999999999</v>
      </c>
      <c r="G648" s="24">
        <v>7851901868</v>
      </c>
      <c r="H648" s="24">
        <v>3.4739</v>
      </c>
      <c r="I648" s="24">
        <v>3.1377000000000002</v>
      </c>
      <c r="J648" s="24">
        <v>1.4409000000000001</v>
      </c>
      <c r="K648" s="24">
        <v>96</v>
      </c>
      <c r="L648" s="24" t="s">
        <v>4730</v>
      </c>
    </row>
    <row r="649" spans="1:12" x14ac:dyDescent="0.35">
      <c r="A649" s="24" t="s">
        <v>3242</v>
      </c>
      <c r="B649" s="24" t="str">
        <f>"002100"</f>
        <v>002100</v>
      </c>
      <c r="C649" s="24" t="str">
        <f t="shared" si="10"/>
        <v>'002100.SZ'</v>
      </c>
      <c r="D649" s="24" t="s">
        <v>4731</v>
      </c>
      <c r="E649" s="24" t="s">
        <v>4732</v>
      </c>
      <c r="F649" s="24">
        <v>1.4074</v>
      </c>
      <c r="G649" s="24">
        <v>11105581235</v>
      </c>
      <c r="H649" s="24">
        <v>2.0640000000000001</v>
      </c>
      <c r="I649" s="24">
        <v>1.262</v>
      </c>
      <c r="J649" s="24">
        <v>1.0063</v>
      </c>
      <c r="K649" s="24">
        <v>752</v>
      </c>
      <c r="L649" s="24" t="s">
        <v>4733</v>
      </c>
    </row>
    <row r="650" spans="1:12" x14ac:dyDescent="0.35">
      <c r="A650" s="24" t="s">
        <v>3246</v>
      </c>
      <c r="B650" s="24" t="str">
        <f>"601088"</f>
        <v>601088</v>
      </c>
      <c r="C650" s="24" t="str">
        <f t="shared" si="10"/>
        <v>'601088.SS'</v>
      </c>
      <c r="D650" s="24" t="s">
        <v>903</v>
      </c>
      <c r="E650" s="24" t="s">
        <v>4418</v>
      </c>
      <c r="F650" s="24">
        <v>1.4073</v>
      </c>
      <c r="G650" s="24">
        <v>548768521157.09998</v>
      </c>
      <c r="H650" s="24">
        <v>2.3995000000000002</v>
      </c>
      <c r="I650" s="24">
        <v>2.1804999999999999</v>
      </c>
      <c r="J650" s="24">
        <v>1.9309000000000001</v>
      </c>
      <c r="K650" s="24">
        <v>4136</v>
      </c>
      <c r="L650" s="24" t="s">
        <v>4734</v>
      </c>
    </row>
    <row r="651" spans="1:12" x14ac:dyDescent="0.35">
      <c r="A651" s="24" t="s">
        <v>3242</v>
      </c>
      <c r="B651" s="24" t="str">
        <f>"300259"</f>
        <v>300259</v>
      </c>
      <c r="C651" s="24" t="str">
        <f t="shared" si="10"/>
        <v>'300259.SZ'</v>
      </c>
      <c r="D651" s="24" t="s">
        <v>4735</v>
      </c>
      <c r="E651" s="24" t="s">
        <v>3476</v>
      </c>
      <c r="F651" s="24">
        <v>1.4073</v>
      </c>
      <c r="G651" s="24">
        <v>3965627139.2399998</v>
      </c>
      <c r="H651" s="24">
        <v>4.9353999999999996</v>
      </c>
      <c r="I651" s="24">
        <v>4.1801000000000004</v>
      </c>
      <c r="J651" s="24">
        <v>1.0789</v>
      </c>
      <c r="K651" s="24">
        <v>366</v>
      </c>
      <c r="L651" s="24" t="s">
        <v>4736</v>
      </c>
    </row>
    <row r="652" spans="1:12" x14ac:dyDescent="0.35">
      <c r="A652" s="24" t="s">
        <v>3242</v>
      </c>
      <c r="B652" s="24" t="str">
        <f>"300381"</f>
        <v>300381</v>
      </c>
      <c r="C652" s="24" t="str">
        <f t="shared" si="10"/>
        <v>'300381.SZ'</v>
      </c>
      <c r="D652" s="24" t="s">
        <v>4737</v>
      </c>
      <c r="E652" s="24" t="s">
        <v>3658</v>
      </c>
      <c r="F652" s="24">
        <v>1.4061999999999999</v>
      </c>
      <c r="G652" s="24">
        <v>3822622401</v>
      </c>
      <c r="H652" s="24">
        <v>13.3047</v>
      </c>
      <c r="I652" s="24">
        <v>12.0832</v>
      </c>
      <c r="J652" s="24">
        <v>6.1417999999999999</v>
      </c>
      <c r="K652" s="24">
        <v>153</v>
      </c>
      <c r="L652" s="24" t="s">
        <v>4738</v>
      </c>
    </row>
    <row r="653" spans="1:12" x14ac:dyDescent="0.35">
      <c r="A653" s="24" t="s">
        <v>3246</v>
      </c>
      <c r="B653" s="24" t="str">
        <f>"688298"</f>
        <v>688298</v>
      </c>
      <c r="C653" s="24" t="str">
        <f t="shared" si="10"/>
        <v>'688298.SS'</v>
      </c>
      <c r="D653" s="24" t="s">
        <v>4739</v>
      </c>
      <c r="E653" s="24" t="s">
        <v>3432</v>
      </c>
      <c r="F653" s="24">
        <v>1.4059999999999999</v>
      </c>
      <c r="G653" s="24">
        <v>12991440000</v>
      </c>
      <c r="H653" s="24">
        <v>5.8531000000000004</v>
      </c>
      <c r="I653" s="24">
        <v>5.0484</v>
      </c>
      <c r="J653" s="24">
        <v>4.4355000000000002</v>
      </c>
      <c r="K653" s="24">
        <v>509</v>
      </c>
      <c r="L653" s="24" t="s">
        <v>4740</v>
      </c>
    </row>
    <row r="654" spans="1:12" x14ac:dyDescent="0.35">
      <c r="A654" s="24" t="s">
        <v>3246</v>
      </c>
      <c r="B654" s="24" t="str">
        <f>"600252"</f>
        <v>600252</v>
      </c>
      <c r="C654" s="24" t="str">
        <f t="shared" si="10"/>
        <v>'600252.SS'</v>
      </c>
      <c r="D654" s="24" t="s">
        <v>4741</v>
      </c>
      <c r="E654" s="24" t="s">
        <v>3311</v>
      </c>
      <c r="F654" s="24">
        <v>1.4057999999999999</v>
      </c>
      <c r="G654" s="24">
        <v>9209033939.5499992</v>
      </c>
      <c r="H654" s="24">
        <v>2.6151</v>
      </c>
      <c r="I654" s="24">
        <v>2.3431000000000002</v>
      </c>
      <c r="J654" s="24">
        <v>1.3268</v>
      </c>
      <c r="K654" s="24">
        <v>359</v>
      </c>
      <c r="L654" s="24" t="s">
        <v>4742</v>
      </c>
    </row>
    <row r="655" spans="1:12" x14ac:dyDescent="0.35">
      <c r="A655" s="24" t="s">
        <v>3246</v>
      </c>
      <c r="B655" s="24" t="str">
        <f>"605577"</f>
        <v>605577</v>
      </c>
      <c r="C655" s="24" t="str">
        <f t="shared" si="10"/>
        <v>'605577.SS'</v>
      </c>
      <c r="D655" s="24" t="s">
        <v>4743</v>
      </c>
      <c r="E655" s="24" t="s">
        <v>3505</v>
      </c>
      <c r="F655" s="24">
        <v>1.4000999999999999</v>
      </c>
      <c r="G655" s="24">
        <v>4493333338.9499998</v>
      </c>
      <c r="H655" s="24">
        <v>3.5853999999999999</v>
      </c>
      <c r="I655" s="24">
        <v>3.3553000000000002</v>
      </c>
      <c r="J655" s="24">
        <v>2.1272000000000002</v>
      </c>
      <c r="K655" s="24">
        <v>29</v>
      </c>
      <c r="L655" s="24" t="s">
        <v>4744</v>
      </c>
    </row>
    <row r="656" spans="1:12" x14ac:dyDescent="0.35">
      <c r="A656" s="24" t="s">
        <v>3246</v>
      </c>
      <c r="B656" s="24" t="str">
        <f>"603511"</f>
        <v>603511</v>
      </c>
      <c r="C656" s="24" t="str">
        <f t="shared" si="10"/>
        <v>'603511.SS'</v>
      </c>
      <c r="D656" s="24" t="s">
        <v>4745</v>
      </c>
      <c r="E656" s="24" t="s">
        <v>4646</v>
      </c>
      <c r="F656" s="24">
        <v>1.3993</v>
      </c>
      <c r="G656" s="24">
        <v>6224155600</v>
      </c>
      <c r="H656" s="24">
        <v>5.6684000000000001</v>
      </c>
      <c r="I656" s="24">
        <v>3.5594000000000001</v>
      </c>
      <c r="J656" s="24">
        <v>1.0880000000000001</v>
      </c>
      <c r="K656" s="24">
        <v>50</v>
      </c>
      <c r="L656" s="24" t="s">
        <v>4746</v>
      </c>
    </row>
    <row r="657" spans="1:12" x14ac:dyDescent="0.35">
      <c r="A657" s="24" t="s">
        <v>3242</v>
      </c>
      <c r="B657" s="24" t="str">
        <f>"000631"</f>
        <v>000631</v>
      </c>
      <c r="C657" s="24" t="str">
        <f t="shared" si="10"/>
        <v>'000631.SZ'</v>
      </c>
      <c r="D657" s="24" t="s">
        <v>4747</v>
      </c>
      <c r="E657" s="24" t="s">
        <v>3988</v>
      </c>
      <c r="F657" s="24">
        <v>1.3954</v>
      </c>
      <c r="G657" s="24">
        <v>8513817088</v>
      </c>
      <c r="H657" s="24">
        <v>2.8311999999999999</v>
      </c>
      <c r="I657" s="24">
        <v>1.9407000000000001</v>
      </c>
      <c r="J657" s="24">
        <v>1.8531</v>
      </c>
      <c r="K657" s="24">
        <v>358</v>
      </c>
      <c r="L657" s="24" t="s">
        <v>4748</v>
      </c>
    </row>
    <row r="658" spans="1:12" x14ac:dyDescent="0.35">
      <c r="A658" s="24" t="s">
        <v>3246</v>
      </c>
      <c r="B658" s="24" t="str">
        <f>"600052"</f>
        <v>600052</v>
      </c>
      <c r="C658" s="24" t="str">
        <f t="shared" si="10"/>
        <v>'600052.SS'</v>
      </c>
      <c r="D658" s="24" t="s">
        <v>4749</v>
      </c>
      <c r="E658" s="24" t="s">
        <v>3305</v>
      </c>
      <c r="F658" s="24">
        <v>1.3923000000000001</v>
      </c>
      <c r="G658" s="24">
        <v>4499557969.5299997</v>
      </c>
      <c r="H658" s="24">
        <v>15.036199999999999</v>
      </c>
      <c r="I658" s="24">
        <v>14.661099999999999</v>
      </c>
      <c r="J658" s="24">
        <v>10.9953</v>
      </c>
      <c r="K658" s="24">
        <v>139</v>
      </c>
      <c r="L658" s="24" t="s">
        <v>4750</v>
      </c>
    </row>
    <row r="659" spans="1:12" x14ac:dyDescent="0.35">
      <c r="A659" s="24" t="s">
        <v>3242</v>
      </c>
      <c r="B659" s="24" t="str">
        <f>"000833"</f>
        <v>000833</v>
      </c>
      <c r="C659" s="24" t="str">
        <f t="shared" si="10"/>
        <v>'000833.SZ'</v>
      </c>
      <c r="D659" s="24" t="s">
        <v>4751</v>
      </c>
      <c r="E659" s="24" t="s">
        <v>3457</v>
      </c>
      <c r="F659" s="24">
        <v>1.3898999999999999</v>
      </c>
      <c r="G659" s="24">
        <v>4645392864.4499998</v>
      </c>
      <c r="H659" s="24">
        <v>1.5004</v>
      </c>
      <c r="I659" s="24">
        <v>1.1223000000000001</v>
      </c>
      <c r="J659" s="24">
        <v>0.90720000000000001</v>
      </c>
      <c r="K659" s="24">
        <v>108</v>
      </c>
      <c r="L659" s="24" t="s">
        <v>4752</v>
      </c>
    </row>
    <row r="660" spans="1:12" x14ac:dyDescent="0.35">
      <c r="A660" s="24" t="s">
        <v>3246</v>
      </c>
      <c r="B660" s="24" t="str">
        <f>"688739"</f>
        <v>688739</v>
      </c>
      <c r="C660" s="24" t="str">
        <f t="shared" si="10"/>
        <v>'688739.SS'</v>
      </c>
      <c r="D660" s="24" t="s">
        <v>4753</v>
      </c>
      <c r="E660" s="24" t="s">
        <v>4754</v>
      </c>
      <c r="F660" s="24">
        <v>1.3821000000000001</v>
      </c>
      <c r="G660" s="24">
        <v>13163984500</v>
      </c>
      <c r="H660" s="24">
        <v>29.266500000000001</v>
      </c>
      <c r="I660" s="24">
        <v>27.266200000000001</v>
      </c>
      <c r="J660" s="24">
        <v>16.4238</v>
      </c>
      <c r="K660" s="24">
        <v>51</v>
      </c>
      <c r="L660" s="24" t="s">
        <v>4755</v>
      </c>
    </row>
    <row r="661" spans="1:12" x14ac:dyDescent="0.35">
      <c r="A661" s="24" t="s">
        <v>3246</v>
      </c>
      <c r="B661" s="24" t="str">
        <f>"605288"</f>
        <v>605288</v>
      </c>
      <c r="C661" s="24" t="str">
        <f t="shared" si="10"/>
        <v>'605288.SS'</v>
      </c>
      <c r="D661" s="24" t="s">
        <v>4756</v>
      </c>
      <c r="E661" s="24" t="s">
        <v>3268</v>
      </c>
      <c r="F661" s="24">
        <v>1.3818999999999999</v>
      </c>
      <c r="G661" s="24">
        <v>2864960518</v>
      </c>
      <c r="H661" s="24">
        <v>3.5954000000000002</v>
      </c>
      <c r="I661" s="24">
        <v>2.7774999999999999</v>
      </c>
      <c r="J661" s="24">
        <v>1.6958</v>
      </c>
      <c r="K661" s="24">
        <v>95</v>
      </c>
      <c r="L661" s="24" t="s">
        <v>4757</v>
      </c>
    </row>
    <row r="662" spans="1:12" x14ac:dyDescent="0.35">
      <c r="A662" s="24" t="s">
        <v>3246</v>
      </c>
      <c r="B662" s="24" t="str">
        <f>"600535"</f>
        <v>600535</v>
      </c>
      <c r="C662" s="24" t="str">
        <f t="shared" si="10"/>
        <v>'600535.SS'</v>
      </c>
      <c r="D662" s="24" t="s">
        <v>4758</v>
      </c>
      <c r="E662" s="24" t="s">
        <v>3311</v>
      </c>
      <c r="F662" s="24">
        <v>1.3814</v>
      </c>
      <c r="G662" s="24">
        <v>16871626462.5</v>
      </c>
      <c r="H662" s="24">
        <v>4.0587</v>
      </c>
      <c r="I662" s="24">
        <v>3.2256</v>
      </c>
      <c r="J662" s="24">
        <v>0.82569999999999999</v>
      </c>
      <c r="K662" s="24">
        <v>12570</v>
      </c>
      <c r="L662" s="24" t="s">
        <v>4759</v>
      </c>
    </row>
    <row r="663" spans="1:12" x14ac:dyDescent="0.35">
      <c r="A663" s="24" t="s">
        <v>3246</v>
      </c>
      <c r="B663" s="24" t="str">
        <f>"603585"</f>
        <v>603585</v>
      </c>
      <c r="C663" s="24" t="str">
        <f t="shared" si="10"/>
        <v>'603585.SS'</v>
      </c>
      <c r="D663" s="24" t="s">
        <v>4760</v>
      </c>
      <c r="E663" s="24" t="s">
        <v>3492</v>
      </c>
      <c r="F663" s="24">
        <v>1.3813</v>
      </c>
      <c r="G663" s="24">
        <v>3330035483</v>
      </c>
      <c r="H663" s="24">
        <v>3.0630999999999999</v>
      </c>
      <c r="I663" s="24">
        <v>2.6987999999999999</v>
      </c>
      <c r="J663" s="24">
        <v>1.7948</v>
      </c>
      <c r="K663" s="24">
        <v>555</v>
      </c>
      <c r="L663" s="24" t="s">
        <v>4761</v>
      </c>
    </row>
    <row r="664" spans="1:12" x14ac:dyDescent="0.35">
      <c r="A664" s="24" t="s">
        <v>3242</v>
      </c>
      <c r="B664" s="24" t="str">
        <f>"002381"</f>
        <v>002381</v>
      </c>
      <c r="C664" s="24" t="str">
        <f t="shared" si="10"/>
        <v>'002381.SZ'</v>
      </c>
      <c r="D664" s="24" t="s">
        <v>4762</v>
      </c>
      <c r="E664" s="24" t="s">
        <v>4763</v>
      </c>
      <c r="F664" s="24">
        <v>1.3774999999999999</v>
      </c>
      <c r="G664" s="24">
        <v>2634073337.5999999</v>
      </c>
      <c r="H664" s="24">
        <v>2.452</v>
      </c>
      <c r="I664" s="24">
        <v>1.8677999999999999</v>
      </c>
      <c r="J664" s="24">
        <v>0.93679999999999997</v>
      </c>
      <c r="K664" s="24">
        <v>271</v>
      </c>
      <c r="L664" s="24" t="s">
        <v>4764</v>
      </c>
    </row>
    <row r="665" spans="1:12" x14ac:dyDescent="0.35">
      <c r="A665" s="24" t="s">
        <v>3242</v>
      </c>
      <c r="B665" s="24" t="str">
        <f>"003016"</f>
        <v>003016</v>
      </c>
      <c r="C665" s="24" t="str">
        <f t="shared" si="10"/>
        <v>'003016.SZ'</v>
      </c>
      <c r="D665" s="24" t="s">
        <v>4765</v>
      </c>
      <c r="E665" s="24" t="s">
        <v>4121</v>
      </c>
      <c r="F665" s="24">
        <v>1.3769</v>
      </c>
      <c r="G665" s="24">
        <v>3919378259.04</v>
      </c>
      <c r="H665" s="24">
        <v>3.5167000000000002</v>
      </c>
      <c r="I665" s="24">
        <v>2.4293999999999998</v>
      </c>
      <c r="J665" s="24">
        <v>1.6886000000000001</v>
      </c>
      <c r="K665" s="24">
        <v>61</v>
      </c>
      <c r="L665" s="24" t="s">
        <v>4766</v>
      </c>
    </row>
    <row r="666" spans="1:12" x14ac:dyDescent="0.35">
      <c r="A666" s="24" t="s">
        <v>3246</v>
      </c>
      <c r="B666" s="24" t="str">
        <f>"600249"</f>
        <v>600249</v>
      </c>
      <c r="C666" s="24" t="str">
        <f t="shared" si="10"/>
        <v>'600249.SS'</v>
      </c>
      <c r="D666" s="24" t="s">
        <v>4767</v>
      </c>
      <c r="E666" s="24" t="s">
        <v>4768</v>
      </c>
      <c r="F666" s="24">
        <v>1.375</v>
      </c>
      <c r="G666" s="24">
        <v>2876500000</v>
      </c>
      <c r="H666" s="24">
        <v>5.2439999999999998</v>
      </c>
      <c r="I666" s="24">
        <v>4.5358999999999998</v>
      </c>
      <c r="J666" s="24">
        <v>3.5972</v>
      </c>
      <c r="K666" s="24">
        <v>97</v>
      </c>
      <c r="L666" s="24" t="s">
        <v>4769</v>
      </c>
    </row>
    <row r="667" spans="1:12" x14ac:dyDescent="0.35">
      <c r="A667" s="24" t="s">
        <v>3246</v>
      </c>
      <c r="B667" s="24" t="str">
        <f>"600955"</f>
        <v>600955</v>
      </c>
      <c r="C667" s="24" t="str">
        <f t="shared" si="10"/>
        <v>'600955.SS'</v>
      </c>
      <c r="D667" s="24" t="s">
        <v>4770</v>
      </c>
      <c r="E667" s="24" t="s">
        <v>3994</v>
      </c>
      <c r="F667" s="24">
        <v>1.3749</v>
      </c>
      <c r="G667" s="24">
        <v>11726000000</v>
      </c>
      <c r="H667" s="24">
        <v>4.4977999999999998</v>
      </c>
      <c r="I667" s="24">
        <v>4.0007000000000001</v>
      </c>
      <c r="J667" s="24">
        <v>1.2809999999999999</v>
      </c>
      <c r="K667" s="24">
        <v>69</v>
      </c>
      <c r="L667" s="24" t="s">
        <v>4771</v>
      </c>
    </row>
    <row r="668" spans="1:12" x14ac:dyDescent="0.35">
      <c r="A668" s="24" t="s">
        <v>3242</v>
      </c>
      <c r="B668" s="24" t="str">
        <f>"001296"</f>
        <v>001296</v>
      </c>
      <c r="C668" s="24" t="str">
        <f t="shared" si="10"/>
        <v>'001296.SZ'</v>
      </c>
      <c r="D668" s="24" t="s">
        <v>4772</v>
      </c>
      <c r="E668" s="24" t="s">
        <v>3910</v>
      </c>
      <c r="F668" s="24">
        <v>1.371</v>
      </c>
      <c r="G668" s="24">
        <v>2117949998.0599999</v>
      </c>
      <c r="H668" s="24">
        <v>5.3715000000000002</v>
      </c>
      <c r="I668" s="24">
        <v>4.6018999999999997</v>
      </c>
      <c r="J668" s="24">
        <v>1.3439000000000001</v>
      </c>
      <c r="K668" s="24">
        <v>21</v>
      </c>
      <c r="L668" s="24" t="s">
        <v>4773</v>
      </c>
    </row>
    <row r="669" spans="1:12" x14ac:dyDescent="0.35">
      <c r="A669" s="24" t="s">
        <v>3242</v>
      </c>
      <c r="B669" s="24" t="str">
        <f>"300800"</f>
        <v>300800</v>
      </c>
      <c r="C669" s="24" t="str">
        <f t="shared" si="10"/>
        <v>'300800.SZ'</v>
      </c>
      <c r="D669" s="24" t="s">
        <v>4774</v>
      </c>
      <c r="E669" s="24" t="s">
        <v>3843</v>
      </c>
      <c r="F669" s="24">
        <v>1.3697999999999999</v>
      </c>
      <c r="G669" s="24">
        <v>2836960000</v>
      </c>
      <c r="H669" s="24">
        <v>9.3011999999999997</v>
      </c>
      <c r="I669" s="24">
        <v>8.0974000000000004</v>
      </c>
      <c r="J669" s="24">
        <v>3.278</v>
      </c>
      <c r="K669" s="24">
        <v>358</v>
      </c>
      <c r="L669" s="24" t="s">
        <v>4775</v>
      </c>
    </row>
    <row r="670" spans="1:12" x14ac:dyDescent="0.35">
      <c r="A670" s="24" t="s">
        <v>3242</v>
      </c>
      <c r="B670" s="24" t="str">
        <f>"300695"</f>
        <v>300695</v>
      </c>
      <c r="C670" s="24" t="str">
        <f t="shared" si="10"/>
        <v>'300695.SZ'</v>
      </c>
      <c r="D670" s="24" t="s">
        <v>4776</v>
      </c>
      <c r="E670" s="24" t="s">
        <v>3699</v>
      </c>
      <c r="F670" s="24">
        <v>1.3655999999999999</v>
      </c>
      <c r="G670" s="24">
        <v>3135100342.4000001</v>
      </c>
      <c r="H670" s="24">
        <v>5.1199000000000003</v>
      </c>
      <c r="I670" s="24">
        <v>4.7112999999999996</v>
      </c>
      <c r="J670" s="24">
        <v>4.0735999999999999</v>
      </c>
      <c r="K670" s="24">
        <v>128</v>
      </c>
      <c r="L670" s="24" t="s">
        <v>4777</v>
      </c>
    </row>
    <row r="671" spans="1:12" x14ac:dyDescent="0.35">
      <c r="A671" s="24" t="s">
        <v>3242</v>
      </c>
      <c r="B671" s="24" t="str">
        <f>"300970"</f>
        <v>300970</v>
      </c>
      <c r="C671" s="24" t="str">
        <f t="shared" si="10"/>
        <v>'300970.SZ'</v>
      </c>
      <c r="D671" s="24" t="s">
        <v>4778</v>
      </c>
      <c r="E671" s="24" t="s">
        <v>4779</v>
      </c>
      <c r="F671" s="24">
        <v>1.3629</v>
      </c>
      <c r="G671" s="24">
        <v>2038749000</v>
      </c>
      <c r="H671" s="24">
        <v>5.9058000000000002</v>
      </c>
      <c r="I671" s="24">
        <v>4.8423999999999996</v>
      </c>
      <c r="J671" s="24">
        <v>2.3694000000000002</v>
      </c>
      <c r="K671" s="24">
        <v>29</v>
      </c>
      <c r="L671" s="24" t="s">
        <v>4780</v>
      </c>
    </row>
    <row r="672" spans="1:12" x14ac:dyDescent="0.35">
      <c r="A672" s="24" t="s">
        <v>3246</v>
      </c>
      <c r="B672" s="24" t="str">
        <f>"688370"</f>
        <v>688370</v>
      </c>
      <c r="C672" s="24" t="str">
        <f t="shared" si="10"/>
        <v>'688370.SS'</v>
      </c>
      <c r="D672" s="24" t="s">
        <v>4781</v>
      </c>
      <c r="E672" s="24" t="s">
        <v>3422</v>
      </c>
      <c r="F672" s="24">
        <v>1.3614999999999999</v>
      </c>
      <c r="G672" s="24">
        <v>3825080000</v>
      </c>
      <c r="H672" s="24">
        <v>5.0327000000000002</v>
      </c>
      <c r="I672" s="24">
        <v>4.8402000000000003</v>
      </c>
      <c r="J672" s="24">
        <v>2.0379</v>
      </c>
      <c r="K672" s="24">
        <v>3</v>
      </c>
      <c r="L672" s="24" t="s">
        <v>4782</v>
      </c>
    </row>
    <row r="673" spans="1:12" x14ac:dyDescent="0.35">
      <c r="A673" s="24" t="s">
        <v>3246</v>
      </c>
      <c r="B673" s="24" t="str">
        <f>"601921"</f>
        <v>601921</v>
      </c>
      <c r="C673" s="24" t="str">
        <f t="shared" si="10"/>
        <v>'601921.SS'</v>
      </c>
      <c r="D673" s="24" t="s">
        <v>4783</v>
      </c>
      <c r="E673" s="24" t="s">
        <v>3505</v>
      </c>
      <c r="F673" s="24">
        <v>1.3605</v>
      </c>
      <c r="G673" s="24">
        <v>16466666672.43</v>
      </c>
      <c r="H673" s="24">
        <v>1.8514999999999999</v>
      </c>
      <c r="I673" s="24">
        <v>1.3478000000000001</v>
      </c>
      <c r="J673" s="24">
        <v>1.1773</v>
      </c>
      <c r="K673" s="24">
        <v>47</v>
      </c>
      <c r="L673" s="24" t="s">
        <v>4784</v>
      </c>
    </row>
    <row r="674" spans="1:12" x14ac:dyDescent="0.35">
      <c r="A674" s="24" t="s">
        <v>3246</v>
      </c>
      <c r="B674" s="24" t="str">
        <f>"601001"</f>
        <v>601001</v>
      </c>
      <c r="C674" s="24" t="str">
        <f t="shared" si="10"/>
        <v>'601001.SS'</v>
      </c>
      <c r="D674" s="24" t="s">
        <v>4785</v>
      </c>
      <c r="E674" s="24" t="s">
        <v>4418</v>
      </c>
      <c r="F674" s="24">
        <v>1.3517999999999999</v>
      </c>
      <c r="G674" s="24">
        <v>20301981000</v>
      </c>
      <c r="H674" s="24">
        <v>1.7533000000000001</v>
      </c>
      <c r="I674" s="24">
        <v>1.7119</v>
      </c>
      <c r="J674" s="24">
        <v>1.4955000000000001</v>
      </c>
      <c r="K674" s="24">
        <v>323</v>
      </c>
      <c r="L674" s="24" t="s">
        <v>4786</v>
      </c>
    </row>
    <row r="675" spans="1:12" x14ac:dyDescent="0.35">
      <c r="A675" s="24" t="s">
        <v>3246</v>
      </c>
      <c r="B675" s="24" t="str">
        <f>"603610"</f>
        <v>603610</v>
      </c>
      <c r="C675" s="24" t="str">
        <f t="shared" si="10"/>
        <v>'603610.SS'</v>
      </c>
      <c r="D675" s="24" t="s">
        <v>4787</v>
      </c>
      <c r="E675" s="24" t="s">
        <v>4712</v>
      </c>
      <c r="F675" s="24">
        <v>1.3489</v>
      </c>
      <c r="G675" s="24">
        <v>4423757357.3400002</v>
      </c>
      <c r="H675" s="24">
        <v>4.1109</v>
      </c>
      <c r="I675" s="24">
        <v>3.1911999999999998</v>
      </c>
      <c r="J675" s="24">
        <v>2.2791999999999999</v>
      </c>
      <c r="K675" s="24">
        <v>241</v>
      </c>
      <c r="L675" s="24" t="s">
        <v>4788</v>
      </c>
    </row>
    <row r="676" spans="1:12" x14ac:dyDescent="0.35">
      <c r="A676" s="24" t="s">
        <v>3246</v>
      </c>
      <c r="B676" s="24" t="str">
        <f>"605500"</f>
        <v>605500</v>
      </c>
      <c r="C676" s="24" t="str">
        <f t="shared" si="10"/>
        <v>'605500.SS'</v>
      </c>
      <c r="D676" s="24" t="s">
        <v>4789</v>
      </c>
      <c r="E676" s="24" t="s">
        <v>4570</v>
      </c>
      <c r="F676" s="24">
        <v>1.3452</v>
      </c>
      <c r="G676" s="24">
        <v>3113920000</v>
      </c>
      <c r="H676" s="24">
        <v>6.5579000000000001</v>
      </c>
      <c r="I676" s="24">
        <v>5.0464000000000002</v>
      </c>
      <c r="J676" s="24">
        <v>1.7403</v>
      </c>
      <c r="K676" s="24">
        <v>47</v>
      </c>
      <c r="L676" s="24" t="s">
        <v>4790</v>
      </c>
    </row>
    <row r="677" spans="1:12" x14ac:dyDescent="0.35">
      <c r="A677" s="24" t="s">
        <v>3242</v>
      </c>
      <c r="B677" s="24" t="str">
        <f>"002558"</f>
        <v>002558</v>
      </c>
      <c r="C677" s="24" t="str">
        <f t="shared" si="10"/>
        <v>'002558.SZ'</v>
      </c>
      <c r="D677" s="24" t="s">
        <v>4791</v>
      </c>
      <c r="E677" s="24" t="s">
        <v>3481</v>
      </c>
      <c r="F677" s="24">
        <v>1.3366</v>
      </c>
      <c r="G677" s="24">
        <v>16219940394.719999</v>
      </c>
      <c r="H677" s="24">
        <v>2.1271</v>
      </c>
      <c r="I677" s="24">
        <v>2.1067</v>
      </c>
      <c r="J677" s="24">
        <v>1.5322</v>
      </c>
      <c r="K677" s="24">
        <v>473</v>
      </c>
      <c r="L677" s="24" t="s">
        <v>4792</v>
      </c>
    </row>
    <row r="678" spans="1:12" x14ac:dyDescent="0.35">
      <c r="A678" s="24" t="s">
        <v>3242</v>
      </c>
      <c r="B678" s="24" t="str">
        <f>"300976"</f>
        <v>300976</v>
      </c>
      <c r="C678" s="24" t="str">
        <f t="shared" si="10"/>
        <v>'300976.SZ'</v>
      </c>
      <c r="D678" s="24" t="s">
        <v>4793</v>
      </c>
      <c r="E678" s="24" t="s">
        <v>3327</v>
      </c>
      <c r="F678" s="24">
        <v>1.3343</v>
      </c>
      <c r="G678" s="24">
        <v>4107691386</v>
      </c>
      <c r="H678" s="24">
        <v>6.8015999999999996</v>
      </c>
      <c r="I678" s="24">
        <v>6.0682999999999998</v>
      </c>
      <c r="J678" s="24">
        <v>2.5596999999999999</v>
      </c>
      <c r="K678" s="24">
        <v>41</v>
      </c>
      <c r="L678" s="24" t="s">
        <v>4794</v>
      </c>
    </row>
    <row r="679" spans="1:12" x14ac:dyDescent="0.35">
      <c r="A679" s="24" t="s">
        <v>3242</v>
      </c>
      <c r="B679" s="24" t="str">
        <f>"000919"</f>
        <v>000919</v>
      </c>
      <c r="C679" s="24" t="str">
        <f t="shared" si="10"/>
        <v>'000919.SZ'</v>
      </c>
      <c r="D679" s="24" t="s">
        <v>4795</v>
      </c>
      <c r="E679" s="24" t="s">
        <v>3696</v>
      </c>
      <c r="F679" s="24">
        <v>1.3340000000000001</v>
      </c>
      <c r="G679" s="24">
        <v>4011744000</v>
      </c>
      <c r="H679" s="24">
        <v>2.8026</v>
      </c>
      <c r="I679" s="24">
        <v>2.5198</v>
      </c>
      <c r="J679" s="24">
        <v>1.3348</v>
      </c>
      <c r="K679" s="24">
        <v>187</v>
      </c>
      <c r="L679" s="24" t="s">
        <v>4796</v>
      </c>
    </row>
    <row r="680" spans="1:12" x14ac:dyDescent="0.35">
      <c r="A680" s="24" t="s">
        <v>3242</v>
      </c>
      <c r="B680" s="24" t="str">
        <f>"002026"</f>
        <v>002026</v>
      </c>
      <c r="C680" s="24" t="str">
        <f t="shared" si="10"/>
        <v>'002026.SZ'</v>
      </c>
      <c r="D680" s="24" t="s">
        <v>4797</v>
      </c>
      <c r="E680" s="24" t="s">
        <v>3351</v>
      </c>
      <c r="F680" s="24">
        <v>1.3329</v>
      </c>
      <c r="G680" s="24">
        <v>4382114895.8500004</v>
      </c>
      <c r="H680" s="24">
        <v>2.177</v>
      </c>
      <c r="I680" s="24">
        <v>1.7245999999999999</v>
      </c>
      <c r="J680" s="24">
        <v>0.83620000000000005</v>
      </c>
      <c r="K680" s="24">
        <v>231</v>
      </c>
      <c r="L680" s="24" t="s">
        <v>4798</v>
      </c>
    </row>
    <row r="681" spans="1:12" x14ac:dyDescent="0.35">
      <c r="A681" s="24" t="s">
        <v>3246</v>
      </c>
      <c r="B681" s="24" t="str">
        <f>"601616"</f>
        <v>601616</v>
      </c>
      <c r="C681" s="24" t="str">
        <f t="shared" si="10"/>
        <v>'601616.SS'</v>
      </c>
      <c r="D681" s="24" t="s">
        <v>4799</v>
      </c>
      <c r="E681" s="24" t="s">
        <v>4800</v>
      </c>
      <c r="F681" s="24">
        <v>1.3288</v>
      </c>
      <c r="G681" s="24">
        <v>3265156750</v>
      </c>
      <c r="H681" s="24">
        <v>3.8706999999999998</v>
      </c>
      <c r="I681" s="24">
        <v>3.4981</v>
      </c>
      <c r="J681" s="24">
        <v>2.2639999999999998</v>
      </c>
      <c r="K681" s="24">
        <v>81</v>
      </c>
      <c r="L681" s="24" t="s">
        <v>4801</v>
      </c>
    </row>
    <row r="682" spans="1:12" x14ac:dyDescent="0.35">
      <c r="A682" s="24" t="s">
        <v>3246</v>
      </c>
      <c r="B682" s="24" t="str">
        <f>"605177"</f>
        <v>605177</v>
      </c>
      <c r="C682" s="24" t="str">
        <f t="shared" si="10"/>
        <v>'605177.SS'</v>
      </c>
      <c r="D682" s="24" t="s">
        <v>4802</v>
      </c>
      <c r="E682" s="24" t="s">
        <v>3658</v>
      </c>
      <c r="F682" s="24">
        <v>1.3272999999999999</v>
      </c>
      <c r="G682" s="24">
        <v>2384464000</v>
      </c>
      <c r="H682" s="24">
        <v>2.3323999999999998</v>
      </c>
      <c r="I682" s="24">
        <v>1.4293</v>
      </c>
      <c r="J682" s="24">
        <v>0.82399999999999995</v>
      </c>
      <c r="K682" s="24">
        <v>44</v>
      </c>
      <c r="L682" s="24" t="s">
        <v>4803</v>
      </c>
    </row>
    <row r="683" spans="1:12" x14ac:dyDescent="0.35">
      <c r="A683" s="24" t="s">
        <v>3242</v>
      </c>
      <c r="B683" s="24" t="str">
        <f>"001218"</f>
        <v>001218</v>
      </c>
      <c r="C683" s="24" t="str">
        <f t="shared" si="10"/>
        <v>'001218.SZ'</v>
      </c>
      <c r="D683" s="24" t="s">
        <v>4804</v>
      </c>
      <c r="E683" s="24" t="s">
        <v>3271</v>
      </c>
      <c r="F683" s="24">
        <v>1.3245</v>
      </c>
      <c r="G683" s="24">
        <v>2673586314</v>
      </c>
      <c r="H683" s="24">
        <v>3.3033000000000001</v>
      </c>
      <c r="I683" s="24">
        <v>2.6993</v>
      </c>
      <c r="J683" s="24">
        <v>1.2238</v>
      </c>
      <c r="K683" s="24">
        <v>22</v>
      </c>
      <c r="L683" s="24" t="s">
        <v>4805</v>
      </c>
    </row>
    <row r="684" spans="1:12" x14ac:dyDescent="0.35">
      <c r="A684" s="24" t="s">
        <v>3242</v>
      </c>
      <c r="B684" s="24" t="str">
        <f>"002224"</f>
        <v>002224</v>
      </c>
      <c r="C684" s="24" t="str">
        <f t="shared" si="10"/>
        <v>'002224.SZ'</v>
      </c>
      <c r="D684" s="24" t="s">
        <v>4806</v>
      </c>
      <c r="E684" s="24" t="s">
        <v>4763</v>
      </c>
      <c r="F684" s="24">
        <v>1.3203</v>
      </c>
      <c r="G684" s="24">
        <v>3246704309.3000002</v>
      </c>
      <c r="H684" s="24">
        <v>8.5381</v>
      </c>
      <c r="I684" s="24">
        <v>6.8601000000000001</v>
      </c>
      <c r="J684" s="24">
        <v>5.5397999999999996</v>
      </c>
      <c r="K684" s="24">
        <v>189</v>
      </c>
      <c r="L684" s="24" t="s">
        <v>4807</v>
      </c>
    </row>
    <row r="685" spans="1:12" x14ac:dyDescent="0.35">
      <c r="A685" s="24" t="s">
        <v>3242</v>
      </c>
      <c r="B685" s="24" t="str">
        <f>"001288"</f>
        <v>001288</v>
      </c>
      <c r="C685" s="24" t="str">
        <f t="shared" si="10"/>
        <v>'001288.SZ'</v>
      </c>
      <c r="D685" s="24" t="s">
        <v>4808</v>
      </c>
      <c r="E685" s="24" t="s">
        <v>3840</v>
      </c>
      <c r="F685" s="24">
        <v>1.3196000000000001</v>
      </c>
      <c r="G685" s="24">
        <v>2385600000</v>
      </c>
      <c r="H685" s="24">
        <v>3.1053999999999999</v>
      </c>
      <c r="I685" s="24">
        <v>2.8460999999999999</v>
      </c>
      <c r="J685" s="24">
        <v>1.2779</v>
      </c>
      <c r="K685" s="24">
        <v>23</v>
      </c>
      <c r="L685" s="24" t="s">
        <v>4809</v>
      </c>
    </row>
    <row r="686" spans="1:12" x14ac:dyDescent="0.35">
      <c r="A686" s="24" t="s">
        <v>3246</v>
      </c>
      <c r="B686" s="24" t="str">
        <f>"688606"</f>
        <v>688606</v>
      </c>
      <c r="C686" s="24" t="str">
        <f t="shared" si="10"/>
        <v>'688606.SS'</v>
      </c>
      <c r="D686" s="24" t="s">
        <v>4810</v>
      </c>
      <c r="E686" s="24" t="s">
        <v>3432</v>
      </c>
      <c r="F686" s="24">
        <v>1.3168</v>
      </c>
      <c r="G686" s="24">
        <v>5710605121.3000002</v>
      </c>
      <c r="H686" s="24">
        <v>12.5869</v>
      </c>
      <c r="I686" s="24">
        <v>11.237299999999999</v>
      </c>
      <c r="J686" s="24">
        <v>5.7415000000000003</v>
      </c>
      <c r="K686" s="24">
        <v>148</v>
      </c>
      <c r="L686" s="24" t="s">
        <v>4811</v>
      </c>
    </row>
    <row r="687" spans="1:12" x14ac:dyDescent="0.35">
      <c r="A687" s="24" t="s">
        <v>3242</v>
      </c>
      <c r="B687" s="24" t="str">
        <f>"000655"</f>
        <v>000655</v>
      </c>
      <c r="C687" s="24" t="str">
        <f t="shared" si="10"/>
        <v>'000655.SZ'</v>
      </c>
      <c r="D687" s="24" t="s">
        <v>4812</v>
      </c>
      <c r="E687" s="24" t="s">
        <v>3891</v>
      </c>
      <c r="F687" s="24">
        <v>1.3089</v>
      </c>
      <c r="G687" s="24">
        <v>4006639747.9000001</v>
      </c>
      <c r="H687" s="24">
        <v>8.0451999999999995</v>
      </c>
      <c r="I687" s="24">
        <v>7.7289000000000003</v>
      </c>
      <c r="J687" s="24">
        <v>6.8898999999999999</v>
      </c>
      <c r="K687" s="24">
        <v>151</v>
      </c>
      <c r="L687" s="24" t="s">
        <v>4813</v>
      </c>
    </row>
    <row r="688" spans="1:12" x14ac:dyDescent="0.35">
      <c r="A688" s="24" t="s">
        <v>3242</v>
      </c>
      <c r="B688" s="24" t="str">
        <f>"002022"</f>
        <v>002022</v>
      </c>
      <c r="C688" s="24" t="str">
        <f t="shared" si="10"/>
        <v>'002022.SZ'</v>
      </c>
      <c r="D688" s="24" t="s">
        <v>4814</v>
      </c>
      <c r="E688" s="24" t="s">
        <v>3432</v>
      </c>
      <c r="F688" s="24">
        <v>1.3038000000000001</v>
      </c>
      <c r="G688" s="24">
        <v>6372137463.5100002</v>
      </c>
      <c r="H688" s="24">
        <v>5.3509000000000002</v>
      </c>
      <c r="I688" s="24">
        <v>4.1874000000000002</v>
      </c>
      <c r="J688" s="24">
        <v>2.9860000000000002</v>
      </c>
      <c r="K688" s="24">
        <v>1003</v>
      </c>
      <c r="L688" s="24" t="s">
        <v>4815</v>
      </c>
    </row>
    <row r="689" spans="1:12" x14ac:dyDescent="0.35">
      <c r="A689" s="24" t="s">
        <v>3246</v>
      </c>
      <c r="B689" s="24" t="str">
        <f>"601222"</f>
        <v>601222</v>
      </c>
      <c r="C689" s="24" t="str">
        <f t="shared" si="10"/>
        <v>'601222.SS'</v>
      </c>
      <c r="D689" s="24" t="s">
        <v>4816</v>
      </c>
      <c r="E689" s="24" t="s">
        <v>3254</v>
      </c>
      <c r="F689" s="24">
        <v>1.3026</v>
      </c>
      <c r="G689" s="24">
        <v>19365590066.400002</v>
      </c>
      <c r="H689" s="24">
        <v>3.0693999999999999</v>
      </c>
      <c r="I689" s="24">
        <v>2.6549999999999998</v>
      </c>
      <c r="J689" s="24">
        <v>0.84450000000000003</v>
      </c>
      <c r="K689" s="24">
        <v>570</v>
      </c>
      <c r="L689" s="24" t="s">
        <v>4817</v>
      </c>
    </row>
    <row r="690" spans="1:12" x14ac:dyDescent="0.35">
      <c r="A690" s="24" t="s">
        <v>3242</v>
      </c>
      <c r="B690" s="24" t="str">
        <f>"002588"</f>
        <v>002588</v>
      </c>
      <c r="C690" s="24" t="str">
        <f t="shared" si="10"/>
        <v>'002588.SZ'</v>
      </c>
      <c r="D690" s="24" t="s">
        <v>4818</v>
      </c>
      <c r="E690" s="24" t="s">
        <v>4819</v>
      </c>
      <c r="F690" s="24">
        <v>1.2988999999999999</v>
      </c>
      <c r="G690" s="24">
        <v>7022285880</v>
      </c>
      <c r="H690" s="24">
        <v>1.6041000000000001</v>
      </c>
      <c r="I690" s="24">
        <v>1.1181000000000001</v>
      </c>
      <c r="J690" s="24">
        <v>0.97799999999999998</v>
      </c>
      <c r="K690" s="24">
        <v>178</v>
      </c>
      <c r="L690" s="24" t="s">
        <v>4820</v>
      </c>
    </row>
    <row r="691" spans="1:12" x14ac:dyDescent="0.35">
      <c r="A691" s="24" t="s">
        <v>3246</v>
      </c>
      <c r="B691" s="24" t="str">
        <f>"600830"</f>
        <v>600830</v>
      </c>
      <c r="C691" s="24" t="str">
        <f t="shared" si="10"/>
        <v>'600830.SS'</v>
      </c>
      <c r="D691" s="24" t="s">
        <v>4821</v>
      </c>
      <c r="E691" s="24" t="s">
        <v>3902</v>
      </c>
      <c r="F691" s="24">
        <v>1.2896000000000001</v>
      </c>
      <c r="G691" s="24">
        <v>2725936482</v>
      </c>
      <c r="H691" s="24">
        <v>3.1248</v>
      </c>
      <c r="I691" s="24">
        <v>3.1229</v>
      </c>
      <c r="J691" s="24">
        <v>2.3365999999999998</v>
      </c>
      <c r="K691" s="24">
        <v>83</v>
      </c>
      <c r="L691" s="24" t="s">
        <v>4822</v>
      </c>
    </row>
    <row r="692" spans="1:12" x14ac:dyDescent="0.35">
      <c r="A692" s="24" t="s">
        <v>3242</v>
      </c>
      <c r="B692" s="24" t="str">
        <f>"000557"</f>
        <v>000557</v>
      </c>
      <c r="C692" s="24" t="str">
        <f t="shared" si="10"/>
        <v>'000557.SZ'</v>
      </c>
      <c r="D692" s="24" t="s">
        <v>4823</v>
      </c>
      <c r="E692" s="24" t="s">
        <v>4824</v>
      </c>
      <c r="F692" s="24">
        <v>1.2894000000000001</v>
      </c>
      <c r="G692" s="24">
        <v>7233538685.6000004</v>
      </c>
      <c r="H692" s="24">
        <v>4.9893000000000001</v>
      </c>
      <c r="I692" s="24">
        <v>4.8121999999999998</v>
      </c>
      <c r="J692" s="24">
        <v>3.5259</v>
      </c>
      <c r="K692" s="24">
        <v>111</v>
      </c>
      <c r="L692" s="24" t="s">
        <v>4825</v>
      </c>
    </row>
    <row r="693" spans="1:12" x14ac:dyDescent="0.35">
      <c r="A693" s="24" t="s">
        <v>3246</v>
      </c>
      <c r="B693" s="24" t="str">
        <f>"605100"</f>
        <v>605100</v>
      </c>
      <c r="C693" s="24" t="str">
        <f t="shared" si="10"/>
        <v>'605100.SS'</v>
      </c>
      <c r="D693" s="24" t="s">
        <v>4826</v>
      </c>
      <c r="E693" s="24" t="s">
        <v>3351</v>
      </c>
      <c r="F693" s="24">
        <v>1.2878000000000001</v>
      </c>
      <c r="G693" s="24">
        <v>2290683360</v>
      </c>
      <c r="H693" s="24">
        <v>3.4998999999999998</v>
      </c>
      <c r="I693" s="24">
        <v>3.077</v>
      </c>
      <c r="J693" s="24">
        <v>1.5246999999999999</v>
      </c>
      <c r="K693" s="24">
        <v>71</v>
      </c>
      <c r="L693" s="24" t="s">
        <v>4827</v>
      </c>
    </row>
    <row r="694" spans="1:12" x14ac:dyDescent="0.35">
      <c r="A694" s="24" t="s">
        <v>3246</v>
      </c>
      <c r="B694" s="24" t="str">
        <f>"600395"</f>
        <v>600395</v>
      </c>
      <c r="C694" s="24" t="str">
        <f t="shared" si="10"/>
        <v>'600395.SS'</v>
      </c>
      <c r="D694" s="24" t="s">
        <v>4828</v>
      </c>
      <c r="E694" s="24" t="s">
        <v>4829</v>
      </c>
      <c r="F694" s="24">
        <v>1.2849999999999999</v>
      </c>
      <c r="G694" s="24">
        <v>14511184283.440001</v>
      </c>
      <c r="H694" s="24">
        <v>1.6617</v>
      </c>
      <c r="I694" s="24">
        <v>1.5119</v>
      </c>
      <c r="J694" s="24">
        <v>0.91400000000000003</v>
      </c>
      <c r="K694" s="24">
        <v>559</v>
      </c>
      <c r="L694" s="24" t="s">
        <v>4830</v>
      </c>
    </row>
    <row r="695" spans="1:12" x14ac:dyDescent="0.35">
      <c r="A695" s="24" t="s">
        <v>3242</v>
      </c>
      <c r="B695" s="24" t="str">
        <f>"002659"</f>
        <v>002659</v>
      </c>
      <c r="C695" s="24" t="str">
        <f t="shared" si="10"/>
        <v>'002659.SZ'</v>
      </c>
      <c r="D695" s="24" t="s">
        <v>4831</v>
      </c>
      <c r="E695" s="24" t="s">
        <v>4832</v>
      </c>
      <c r="F695" s="24">
        <v>1.2846</v>
      </c>
      <c r="G695" s="24">
        <v>2937556685.4400001</v>
      </c>
      <c r="H695" s="24">
        <v>2.3515000000000001</v>
      </c>
      <c r="I695" s="24">
        <v>2.2841</v>
      </c>
      <c r="J695" s="24">
        <v>1.6942999999999999</v>
      </c>
      <c r="K695" s="24">
        <v>98</v>
      </c>
      <c r="L695" s="24" t="s">
        <v>4833</v>
      </c>
    </row>
    <row r="696" spans="1:12" x14ac:dyDescent="0.35">
      <c r="A696" s="24" t="s">
        <v>3246</v>
      </c>
      <c r="B696" s="24" t="str">
        <f>"603766"</f>
        <v>603766</v>
      </c>
      <c r="C696" s="24" t="str">
        <f t="shared" si="10"/>
        <v>'603766.SS'</v>
      </c>
      <c r="D696" s="24" t="s">
        <v>4834</v>
      </c>
      <c r="E696" s="24" t="s">
        <v>3411</v>
      </c>
      <c r="F696" s="24">
        <v>1.2837000000000001</v>
      </c>
      <c r="G696" s="24">
        <v>10370386342.5</v>
      </c>
      <c r="H696" s="24">
        <v>1.9521999999999999</v>
      </c>
      <c r="I696" s="24">
        <v>1.7353000000000001</v>
      </c>
      <c r="J696" s="24">
        <v>0.86419999999999997</v>
      </c>
      <c r="K696" s="24">
        <v>470</v>
      </c>
      <c r="L696" s="24" t="s">
        <v>4835</v>
      </c>
    </row>
    <row r="697" spans="1:12" x14ac:dyDescent="0.35">
      <c r="A697" s="24" t="s">
        <v>3246</v>
      </c>
      <c r="B697" s="24" t="str">
        <f>"600938"</f>
        <v>600938</v>
      </c>
      <c r="C697" s="24" t="str">
        <f t="shared" si="10"/>
        <v>'600938.SS'</v>
      </c>
      <c r="D697" s="24" t="s">
        <v>4836</v>
      </c>
      <c r="E697" s="24" t="s">
        <v>4837</v>
      </c>
      <c r="F697" s="24">
        <v>1.2837000000000001</v>
      </c>
      <c r="G697" s="24">
        <v>728722824234.88</v>
      </c>
      <c r="H697" s="24">
        <v>1.9596</v>
      </c>
      <c r="I697" s="24">
        <v>1.8898999999999999</v>
      </c>
      <c r="J697" s="24">
        <v>0.97360000000000002</v>
      </c>
      <c r="K697" s="24">
        <v>166</v>
      </c>
      <c r="L697" s="24" t="s">
        <v>4838</v>
      </c>
    </row>
    <row r="698" spans="1:12" x14ac:dyDescent="0.35">
      <c r="A698" s="24" t="s">
        <v>3242</v>
      </c>
      <c r="B698" s="24" t="str">
        <f>"002627"</f>
        <v>002627</v>
      </c>
      <c r="C698" s="24" t="str">
        <f t="shared" si="10"/>
        <v>'002627.SZ'</v>
      </c>
      <c r="D698" s="24" t="s">
        <v>4839</v>
      </c>
      <c r="E698" s="24" t="s">
        <v>4673</v>
      </c>
      <c r="F698" s="24">
        <v>1.2817000000000001</v>
      </c>
      <c r="G698" s="24">
        <v>3926947982.4400001</v>
      </c>
      <c r="H698" s="24">
        <v>3.5966</v>
      </c>
      <c r="I698" s="24">
        <v>3.0402999999999998</v>
      </c>
      <c r="J698" s="24">
        <v>2.0200999999999998</v>
      </c>
      <c r="K698" s="24">
        <v>109</v>
      </c>
      <c r="L698" s="24" t="s">
        <v>4840</v>
      </c>
    </row>
    <row r="699" spans="1:12" x14ac:dyDescent="0.35">
      <c r="A699" s="24" t="s">
        <v>3242</v>
      </c>
      <c r="B699" s="24" t="str">
        <f>"000690"</f>
        <v>000690</v>
      </c>
      <c r="C699" s="24" t="str">
        <f t="shared" si="10"/>
        <v>'000690.SZ'</v>
      </c>
      <c r="D699" s="24" t="s">
        <v>4841</v>
      </c>
      <c r="E699" s="24" t="s">
        <v>4842</v>
      </c>
      <c r="F699" s="24">
        <v>1.28</v>
      </c>
      <c r="G699" s="24">
        <v>14404377646.440001</v>
      </c>
      <c r="H699" s="24">
        <v>1.863</v>
      </c>
      <c r="I699" s="24">
        <v>1.7632000000000001</v>
      </c>
      <c r="J699" s="24">
        <v>1.4039999999999999</v>
      </c>
      <c r="K699" s="24">
        <v>642</v>
      </c>
      <c r="L699" s="24" t="s">
        <v>4843</v>
      </c>
    </row>
    <row r="700" spans="1:12" x14ac:dyDescent="0.35">
      <c r="A700" s="24" t="s">
        <v>3246</v>
      </c>
      <c r="B700" s="24" t="str">
        <f>"603788"</f>
        <v>603788</v>
      </c>
      <c r="C700" s="24" t="str">
        <f t="shared" si="10"/>
        <v>'603788.SS'</v>
      </c>
      <c r="D700" s="24" t="s">
        <v>4844</v>
      </c>
      <c r="E700" s="24" t="s">
        <v>3405</v>
      </c>
      <c r="F700" s="24">
        <v>1.2710999999999999</v>
      </c>
      <c r="G700" s="24">
        <v>2455946398.6799998</v>
      </c>
      <c r="H700" s="24">
        <v>6.6554000000000002</v>
      </c>
      <c r="I700" s="24">
        <v>5.9546000000000001</v>
      </c>
      <c r="J700" s="24">
        <v>2.5571000000000002</v>
      </c>
      <c r="K700" s="24">
        <v>336</v>
      </c>
      <c r="L700" s="24" t="s">
        <v>4845</v>
      </c>
    </row>
    <row r="701" spans="1:12" x14ac:dyDescent="0.35">
      <c r="A701" s="24" t="s">
        <v>3246</v>
      </c>
      <c r="B701" s="24" t="str">
        <f>"688057"</f>
        <v>688057</v>
      </c>
      <c r="C701" s="24" t="str">
        <f t="shared" si="10"/>
        <v>'688057.SS'</v>
      </c>
      <c r="D701" s="24" t="s">
        <v>4846</v>
      </c>
      <c r="E701" s="24" t="s">
        <v>4197</v>
      </c>
      <c r="F701" s="24">
        <v>1.2632000000000001</v>
      </c>
      <c r="G701" s="24">
        <v>3919200000</v>
      </c>
      <c r="H701" s="24">
        <v>10.414199999999999</v>
      </c>
      <c r="I701" s="24">
        <v>9.8969000000000005</v>
      </c>
      <c r="J701" s="24">
        <v>5.3630000000000004</v>
      </c>
      <c r="K701" s="24">
        <v>117</v>
      </c>
      <c r="L701" s="24" t="s">
        <v>4847</v>
      </c>
    </row>
    <row r="702" spans="1:12" x14ac:dyDescent="0.35">
      <c r="A702" s="24" t="s">
        <v>3242</v>
      </c>
      <c r="B702" s="24" t="str">
        <f>"300572"</f>
        <v>300572</v>
      </c>
      <c r="C702" s="24" t="str">
        <f t="shared" si="10"/>
        <v>'300572.SZ'</v>
      </c>
      <c r="D702" s="24" t="s">
        <v>4848</v>
      </c>
      <c r="E702" s="24" t="s">
        <v>3342</v>
      </c>
      <c r="F702" s="24">
        <v>1.2621</v>
      </c>
      <c r="G702" s="24">
        <v>2757025296.48</v>
      </c>
      <c r="H702" s="24">
        <v>4.0117000000000003</v>
      </c>
      <c r="I702" s="24">
        <v>3.2976999999999999</v>
      </c>
      <c r="J702" s="24">
        <v>2.6854</v>
      </c>
      <c r="K702" s="24">
        <v>451</v>
      </c>
      <c r="L702" s="24" t="s">
        <v>4849</v>
      </c>
    </row>
    <row r="703" spans="1:12" x14ac:dyDescent="0.35">
      <c r="A703" s="24" t="s">
        <v>3242</v>
      </c>
      <c r="B703" s="24" t="str">
        <f>"002435"</f>
        <v>002435</v>
      </c>
      <c r="C703" s="24" t="str">
        <f t="shared" si="10"/>
        <v>'002435.SZ'</v>
      </c>
      <c r="D703" s="24" t="s">
        <v>4850</v>
      </c>
      <c r="E703" s="24" t="s">
        <v>3696</v>
      </c>
      <c r="F703" s="24">
        <v>1.2578</v>
      </c>
      <c r="G703" s="24">
        <v>5796760363.8000002</v>
      </c>
      <c r="H703" s="24">
        <v>2.0343</v>
      </c>
      <c r="I703" s="24">
        <v>1.4443999999999999</v>
      </c>
      <c r="J703" s="24">
        <v>1.0563</v>
      </c>
      <c r="K703" s="24">
        <v>144</v>
      </c>
      <c r="L703" s="24" t="s">
        <v>4851</v>
      </c>
    </row>
    <row r="704" spans="1:12" x14ac:dyDescent="0.35">
      <c r="A704" s="24" t="s">
        <v>3242</v>
      </c>
      <c r="B704" s="24" t="str">
        <f>"000731"</f>
        <v>000731</v>
      </c>
      <c r="C704" s="24" t="str">
        <f t="shared" si="10"/>
        <v>'000731.SZ'</v>
      </c>
      <c r="D704" s="24" t="s">
        <v>4852</v>
      </c>
      <c r="E704" s="24" t="s">
        <v>3580</v>
      </c>
      <c r="F704" s="24">
        <v>1.2546999999999999</v>
      </c>
      <c r="G704" s="24">
        <v>4826363716.4799995</v>
      </c>
      <c r="H704" s="24">
        <v>3.8399000000000001</v>
      </c>
      <c r="I704" s="24">
        <v>3.0836000000000001</v>
      </c>
      <c r="J704" s="24">
        <v>1.7431000000000001</v>
      </c>
      <c r="K704" s="24">
        <v>150</v>
      </c>
      <c r="L704" s="24" t="s">
        <v>4853</v>
      </c>
    </row>
    <row r="705" spans="1:12" x14ac:dyDescent="0.35">
      <c r="A705" s="24" t="s">
        <v>3246</v>
      </c>
      <c r="B705" s="24" t="str">
        <f>"601098"</f>
        <v>601098</v>
      </c>
      <c r="C705" s="24" t="str">
        <f t="shared" si="10"/>
        <v>'601098.SS'</v>
      </c>
      <c r="D705" s="24" t="s">
        <v>4854</v>
      </c>
      <c r="E705" s="24" t="s">
        <v>3505</v>
      </c>
      <c r="F705" s="24">
        <v>1.2542</v>
      </c>
      <c r="G705" s="24">
        <v>17942040000</v>
      </c>
      <c r="H705" s="24">
        <v>2.4112</v>
      </c>
      <c r="I705" s="24">
        <v>2.0766</v>
      </c>
      <c r="J705" s="24">
        <v>1.0769</v>
      </c>
      <c r="K705" s="24">
        <v>904</v>
      </c>
      <c r="L705" s="24" t="s">
        <v>4855</v>
      </c>
    </row>
    <row r="706" spans="1:12" x14ac:dyDescent="0.35">
      <c r="A706" s="24" t="s">
        <v>3242</v>
      </c>
      <c r="B706" s="24" t="str">
        <f>"000639"</f>
        <v>000639</v>
      </c>
      <c r="C706" s="24" t="str">
        <f t="shared" si="10"/>
        <v>'000639.SZ'</v>
      </c>
      <c r="D706" s="24" t="s">
        <v>4856</v>
      </c>
      <c r="E706" s="24" t="s">
        <v>4857</v>
      </c>
      <c r="F706" s="24">
        <v>1.2512000000000001</v>
      </c>
      <c r="G706" s="24">
        <v>4943780675.1000004</v>
      </c>
      <c r="H706" s="24">
        <v>1.6235999999999999</v>
      </c>
      <c r="I706" s="24">
        <v>1.0239</v>
      </c>
      <c r="J706" s="24">
        <v>0.80249999999999999</v>
      </c>
      <c r="K706" s="24">
        <v>322</v>
      </c>
      <c r="L706" s="24" t="s">
        <v>4858</v>
      </c>
    </row>
    <row r="707" spans="1:12" x14ac:dyDescent="0.35">
      <c r="A707" s="24" t="s">
        <v>3242</v>
      </c>
      <c r="B707" s="24" t="str">
        <f>"002195"</f>
        <v>002195</v>
      </c>
      <c r="C707" s="24" t="str">
        <f t="shared" ref="C707:C770" si="11">CONCATENATE("'",B707,IF(A707="sh",".SS'",".SZ'"))</f>
        <v>'002195.SZ'</v>
      </c>
      <c r="D707" s="24" t="s">
        <v>4859</v>
      </c>
      <c r="E707" s="24" t="s">
        <v>3722</v>
      </c>
      <c r="F707" s="24">
        <v>1.2508999999999999</v>
      </c>
      <c r="G707" s="24">
        <v>11907683139.040001</v>
      </c>
      <c r="H707" s="24">
        <v>16.984200000000001</v>
      </c>
      <c r="I707" s="24">
        <v>16.976299999999998</v>
      </c>
      <c r="J707" s="24">
        <v>6.1401000000000003</v>
      </c>
      <c r="K707" s="24">
        <v>572</v>
      </c>
      <c r="L707" s="24" t="s">
        <v>4860</v>
      </c>
    </row>
    <row r="708" spans="1:12" x14ac:dyDescent="0.35">
      <c r="A708" s="24" t="s">
        <v>3246</v>
      </c>
      <c r="B708" s="24" t="str">
        <f>"603586"</f>
        <v>603586</v>
      </c>
      <c r="C708" s="24" t="str">
        <f t="shared" si="11"/>
        <v>'603586.SS'</v>
      </c>
      <c r="D708" s="24" t="s">
        <v>4861</v>
      </c>
      <c r="E708" s="24" t="s">
        <v>3405</v>
      </c>
      <c r="F708" s="24">
        <v>1.2492000000000001</v>
      </c>
      <c r="G708" s="24">
        <v>2676120447</v>
      </c>
      <c r="H708" s="24">
        <v>2.6084000000000001</v>
      </c>
      <c r="I708" s="24">
        <v>2.1101000000000001</v>
      </c>
      <c r="J708" s="24">
        <v>1.1996</v>
      </c>
      <c r="K708" s="24">
        <v>121</v>
      </c>
      <c r="L708" s="24" t="s">
        <v>4862</v>
      </c>
    </row>
    <row r="709" spans="1:12" x14ac:dyDescent="0.35">
      <c r="A709" s="24" t="s">
        <v>3246</v>
      </c>
      <c r="B709" s="24" t="str">
        <f>"603095"</f>
        <v>603095</v>
      </c>
      <c r="C709" s="24" t="str">
        <f t="shared" si="11"/>
        <v>'603095.SS'</v>
      </c>
      <c r="D709" s="24" t="s">
        <v>4863</v>
      </c>
      <c r="E709" s="24" t="s">
        <v>4864</v>
      </c>
      <c r="F709" s="24">
        <v>1.2455000000000001</v>
      </c>
      <c r="G709" s="24">
        <v>3152160000</v>
      </c>
      <c r="H709" s="24">
        <v>2.8855</v>
      </c>
      <c r="I709" s="24">
        <v>2.4226999999999999</v>
      </c>
      <c r="J709" s="24">
        <v>1.8762000000000001</v>
      </c>
      <c r="K709" s="24">
        <v>73</v>
      </c>
      <c r="L709" s="24" t="s">
        <v>4865</v>
      </c>
    </row>
    <row r="710" spans="1:12" x14ac:dyDescent="0.35">
      <c r="A710" s="24" t="s">
        <v>3242</v>
      </c>
      <c r="B710" s="24" t="str">
        <f>"002432"</f>
        <v>002432</v>
      </c>
      <c r="C710" s="24" t="str">
        <f t="shared" si="11"/>
        <v>'002432.SZ'</v>
      </c>
      <c r="D710" s="24" t="s">
        <v>4866</v>
      </c>
      <c r="E710" s="24" t="s">
        <v>3432</v>
      </c>
      <c r="F710" s="24">
        <v>1.2405999999999999</v>
      </c>
      <c r="G710" s="24">
        <v>24650241126.400002</v>
      </c>
      <c r="H710" s="24">
        <v>9.8926999999999996</v>
      </c>
      <c r="I710" s="24">
        <v>9.0680999999999994</v>
      </c>
      <c r="J710" s="24">
        <v>6.6783999999999999</v>
      </c>
      <c r="K710" s="24">
        <v>364</v>
      </c>
      <c r="L710" s="24" t="s">
        <v>4867</v>
      </c>
    </row>
    <row r="711" spans="1:12" x14ac:dyDescent="0.35">
      <c r="A711" s="24" t="s">
        <v>3242</v>
      </c>
      <c r="B711" s="24" t="str">
        <f>"000912"</f>
        <v>000912</v>
      </c>
      <c r="C711" s="24" t="str">
        <f t="shared" si="11"/>
        <v>'000912.SZ'</v>
      </c>
      <c r="D711" s="24" t="s">
        <v>4868</v>
      </c>
      <c r="E711" s="24" t="s">
        <v>3580</v>
      </c>
      <c r="F711" s="24">
        <v>1.2324999999999999</v>
      </c>
      <c r="G711" s="24">
        <v>7667520000</v>
      </c>
      <c r="H711" s="24">
        <v>1.6529</v>
      </c>
      <c r="I711" s="24">
        <v>1.3027</v>
      </c>
      <c r="J711" s="24">
        <v>0.86439999999999995</v>
      </c>
      <c r="K711" s="24">
        <v>114</v>
      </c>
      <c r="L711" s="24" t="s">
        <v>4869</v>
      </c>
    </row>
    <row r="712" spans="1:12" x14ac:dyDescent="0.35">
      <c r="A712" s="24" t="s">
        <v>3246</v>
      </c>
      <c r="B712" s="24" t="str">
        <f>"601228"</f>
        <v>601228</v>
      </c>
      <c r="C712" s="24" t="str">
        <f t="shared" si="11"/>
        <v>'601228.SS'</v>
      </c>
      <c r="D712" s="24" t="s">
        <v>4870</v>
      </c>
      <c r="E712" s="24" t="s">
        <v>4871</v>
      </c>
      <c r="F712" s="24">
        <v>1.2290000000000001</v>
      </c>
      <c r="G712" s="24">
        <v>23689828442.139999</v>
      </c>
      <c r="H712" s="24">
        <v>1.5835999999999999</v>
      </c>
      <c r="I712" s="24">
        <v>1.4725999999999999</v>
      </c>
      <c r="J712" s="24">
        <v>1.2481</v>
      </c>
      <c r="K712" s="24">
        <v>210</v>
      </c>
      <c r="L712" s="24" t="s">
        <v>4872</v>
      </c>
    </row>
    <row r="713" spans="1:12" x14ac:dyDescent="0.35">
      <c r="A713" s="24" t="s">
        <v>3246</v>
      </c>
      <c r="B713" s="24" t="str">
        <f>"600097"</f>
        <v>600097</v>
      </c>
      <c r="C713" s="24" t="str">
        <f t="shared" si="11"/>
        <v>'600097.SS'</v>
      </c>
      <c r="D713" s="24" t="s">
        <v>4873</v>
      </c>
      <c r="E713" s="24" t="s">
        <v>4874</v>
      </c>
      <c r="F713" s="24">
        <v>1.2282999999999999</v>
      </c>
      <c r="G713" s="24">
        <v>2472009095.3400002</v>
      </c>
      <c r="H713" s="24">
        <v>2.5516000000000001</v>
      </c>
      <c r="I713" s="24">
        <v>1.3802000000000001</v>
      </c>
      <c r="J713" s="24">
        <v>1.0944</v>
      </c>
      <c r="K713" s="24">
        <v>128</v>
      </c>
      <c r="L713" s="24" t="s">
        <v>4875</v>
      </c>
    </row>
    <row r="714" spans="1:12" x14ac:dyDescent="0.35">
      <c r="A714" s="24" t="s">
        <v>3242</v>
      </c>
      <c r="B714" s="24" t="str">
        <f>"300230"</f>
        <v>300230</v>
      </c>
      <c r="C714" s="24" t="str">
        <f t="shared" si="11"/>
        <v>'300230.SZ'</v>
      </c>
      <c r="D714" s="24" t="s">
        <v>4876</v>
      </c>
      <c r="E714" s="24" t="s">
        <v>3733</v>
      </c>
      <c r="F714" s="24">
        <v>1.2262999999999999</v>
      </c>
      <c r="G714" s="24">
        <v>3191365620.3099999</v>
      </c>
      <c r="H714" s="24">
        <v>2.9472999999999998</v>
      </c>
      <c r="I714" s="24">
        <v>2.4765000000000001</v>
      </c>
      <c r="J714" s="24">
        <v>1.5764</v>
      </c>
      <c r="K714" s="24">
        <v>174</v>
      </c>
      <c r="L714" s="24" t="s">
        <v>4877</v>
      </c>
    </row>
    <row r="715" spans="1:12" x14ac:dyDescent="0.35">
      <c r="A715" s="24" t="s">
        <v>3242</v>
      </c>
      <c r="B715" s="24" t="str">
        <f>"000036"</f>
        <v>000036</v>
      </c>
      <c r="C715" s="24" t="str">
        <f t="shared" si="11"/>
        <v>'000036.SZ'</v>
      </c>
      <c r="D715" s="24" t="s">
        <v>4878</v>
      </c>
      <c r="E715" s="24" t="s">
        <v>3988</v>
      </c>
      <c r="F715" s="24">
        <v>1.2222</v>
      </c>
      <c r="G715" s="24">
        <v>6039611481.75</v>
      </c>
      <c r="H715" s="24">
        <v>2.8927999999999998</v>
      </c>
      <c r="I715" s="24">
        <v>1.5374000000000001</v>
      </c>
      <c r="J715" s="24">
        <v>0.98350000000000004</v>
      </c>
      <c r="K715" s="24">
        <v>882</v>
      </c>
      <c r="L715" s="24" t="s">
        <v>4879</v>
      </c>
    </row>
    <row r="716" spans="1:12" x14ac:dyDescent="0.35">
      <c r="A716" s="24" t="s">
        <v>3242</v>
      </c>
      <c r="B716" s="24" t="str">
        <f>"002887"</f>
        <v>002887</v>
      </c>
      <c r="C716" s="24" t="str">
        <f t="shared" si="11"/>
        <v>'002887.SZ'</v>
      </c>
      <c r="D716" s="24" t="s">
        <v>4880</v>
      </c>
      <c r="E716" s="24" t="s">
        <v>4881</v>
      </c>
      <c r="F716" s="24">
        <v>1.2188000000000001</v>
      </c>
      <c r="G716" s="24">
        <v>2720640000</v>
      </c>
      <c r="H716" s="24">
        <v>4.2225000000000001</v>
      </c>
      <c r="I716" s="24">
        <v>3.7187000000000001</v>
      </c>
      <c r="J716" s="24">
        <v>2.3733</v>
      </c>
      <c r="K716" s="24">
        <v>168</v>
      </c>
      <c r="L716" s="24" t="s">
        <v>4882</v>
      </c>
    </row>
    <row r="717" spans="1:12" x14ac:dyDescent="0.35">
      <c r="A717" s="24" t="s">
        <v>3242</v>
      </c>
      <c r="B717" s="24" t="str">
        <f>"002638"</f>
        <v>002638</v>
      </c>
      <c r="C717" s="24" t="str">
        <f t="shared" si="11"/>
        <v>'002638.SZ'</v>
      </c>
      <c r="D717" s="24" t="s">
        <v>4883</v>
      </c>
      <c r="E717" s="24" t="s">
        <v>4222</v>
      </c>
      <c r="F717" s="24">
        <v>1.2084999999999999</v>
      </c>
      <c r="G717" s="24">
        <v>3373790976.6399999</v>
      </c>
      <c r="H717" s="24">
        <v>7.8178999999999998</v>
      </c>
      <c r="I717" s="24">
        <v>6.0772000000000004</v>
      </c>
      <c r="J717" s="24">
        <v>1.7269000000000001</v>
      </c>
      <c r="K717" s="24">
        <v>83</v>
      </c>
      <c r="L717" s="24" t="s">
        <v>4884</v>
      </c>
    </row>
    <row r="718" spans="1:12" x14ac:dyDescent="0.35">
      <c r="A718" s="24" t="s">
        <v>3242</v>
      </c>
      <c r="B718" s="24" t="str">
        <f>"000088"</f>
        <v>000088</v>
      </c>
      <c r="C718" s="24" t="str">
        <f t="shared" si="11"/>
        <v>'000088.SZ'</v>
      </c>
      <c r="D718" s="24" t="s">
        <v>4885</v>
      </c>
      <c r="E718" s="24" t="s">
        <v>4871</v>
      </c>
      <c r="F718" s="24">
        <v>1.2071000000000001</v>
      </c>
      <c r="G718" s="24">
        <v>11290791969.940001</v>
      </c>
      <c r="H718" s="24">
        <v>3.3879999999999999</v>
      </c>
      <c r="I718" s="24">
        <v>3.359</v>
      </c>
      <c r="J718" s="24">
        <v>2.8092999999999999</v>
      </c>
      <c r="K718" s="24">
        <v>177</v>
      </c>
      <c r="L718" s="24" t="s">
        <v>4886</v>
      </c>
    </row>
    <row r="719" spans="1:12" x14ac:dyDescent="0.35">
      <c r="A719" s="24" t="s">
        <v>3242</v>
      </c>
      <c r="B719" s="24" t="str">
        <f>"000419"</f>
        <v>000419</v>
      </c>
      <c r="C719" s="24" t="str">
        <f t="shared" si="11"/>
        <v>'000419.SZ'</v>
      </c>
      <c r="D719" s="24" t="s">
        <v>4887</v>
      </c>
      <c r="E719" s="24" t="s">
        <v>4147</v>
      </c>
      <c r="F719" s="24">
        <v>1.206</v>
      </c>
      <c r="G719" s="24">
        <v>3598517176.0999999</v>
      </c>
      <c r="H719" s="24">
        <v>2.1564000000000001</v>
      </c>
      <c r="I719" s="24">
        <v>1.96</v>
      </c>
      <c r="J719" s="24">
        <v>1.0761000000000001</v>
      </c>
      <c r="K719" s="24">
        <v>118</v>
      </c>
      <c r="L719" s="24" t="s">
        <v>4888</v>
      </c>
    </row>
    <row r="720" spans="1:12" x14ac:dyDescent="0.35">
      <c r="A720" s="24" t="s">
        <v>3242</v>
      </c>
      <c r="B720" s="24" t="str">
        <f>"002282"</f>
        <v>002282</v>
      </c>
      <c r="C720" s="24" t="str">
        <f t="shared" si="11"/>
        <v>'002282.SZ'</v>
      </c>
      <c r="D720" s="24" t="s">
        <v>4889</v>
      </c>
      <c r="E720" s="24" t="s">
        <v>3690</v>
      </c>
      <c r="F720" s="24">
        <v>1.2034</v>
      </c>
      <c r="G720" s="24">
        <v>4085022173.6399999</v>
      </c>
      <c r="H720" s="24">
        <v>5.3451000000000004</v>
      </c>
      <c r="I720" s="24">
        <v>3.7073</v>
      </c>
      <c r="J720" s="24">
        <v>1.4176</v>
      </c>
      <c r="K720" s="24">
        <v>103</v>
      </c>
      <c r="L720" s="24" t="s">
        <v>4890</v>
      </c>
    </row>
    <row r="721" spans="1:12" x14ac:dyDescent="0.35">
      <c r="A721" s="24" t="s">
        <v>3246</v>
      </c>
      <c r="B721" s="24" t="str">
        <f>"600633"</f>
        <v>600633</v>
      </c>
      <c r="C721" s="24" t="str">
        <f t="shared" si="11"/>
        <v>'600633.SS'</v>
      </c>
      <c r="D721" s="24" t="s">
        <v>4891</v>
      </c>
      <c r="E721" s="24" t="s">
        <v>3481</v>
      </c>
      <c r="F721" s="24">
        <v>1.1874</v>
      </c>
      <c r="G721" s="24">
        <v>10859967887.34</v>
      </c>
      <c r="H721" s="24">
        <v>1.8529</v>
      </c>
      <c r="I721" s="24">
        <v>1.7156</v>
      </c>
      <c r="J721" s="24">
        <v>0.90939999999999999</v>
      </c>
      <c r="K721" s="24">
        <v>335</v>
      </c>
      <c r="L721" s="24" t="s">
        <v>4892</v>
      </c>
    </row>
    <row r="722" spans="1:12" x14ac:dyDescent="0.35">
      <c r="A722" s="24" t="s">
        <v>3242</v>
      </c>
      <c r="B722" s="24" t="str">
        <f>"300983"</f>
        <v>300983</v>
      </c>
      <c r="C722" s="24" t="str">
        <f t="shared" si="11"/>
        <v>'300983.SZ'</v>
      </c>
      <c r="D722" s="24" t="s">
        <v>4893</v>
      </c>
      <c r="E722" s="24" t="s">
        <v>3846</v>
      </c>
      <c r="F722" s="24">
        <v>1.1874</v>
      </c>
      <c r="G722" s="24">
        <v>3628800000</v>
      </c>
      <c r="H722" s="24">
        <v>15.878399999999999</v>
      </c>
      <c r="I722" s="24">
        <v>15.8765</v>
      </c>
      <c r="J722" s="24">
        <v>11.9712</v>
      </c>
      <c r="K722" s="24">
        <v>38</v>
      </c>
      <c r="L722" s="24" t="s">
        <v>4894</v>
      </c>
    </row>
    <row r="723" spans="1:12" x14ac:dyDescent="0.35">
      <c r="A723" s="24" t="s">
        <v>3242</v>
      </c>
      <c r="B723" s="24" t="str">
        <f>"002322"</f>
        <v>002322</v>
      </c>
      <c r="C723" s="24" t="str">
        <f t="shared" si="11"/>
        <v>'002322.SZ'</v>
      </c>
      <c r="D723" s="24" t="s">
        <v>4895</v>
      </c>
      <c r="E723" s="24" t="s">
        <v>3368</v>
      </c>
      <c r="F723" s="24">
        <v>1.1845000000000001</v>
      </c>
      <c r="G723" s="24">
        <v>3548824999.1999998</v>
      </c>
      <c r="H723" s="24">
        <v>3.6368</v>
      </c>
      <c r="I723" s="24">
        <v>2.7633999999999999</v>
      </c>
      <c r="J723" s="24">
        <v>1.2287999999999999</v>
      </c>
      <c r="K723" s="24">
        <v>179</v>
      </c>
      <c r="L723" s="24" t="s">
        <v>4896</v>
      </c>
    </row>
    <row r="724" spans="1:12" x14ac:dyDescent="0.35">
      <c r="A724" s="24" t="s">
        <v>3242</v>
      </c>
      <c r="B724" s="24" t="str">
        <f>"300599"</f>
        <v>300599</v>
      </c>
      <c r="C724" s="24" t="str">
        <f t="shared" si="11"/>
        <v>'300599.SZ'</v>
      </c>
      <c r="D724" s="24" t="s">
        <v>4897</v>
      </c>
      <c r="E724" s="24" t="s">
        <v>4898</v>
      </c>
      <c r="F724" s="24">
        <v>1.1780999999999999</v>
      </c>
      <c r="G724" s="24">
        <v>2664498858.48</v>
      </c>
      <c r="H724" s="24">
        <v>3.6480999999999999</v>
      </c>
      <c r="I724" s="24">
        <v>2.6617000000000002</v>
      </c>
      <c r="J724" s="24">
        <v>1.8647</v>
      </c>
      <c r="K724" s="24">
        <v>98</v>
      </c>
      <c r="L724" s="24" t="s">
        <v>4899</v>
      </c>
    </row>
    <row r="725" spans="1:12" x14ac:dyDescent="0.35">
      <c r="A725" s="24" t="s">
        <v>3242</v>
      </c>
      <c r="B725" s="24" t="str">
        <f>"000099"</f>
        <v>000099</v>
      </c>
      <c r="C725" s="24" t="str">
        <f t="shared" si="11"/>
        <v>'000099.SZ'</v>
      </c>
      <c r="D725" s="24" t="s">
        <v>4900</v>
      </c>
      <c r="E725" s="24" t="s">
        <v>4901</v>
      </c>
      <c r="F725" s="24">
        <v>1.1732</v>
      </c>
      <c r="G725" s="24">
        <v>5670879701.4700003</v>
      </c>
      <c r="H725" s="24">
        <v>5.0324</v>
      </c>
      <c r="I725" s="24">
        <v>4.3380000000000001</v>
      </c>
      <c r="J725" s="24">
        <v>2.7193000000000001</v>
      </c>
      <c r="K725" s="24">
        <v>178</v>
      </c>
      <c r="L725" s="24" t="s">
        <v>4902</v>
      </c>
    </row>
    <row r="726" spans="1:12" x14ac:dyDescent="0.35">
      <c r="A726" s="24" t="s">
        <v>3246</v>
      </c>
      <c r="B726" s="24" t="str">
        <f>"600503"</f>
        <v>600503</v>
      </c>
      <c r="C726" s="24" t="str">
        <f t="shared" si="11"/>
        <v>'600503.SS'</v>
      </c>
      <c r="D726" s="24" t="s">
        <v>4903</v>
      </c>
      <c r="E726" s="24" t="s">
        <v>3988</v>
      </c>
      <c r="F726" s="24">
        <v>1.1583000000000001</v>
      </c>
      <c r="G726" s="24">
        <v>4374251700</v>
      </c>
      <c r="H726" s="24">
        <v>2.9870999999999999</v>
      </c>
      <c r="I726" s="24">
        <v>1.4084000000000001</v>
      </c>
      <c r="J726" s="24">
        <v>1.2040999999999999</v>
      </c>
      <c r="K726" s="24">
        <v>207</v>
      </c>
      <c r="L726" s="24" t="s">
        <v>4904</v>
      </c>
    </row>
    <row r="727" spans="1:12" x14ac:dyDescent="0.35">
      <c r="A727" s="24" t="s">
        <v>3246</v>
      </c>
      <c r="B727" s="24" t="str">
        <f>"600874"</f>
        <v>600874</v>
      </c>
      <c r="C727" s="24" t="str">
        <f t="shared" si="11"/>
        <v>'600874.SS'</v>
      </c>
      <c r="D727" s="24" t="s">
        <v>4905</v>
      </c>
      <c r="E727" s="24" t="s">
        <v>4197</v>
      </c>
      <c r="F727" s="24">
        <v>1.1497999999999999</v>
      </c>
      <c r="G727" s="24">
        <v>9610958680.2000008</v>
      </c>
      <c r="H727" s="24">
        <v>2.3319999999999999</v>
      </c>
      <c r="I727" s="24">
        <v>2.2953999999999999</v>
      </c>
      <c r="J727" s="24">
        <v>1.1516999999999999</v>
      </c>
      <c r="K727" s="24">
        <v>211</v>
      </c>
      <c r="L727" s="24" t="s">
        <v>4906</v>
      </c>
    </row>
    <row r="728" spans="1:12" x14ac:dyDescent="0.35">
      <c r="A728" s="24" t="s">
        <v>3242</v>
      </c>
      <c r="B728" s="24" t="str">
        <f>"300291"</f>
        <v>300291</v>
      </c>
      <c r="C728" s="24" t="str">
        <f t="shared" si="11"/>
        <v>'300291.SZ'</v>
      </c>
      <c r="D728" s="24" t="s">
        <v>4907</v>
      </c>
      <c r="E728" s="24" t="s">
        <v>3305</v>
      </c>
      <c r="F728" s="24">
        <v>1.1446000000000001</v>
      </c>
      <c r="G728" s="24">
        <v>4244955413.1599998</v>
      </c>
      <c r="H728" s="24">
        <v>12.973000000000001</v>
      </c>
      <c r="I728" s="24">
        <v>9.1570999999999998</v>
      </c>
      <c r="J728" s="24">
        <v>2.0581999999999998</v>
      </c>
      <c r="K728" s="24">
        <v>98</v>
      </c>
      <c r="L728" s="24" t="s">
        <v>4908</v>
      </c>
    </row>
    <row r="729" spans="1:12" x14ac:dyDescent="0.35">
      <c r="A729" s="24" t="s">
        <v>3242</v>
      </c>
      <c r="B729" s="24" t="str">
        <f>"002106"</f>
        <v>002106</v>
      </c>
      <c r="C729" s="24" t="str">
        <f t="shared" si="11"/>
        <v>'002106.SZ'</v>
      </c>
      <c r="D729" s="24" t="s">
        <v>4909</v>
      </c>
      <c r="E729" s="24" t="s">
        <v>3568</v>
      </c>
      <c r="F729" s="24">
        <v>1.1318999999999999</v>
      </c>
      <c r="G729" s="24">
        <v>5625354795.1999998</v>
      </c>
      <c r="H729" s="24">
        <v>4.6970000000000001</v>
      </c>
      <c r="I729" s="24">
        <v>3.8881000000000001</v>
      </c>
      <c r="J729" s="24">
        <v>2.4868999999999999</v>
      </c>
      <c r="K729" s="24">
        <v>317</v>
      </c>
      <c r="L729" s="24" t="s">
        <v>4910</v>
      </c>
    </row>
    <row r="730" spans="1:12" x14ac:dyDescent="0.35">
      <c r="A730" s="24" t="s">
        <v>3246</v>
      </c>
      <c r="B730" s="24" t="str">
        <f>"600018"</f>
        <v>600018</v>
      </c>
      <c r="C730" s="24" t="str">
        <f t="shared" si="11"/>
        <v>'600018.SS'</v>
      </c>
      <c r="D730" s="24" t="s">
        <v>4911</v>
      </c>
      <c r="E730" s="24" t="s">
        <v>4871</v>
      </c>
      <c r="F730" s="24">
        <v>1.1223000000000001</v>
      </c>
      <c r="G730" s="24">
        <v>124104491517.5</v>
      </c>
      <c r="H730" s="24">
        <v>2.4083999999999999</v>
      </c>
      <c r="I730" s="24">
        <v>1.7512000000000001</v>
      </c>
      <c r="J730" s="24">
        <v>1.2121</v>
      </c>
      <c r="K730" s="24">
        <v>929</v>
      </c>
      <c r="L730" s="24" t="s">
        <v>4912</v>
      </c>
    </row>
    <row r="731" spans="1:12" x14ac:dyDescent="0.35">
      <c r="A731" s="24" t="s">
        <v>3242</v>
      </c>
      <c r="B731" s="24" t="str">
        <f>"002109"</f>
        <v>002109</v>
      </c>
      <c r="C731" s="24" t="str">
        <f t="shared" si="11"/>
        <v>'002109.SZ'</v>
      </c>
      <c r="D731" s="24" t="s">
        <v>4913</v>
      </c>
      <c r="E731" s="24" t="s">
        <v>3994</v>
      </c>
      <c r="F731" s="24">
        <v>1.1148</v>
      </c>
      <c r="G731" s="24">
        <v>5338430080.2299995</v>
      </c>
      <c r="H731" s="24">
        <v>8.1365999999999996</v>
      </c>
      <c r="I731" s="24">
        <v>7.4241000000000001</v>
      </c>
      <c r="J731" s="24">
        <v>5.6966999999999999</v>
      </c>
      <c r="K731" s="24">
        <v>155</v>
      </c>
      <c r="L731" s="24" t="s">
        <v>4914</v>
      </c>
    </row>
    <row r="732" spans="1:12" x14ac:dyDescent="0.35">
      <c r="A732" s="24" t="s">
        <v>3246</v>
      </c>
      <c r="B732" s="24" t="str">
        <f>"601996"</f>
        <v>601996</v>
      </c>
      <c r="C732" s="24" t="str">
        <f t="shared" si="11"/>
        <v>'601996.SS'</v>
      </c>
      <c r="D732" s="24" t="s">
        <v>4915</v>
      </c>
      <c r="E732" s="24" t="s">
        <v>3636</v>
      </c>
      <c r="F732" s="24">
        <v>1.1104000000000001</v>
      </c>
      <c r="G732" s="24">
        <v>3116094016</v>
      </c>
      <c r="H732" s="24">
        <v>2.7343000000000002</v>
      </c>
      <c r="I732" s="24">
        <v>1.6944999999999999</v>
      </c>
      <c r="J732" s="24">
        <v>1.0685</v>
      </c>
      <c r="K732" s="24">
        <v>149</v>
      </c>
      <c r="L732" s="24" t="s">
        <v>4916</v>
      </c>
    </row>
    <row r="733" spans="1:12" x14ac:dyDescent="0.35">
      <c r="A733" s="24" t="s">
        <v>3246</v>
      </c>
      <c r="B733" s="24" t="str">
        <f>"600420"</f>
        <v>600420</v>
      </c>
      <c r="C733" s="24" t="str">
        <f t="shared" si="11"/>
        <v>'600420.SS'</v>
      </c>
      <c r="D733" s="24" t="s">
        <v>4917</v>
      </c>
      <c r="E733" s="24" t="s">
        <v>3696</v>
      </c>
      <c r="F733" s="24">
        <v>1.1055999999999999</v>
      </c>
      <c r="G733" s="24">
        <v>9571483908.6399994</v>
      </c>
      <c r="H733" s="24">
        <v>2.3125</v>
      </c>
      <c r="I733" s="24">
        <v>1.6579999999999999</v>
      </c>
      <c r="J733" s="24">
        <v>0.95679999999999998</v>
      </c>
      <c r="K733" s="24">
        <v>393</v>
      </c>
      <c r="L733" s="24" t="s">
        <v>4918</v>
      </c>
    </row>
    <row r="734" spans="1:12" x14ac:dyDescent="0.35">
      <c r="A734" s="24" t="s">
        <v>3242</v>
      </c>
      <c r="B734" s="24" t="str">
        <f>"000725"</f>
        <v>000725</v>
      </c>
      <c r="C734" s="24" t="str">
        <f t="shared" si="11"/>
        <v>'000725.SZ'</v>
      </c>
      <c r="D734" s="24" t="s">
        <v>4919</v>
      </c>
      <c r="E734" s="24" t="s">
        <v>3568</v>
      </c>
      <c r="F734" s="24">
        <v>1.1044</v>
      </c>
      <c r="G734" s="24">
        <v>138270835584.01999</v>
      </c>
      <c r="H734" s="24">
        <v>1.6075999999999999</v>
      </c>
      <c r="I734" s="24">
        <v>1.2978000000000001</v>
      </c>
      <c r="J734" s="24">
        <v>0.8115</v>
      </c>
      <c r="K734" s="24">
        <v>4642</v>
      </c>
      <c r="L734" s="24" t="s">
        <v>4920</v>
      </c>
    </row>
    <row r="735" spans="1:12" x14ac:dyDescent="0.35">
      <c r="A735" s="24" t="s">
        <v>3246</v>
      </c>
      <c r="B735" s="24" t="str">
        <f>"600854"</f>
        <v>600854</v>
      </c>
      <c r="C735" s="24" t="str">
        <f t="shared" si="11"/>
        <v>'600854.SS'</v>
      </c>
      <c r="D735" s="24" t="s">
        <v>4921</v>
      </c>
      <c r="E735" s="24" t="s">
        <v>4922</v>
      </c>
      <c r="F735" s="24">
        <v>1.0958000000000001</v>
      </c>
      <c r="G735" s="24">
        <v>2405093030.9400001</v>
      </c>
      <c r="H735" s="24">
        <v>4.2209000000000003</v>
      </c>
      <c r="I735" s="24">
        <v>3.4860000000000002</v>
      </c>
      <c r="J735" s="24">
        <v>3.2442000000000002</v>
      </c>
      <c r="K735" s="24">
        <v>153</v>
      </c>
      <c r="L735" s="24" t="s">
        <v>4923</v>
      </c>
    </row>
    <row r="736" spans="1:12" x14ac:dyDescent="0.35">
      <c r="A736" s="24" t="s">
        <v>3246</v>
      </c>
      <c r="B736" s="24" t="str">
        <f>"603869"</f>
        <v>603869</v>
      </c>
      <c r="C736" s="24" t="str">
        <f t="shared" si="11"/>
        <v>'603869.SS'</v>
      </c>
      <c r="D736" s="24" t="s">
        <v>4924</v>
      </c>
      <c r="E736" s="24" t="s">
        <v>3722</v>
      </c>
      <c r="F736" s="24">
        <v>1.0860000000000001</v>
      </c>
      <c r="G736" s="24">
        <v>4338704368.8000002</v>
      </c>
      <c r="H736" s="24">
        <v>4.0039999999999996</v>
      </c>
      <c r="I736" s="24">
        <v>3.21</v>
      </c>
      <c r="J736" s="24">
        <v>1.5566</v>
      </c>
      <c r="K736" s="24">
        <v>147</v>
      </c>
      <c r="L736" s="24" t="s">
        <v>4925</v>
      </c>
    </row>
    <row r="737" spans="1:12" x14ac:dyDescent="0.35">
      <c r="A737" s="24" t="s">
        <v>3246</v>
      </c>
      <c r="B737" s="24" t="str">
        <f>"600628"</f>
        <v>600628</v>
      </c>
      <c r="C737" s="24" t="str">
        <f t="shared" si="11"/>
        <v>'600628.SS'</v>
      </c>
      <c r="D737" s="24" t="s">
        <v>4926</v>
      </c>
      <c r="E737" s="24" t="s">
        <v>3773</v>
      </c>
      <c r="F737" s="24">
        <v>1.0752999999999999</v>
      </c>
      <c r="G737" s="24">
        <v>4605752734.0799999</v>
      </c>
      <c r="H737" s="24">
        <v>1.5659000000000001</v>
      </c>
      <c r="I737" s="24">
        <v>1.4473</v>
      </c>
      <c r="J737" s="24">
        <v>0.93149999999999999</v>
      </c>
      <c r="K737" s="24">
        <v>117</v>
      </c>
      <c r="L737" s="24" t="s">
        <v>4927</v>
      </c>
    </row>
    <row r="738" spans="1:12" x14ac:dyDescent="0.35">
      <c r="A738" s="24" t="s">
        <v>3246</v>
      </c>
      <c r="B738" s="24" t="str">
        <f>"600125"</f>
        <v>600125</v>
      </c>
      <c r="C738" s="24" t="str">
        <f t="shared" si="11"/>
        <v>'600125.SS'</v>
      </c>
      <c r="D738" s="24" t="s">
        <v>4928</v>
      </c>
      <c r="E738" s="24" t="s">
        <v>4824</v>
      </c>
      <c r="F738" s="24">
        <v>1.0686</v>
      </c>
      <c r="G738" s="24">
        <v>7180370307</v>
      </c>
      <c r="H738" s="24">
        <v>3.6341999999999999</v>
      </c>
      <c r="I738" s="24">
        <v>2.2565</v>
      </c>
      <c r="J738" s="24">
        <v>1.6434</v>
      </c>
      <c r="K738" s="24">
        <v>222</v>
      </c>
      <c r="L738" s="24" t="s">
        <v>4929</v>
      </c>
    </row>
    <row r="739" spans="1:12" x14ac:dyDescent="0.35">
      <c r="A739" s="24" t="s">
        <v>3242</v>
      </c>
      <c r="B739" s="24" t="str">
        <f>"000635"</f>
        <v>000635</v>
      </c>
      <c r="C739" s="24" t="str">
        <f t="shared" si="11"/>
        <v>'000635.SZ'</v>
      </c>
      <c r="D739" s="24" t="s">
        <v>4930</v>
      </c>
      <c r="E739" s="24" t="s">
        <v>4530</v>
      </c>
      <c r="F739" s="24">
        <v>1.0677000000000001</v>
      </c>
      <c r="G739" s="24">
        <v>2686664627.6399999</v>
      </c>
      <c r="H739" s="24">
        <v>2.7772000000000001</v>
      </c>
      <c r="I739" s="24">
        <v>2.1698</v>
      </c>
      <c r="J739" s="24">
        <v>1.2091000000000001</v>
      </c>
      <c r="K739" s="24">
        <v>137</v>
      </c>
      <c r="L739" s="24" t="s">
        <v>4931</v>
      </c>
    </row>
    <row r="740" spans="1:12" x14ac:dyDescent="0.35">
      <c r="A740" s="24" t="s">
        <v>3246</v>
      </c>
      <c r="B740" s="24" t="str">
        <f>"600568"</f>
        <v>600568</v>
      </c>
      <c r="C740" s="24" t="str">
        <f t="shared" si="11"/>
        <v>'600568.SS'</v>
      </c>
      <c r="D740" s="24" t="s">
        <v>4932</v>
      </c>
      <c r="E740" s="24" t="s">
        <v>3796</v>
      </c>
      <c r="F740" s="24">
        <v>1.0661</v>
      </c>
      <c r="G740" s="24">
        <v>3786452393.9000001</v>
      </c>
      <c r="H740" s="24">
        <v>5.117</v>
      </c>
      <c r="I740" s="24">
        <v>3.2991000000000001</v>
      </c>
      <c r="J740" s="24">
        <v>1.514</v>
      </c>
      <c r="K740" s="24">
        <v>97</v>
      </c>
      <c r="L740" s="24" t="s">
        <v>4933</v>
      </c>
    </row>
    <row r="741" spans="1:12" x14ac:dyDescent="0.35">
      <c r="A741" s="24" t="s">
        <v>3242</v>
      </c>
      <c r="B741" s="24" t="str">
        <f>"000828"</f>
        <v>000828</v>
      </c>
      <c r="C741" s="24" t="str">
        <f t="shared" si="11"/>
        <v>'000828.SZ'</v>
      </c>
      <c r="D741" s="24" t="s">
        <v>4934</v>
      </c>
      <c r="E741" s="24" t="s">
        <v>4415</v>
      </c>
      <c r="F741" s="24">
        <v>1.0565</v>
      </c>
      <c r="G741" s="24">
        <v>9376443267.8400002</v>
      </c>
      <c r="H741" s="24">
        <v>1.6967000000000001</v>
      </c>
      <c r="I741" s="24">
        <v>1.6964999999999999</v>
      </c>
      <c r="J741" s="24">
        <v>1.5491999999999999</v>
      </c>
      <c r="K741" s="24">
        <v>967</v>
      </c>
      <c r="L741" s="24" t="s">
        <v>4935</v>
      </c>
    </row>
    <row r="742" spans="1:12" x14ac:dyDescent="0.35">
      <c r="A742" s="24" t="s">
        <v>3242</v>
      </c>
      <c r="B742" s="24" t="str">
        <f>"001213"</f>
        <v>001213</v>
      </c>
      <c r="C742" s="24" t="str">
        <f t="shared" si="11"/>
        <v>'001213.SZ'</v>
      </c>
      <c r="D742" s="24" t="s">
        <v>4936</v>
      </c>
      <c r="E742" s="24" t="s">
        <v>4824</v>
      </c>
      <c r="F742" s="24">
        <v>1.0504</v>
      </c>
      <c r="G742" s="24">
        <v>19333333331.400002</v>
      </c>
      <c r="H742" s="24">
        <v>6.8765999999999998</v>
      </c>
      <c r="I742" s="24">
        <v>6.5056000000000003</v>
      </c>
      <c r="J742" s="24">
        <v>4.1749000000000001</v>
      </c>
      <c r="K742" s="24">
        <v>42</v>
      </c>
      <c r="L742" s="24" t="s">
        <v>4937</v>
      </c>
    </row>
    <row r="743" spans="1:12" x14ac:dyDescent="0.35">
      <c r="A743" s="24" t="s">
        <v>3242</v>
      </c>
      <c r="B743" s="24" t="str">
        <f>"002091"</f>
        <v>002091</v>
      </c>
      <c r="C743" s="24" t="str">
        <f t="shared" si="11"/>
        <v>'002091.SZ'</v>
      </c>
      <c r="D743" s="24" t="s">
        <v>4938</v>
      </c>
      <c r="E743" s="24" t="s">
        <v>4939</v>
      </c>
      <c r="F743" s="24">
        <v>1.0479000000000001</v>
      </c>
      <c r="G743" s="24">
        <v>13915958727.6</v>
      </c>
      <c r="H743" s="24">
        <v>2.149</v>
      </c>
      <c r="I743" s="24">
        <v>1.8741000000000001</v>
      </c>
      <c r="J743" s="24">
        <v>1.0331999999999999</v>
      </c>
      <c r="K743" s="24">
        <v>552</v>
      </c>
      <c r="L743" s="24" t="s">
        <v>4940</v>
      </c>
    </row>
    <row r="744" spans="1:12" x14ac:dyDescent="0.35">
      <c r="A744" s="24" t="s">
        <v>3242</v>
      </c>
      <c r="B744" s="24" t="str">
        <f>"002772"</f>
        <v>002772</v>
      </c>
      <c r="C744" s="24" t="str">
        <f t="shared" si="11"/>
        <v>'002772.SZ'</v>
      </c>
      <c r="D744" s="24" t="s">
        <v>4941</v>
      </c>
      <c r="E744" s="24" t="s">
        <v>4779</v>
      </c>
      <c r="F744" s="24">
        <v>1.0472999999999999</v>
      </c>
      <c r="G744" s="24">
        <v>3406343270.4400001</v>
      </c>
      <c r="H744" s="24">
        <v>3.3605</v>
      </c>
      <c r="I744" s="24">
        <v>2.0973999999999999</v>
      </c>
      <c r="J744" s="24">
        <v>1.3565</v>
      </c>
      <c r="K744" s="24">
        <v>216</v>
      </c>
      <c r="L744" s="24" t="s">
        <v>4942</v>
      </c>
    </row>
    <row r="745" spans="1:12" x14ac:dyDescent="0.35">
      <c r="A745" s="24" t="s">
        <v>3246</v>
      </c>
      <c r="B745" s="24" t="str">
        <f>"600012"</f>
        <v>600012</v>
      </c>
      <c r="C745" s="24" t="str">
        <f t="shared" si="11"/>
        <v>'600012.SS'</v>
      </c>
      <c r="D745" s="24" t="s">
        <v>4943</v>
      </c>
      <c r="E745" s="24" t="s">
        <v>4415</v>
      </c>
      <c r="F745" s="24">
        <v>1.0448999999999999</v>
      </c>
      <c r="G745" s="24">
        <v>12174197400</v>
      </c>
      <c r="H745" s="24">
        <v>3.1877</v>
      </c>
      <c r="I745" s="24">
        <v>3.1776</v>
      </c>
      <c r="J745" s="24">
        <v>2.6038000000000001</v>
      </c>
      <c r="K745" s="24">
        <v>838</v>
      </c>
      <c r="L745" s="24" t="s">
        <v>4944</v>
      </c>
    </row>
    <row r="746" spans="1:12" x14ac:dyDescent="0.35">
      <c r="A746" s="24" t="s">
        <v>3246</v>
      </c>
      <c r="B746" s="24" t="str">
        <f>"601811"</f>
        <v>601811</v>
      </c>
      <c r="C746" s="24" t="str">
        <f t="shared" si="11"/>
        <v>'601811.SS'</v>
      </c>
      <c r="D746" s="24" t="s">
        <v>2057</v>
      </c>
      <c r="E746" s="24" t="s">
        <v>3505</v>
      </c>
      <c r="F746" s="24">
        <v>1.0336000000000001</v>
      </c>
      <c r="G746" s="24">
        <v>12264379540</v>
      </c>
      <c r="H746" s="24">
        <v>1.5592999999999999</v>
      </c>
      <c r="I746" s="24">
        <v>1.1758</v>
      </c>
      <c r="J746" s="24">
        <v>0.81499999999999995</v>
      </c>
      <c r="K746" s="24">
        <v>286</v>
      </c>
      <c r="L746" s="24" t="s">
        <v>4945</v>
      </c>
    </row>
    <row r="747" spans="1:12" x14ac:dyDescent="0.35">
      <c r="A747" s="24" t="s">
        <v>3246</v>
      </c>
      <c r="B747" s="24" t="str">
        <f>"601019"</f>
        <v>601019</v>
      </c>
      <c r="C747" s="24" t="str">
        <f t="shared" si="11"/>
        <v>'601019.SS'</v>
      </c>
      <c r="D747" s="24" t="s">
        <v>4946</v>
      </c>
      <c r="E747" s="24" t="s">
        <v>3505</v>
      </c>
      <c r="F747" s="24">
        <v>1.0258</v>
      </c>
      <c r="G747" s="24">
        <v>13105732000</v>
      </c>
      <c r="H747" s="24">
        <v>2.3117999999999999</v>
      </c>
      <c r="I747" s="24">
        <v>1.8752</v>
      </c>
      <c r="J747" s="24">
        <v>1.0158</v>
      </c>
      <c r="K747" s="24">
        <v>419</v>
      </c>
      <c r="L747" s="24" t="s">
        <v>4947</v>
      </c>
    </row>
    <row r="748" spans="1:12" x14ac:dyDescent="0.35">
      <c r="A748" s="24" t="s">
        <v>3242</v>
      </c>
      <c r="B748" s="24" t="str">
        <f>"000789"</f>
        <v>000789</v>
      </c>
      <c r="C748" s="24" t="str">
        <f t="shared" si="11"/>
        <v>'000789.SZ'</v>
      </c>
      <c r="D748" s="24" t="s">
        <v>4948</v>
      </c>
      <c r="E748" s="24" t="s">
        <v>3549</v>
      </c>
      <c r="F748" s="24">
        <v>0.99429999999999996</v>
      </c>
      <c r="G748" s="24">
        <v>6937402428.6000004</v>
      </c>
      <c r="H748" s="24">
        <v>1.6635</v>
      </c>
      <c r="I748" s="24">
        <v>1.3176000000000001</v>
      </c>
      <c r="J748" s="24">
        <v>0.84050000000000002</v>
      </c>
      <c r="K748" s="24">
        <v>1156</v>
      </c>
      <c r="L748" s="24" t="s">
        <v>4949</v>
      </c>
    </row>
    <row r="749" spans="1:12" x14ac:dyDescent="0.35">
      <c r="A749" s="24" t="s">
        <v>3242</v>
      </c>
      <c r="B749" s="24" t="str">
        <f>"000719"</f>
        <v>000719</v>
      </c>
      <c r="C749" s="24" t="str">
        <f t="shared" si="11"/>
        <v>'000719.SZ'</v>
      </c>
      <c r="D749" s="24" t="s">
        <v>4950</v>
      </c>
      <c r="E749" s="24" t="s">
        <v>4352</v>
      </c>
      <c r="F749" s="24">
        <v>0.99350000000000005</v>
      </c>
      <c r="G749" s="24">
        <v>9740899690.4799995</v>
      </c>
      <c r="H749" s="24">
        <v>1.6565000000000001</v>
      </c>
      <c r="I749" s="24">
        <v>1.2786999999999999</v>
      </c>
      <c r="J749" s="24">
        <v>0.81730000000000003</v>
      </c>
      <c r="K749" s="24">
        <v>723</v>
      </c>
      <c r="L749" s="24" t="s">
        <v>4951</v>
      </c>
    </row>
    <row r="750" spans="1:12" x14ac:dyDescent="0.35">
      <c r="A750" s="24" t="s">
        <v>3242</v>
      </c>
      <c r="B750" s="24" t="str">
        <f>"000923"</f>
        <v>000923</v>
      </c>
      <c r="C750" s="24" t="str">
        <f t="shared" si="11"/>
        <v>'000923.SZ'</v>
      </c>
      <c r="D750" s="24" t="s">
        <v>4952</v>
      </c>
      <c r="E750" s="24" t="s">
        <v>3891</v>
      </c>
      <c r="F750" s="24">
        <v>0.99050000000000005</v>
      </c>
      <c r="G750" s="24">
        <v>8315766963.1400003</v>
      </c>
      <c r="H750" s="24">
        <v>6.1639999999999997</v>
      </c>
      <c r="I750" s="24">
        <v>5.5716000000000001</v>
      </c>
      <c r="J750" s="24">
        <v>5.1912000000000003</v>
      </c>
      <c r="K750" s="24">
        <v>238</v>
      </c>
      <c r="L750" s="24" t="s">
        <v>4953</v>
      </c>
    </row>
    <row r="751" spans="1:12" x14ac:dyDescent="0.35">
      <c r="A751" s="24" t="s">
        <v>3246</v>
      </c>
      <c r="B751" s="24" t="str">
        <f>"603727"</f>
        <v>603727</v>
      </c>
      <c r="C751" s="24" t="str">
        <f t="shared" si="11"/>
        <v>'603727.SS'</v>
      </c>
      <c r="D751" s="24" t="s">
        <v>4954</v>
      </c>
      <c r="E751" s="24" t="s">
        <v>4955</v>
      </c>
      <c r="F751" s="24">
        <v>0.98399999999999999</v>
      </c>
      <c r="G751" s="24">
        <v>3276395191.5100002</v>
      </c>
      <c r="H751" s="24">
        <v>2.194</v>
      </c>
      <c r="I751" s="24">
        <v>1.5940000000000001</v>
      </c>
      <c r="J751" s="24">
        <v>1.2565</v>
      </c>
      <c r="K751" s="24">
        <v>127</v>
      </c>
      <c r="L751" s="24" t="s">
        <v>4956</v>
      </c>
    </row>
    <row r="752" spans="1:12" x14ac:dyDescent="0.35">
      <c r="A752" s="24" t="s">
        <v>3246</v>
      </c>
      <c r="B752" s="24" t="str">
        <f>"603900"</f>
        <v>603900</v>
      </c>
      <c r="C752" s="24" t="str">
        <f t="shared" si="11"/>
        <v>'603900.SS'</v>
      </c>
      <c r="D752" s="24" t="s">
        <v>4957</v>
      </c>
      <c r="E752" s="24" t="s">
        <v>3859</v>
      </c>
      <c r="F752" s="24">
        <v>0.98329999999999995</v>
      </c>
      <c r="G752" s="24">
        <v>2206270483.1999998</v>
      </c>
      <c r="H752" s="24">
        <v>8.5649999999999995</v>
      </c>
      <c r="I752" s="24">
        <v>3.0133999999999999</v>
      </c>
      <c r="J752" s="24">
        <v>1.4319</v>
      </c>
      <c r="K752" s="24">
        <v>151</v>
      </c>
      <c r="L752" s="24" t="s">
        <v>4958</v>
      </c>
    </row>
    <row r="753" spans="1:12" x14ac:dyDescent="0.35">
      <c r="A753" s="24" t="s">
        <v>3246</v>
      </c>
      <c r="B753" s="24" t="str">
        <f>"601018"</f>
        <v>601018</v>
      </c>
      <c r="C753" s="24" t="str">
        <f t="shared" si="11"/>
        <v>'601018.SS'</v>
      </c>
      <c r="D753" s="24" t="s">
        <v>4959</v>
      </c>
      <c r="E753" s="24" t="s">
        <v>4871</v>
      </c>
      <c r="F753" s="24">
        <v>0.97789999999999999</v>
      </c>
      <c r="G753" s="24">
        <v>69257622700.440002</v>
      </c>
      <c r="H753" s="24">
        <v>1.8039000000000001</v>
      </c>
      <c r="I753" s="24">
        <v>1.7062999999999999</v>
      </c>
      <c r="J753" s="24">
        <v>1.1672</v>
      </c>
      <c r="K753" s="24">
        <v>350</v>
      </c>
      <c r="L753" s="24" t="s">
        <v>4960</v>
      </c>
    </row>
    <row r="754" spans="1:12" x14ac:dyDescent="0.35">
      <c r="A754" s="24" t="s">
        <v>3242</v>
      </c>
      <c r="B754" s="24" t="str">
        <f>"002574"</f>
        <v>002574</v>
      </c>
      <c r="C754" s="24" t="str">
        <f t="shared" si="11"/>
        <v>'002574.SZ'</v>
      </c>
      <c r="D754" s="24" t="s">
        <v>4961</v>
      </c>
      <c r="E754" s="24" t="s">
        <v>3859</v>
      </c>
      <c r="F754" s="24">
        <v>0.97399999999999998</v>
      </c>
      <c r="G754" s="24">
        <v>3072960000</v>
      </c>
      <c r="H754" s="24">
        <v>3.0190000000000001</v>
      </c>
      <c r="I754" s="24">
        <v>1.4792000000000001</v>
      </c>
      <c r="J754" s="24">
        <v>0.97950000000000004</v>
      </c>
      <c r="K754" s="24">
        <v>109</v>
      </c>
      <c r="L754" s="24" t="s">
        <v>4962</v>
      </c>
    </row>
    <row r="755" spans="1:12" x14ac:dyDescent="0.35">
      <c r="A755" s="24" t="s">
        <v>3246</v>
      </c>
      <c r="B755" s="24" t="str">
        <f>"601989"</f>
        <v>601989</v>
      </c>
      <c r="C755" s="24" t="str">
        <f t="shared" si="11"/>
        <v>'601989.SS'</v>
      </c>
      <c r="D755" s="24" t="s">
        <v>4963</v>
      </c>
      <c r="E755" s="24" t="s">
        <v>3560</v>
      </c>
      <c r="F755" s="24">
        <v>0.95309999999999995</v>
      </c>
      <c r="G755" s="24">
        <v>80263164340.479996</v>
      </c>
      <c r="H755" s="24">
        <v>1.7607999999999999</v>
      </c>
      <c r="I755" s="24">
        <v>1.0927</v>
      </c>
      <c r="J755" s="24">
        <v>0.91310000000000002</v>
      </c>
      <c r="K755" s="24">
        <v>700</v>
      </c>
      <c r="L755" s="24" t="s">
        <v>4964</v>
      </c>
    </row>
    <row r="756" spans="1:12" x14ac:dyDescent="0.35">
      <c r="A756" s="24" t="s">
        <v>3246</v>
      </c>
      <c r="B756" s="24" t="str">
        <f>"600751"</f>
        <v>600751</v>
      </c>
      <c r="C756" s="24" t="str">
        <f t="shared" si="11"/>
        <v>'600751.SS'</v>
      </c>
      <c r="D756" s="24" t="s">
        <v>4965</v>
      </c>
      <c r="E756" s="24" t="s">
        <v>4054</v>
      </c>
      <c r="F756" s="24">
        <v>0.94110000000000005</v>
      </c>
      <c r="G756" s="24">
        <v>6726463656.5600004</v>
      </c>
      <c r="H756" s="24">
        <v>2.1427</v>
      </c>
      <c r="I756" s="24">
        <v>2.1372</v>
      </c>
      <c r="J756" s="24">
        <v>2.1137000000000001</v>
      </c>
      <c r="K756" s="24">
        <v>231</v>
      </c>
      <c r="L756" s="24" t="s">
        <v>4966</v>
      </c>
    </row>
    <row r="757" spans="1:12" x14ac:dyDescent="0.35">
      <c r="A757" s="24" t="s">
        <v>3242</v>
      </c>
      <c r="B757" s="24" t="str">
        <f>"300271"</f>
        <v>300271</v>
      </c>
      <c r="C757" s="24" t="str">
        <f t="shared" si="11"/>
        <v>'300271.SZ'</v>
      </c>
      <c r="D757" s="24" t="s">
        <v>4967</v>
      </c>
      <c r="E757" s="24" t="s">
        <v>3722</v>
      </c>
      <c r="F757" s="24">
        <v>0.93740000000000001</v>
      </c>
      <c r="G757" s="24">
        <v>6085260349.7399998</v>
      </c>
      <c r="H757" s="24">
        <v>3.2860999999999998</v>
      </c>
      <c r="I757" s="24">
        <v>2.3548</v>
      </c>
      <c r="J757" s="24">
        <v>1.2176</v>
      </c>
      <c r="K757" s="24">
        <v>589</v>
      </c>
      <c r="L757" s="24" t="s">
        <v>4968</v>
      </c>
    </row>
    <row r="758" spans="1:12" x14ac:dyDescent="0.35">
      <c r="A758" s="24" t="s">
        <v>3246</v>
      </c>
      <c r="B758" s="24" t="str">
        <f>"601188"</f>
        <v>601188</v>
      </c>
      <c r="C758" s="24" t="str">
        <f t="shared" si="11"/>
        <v>'601188.SS'</v>
      </c>
      <c r="D758" s="24" t="s">
        <v>4969</v>
      </c>
      <c r="E758" s="24" t="s">
        <v>4415</v>
      </c>
      <c r="F758" s="24">
        <v>0.93130000000000002</v>
      </c>
      <c r="G758" s="24">
        <v>4237128998.6199999</v>
      </c>
      <c r="H758" s="24">
        <v>6.7267999999999999</v>
      </c>
      <c r="I758" s="24">
        <v>5.2507000000000001</v>
      </c>
      <c r="J758" s="24">
        <v>2.0918000000000001</v>
      </c>
      <c r="K758" s="24">
        <v>130</v>
      </c>
      <c r="L758" s="24" t="s">
        <v>4970</v>
      </c>
    </row>
    <row r="759" spans="1:12" x14ac:dyDescent="0.35">
      <c r="A759" s="24" t="s">
        <v>3242</v>
      </c>
      <c r="B759" s="24" t="str">
        <f>"300981"</f>
        <v>300981</v>
      </c>
      <c r="C759" s="24" t="str">
        <f t="shared" si="11"/>
        <v>'300981.SZ'</v>
      </c>
      <c r="D759" s="24" t="s">
        <v>4971</v>
      </c>
      <c r="E759" s="24" t="s">
        <v>3319</v>
      </c>
      <c r="F759" s="24">
        <v>0.92600000000000005</v>
      </c>
      <c r="G759" s="24">
        <v>5646112920</v>
      </c>
      <c r="H759" s="24">
        <v>9.6087000000000007</v>
      </c>
      <c r="I759" s="24">
        <v>8.7335999999999991</v>
      </c>
      <c r="J759" s="24">
        <v>1.8348</v>
      </c>
      <c r="K759" s="24">
        <v>130</v>
      </c>
      <c r="L759" s="24" t="s">
        <v>4972</v>
      </c>
    </row>
    <row r="760" spans="1:12" x14ac:dyDescent="0.35">
      <c r="A760" s="24" t="s">
        <v>3242</v>
      </c>
      <c r="B760" s="24" t="str">
        <f>"002406"</f>
        <v>002406</v>
      </c>
      <c r="C760" s="24" t="str">
        <f t="shared" si="11"/>
        <v>'002406.SZ'</v>
      </c>
      <c r="D760" s="24" t="s">
        <v>4973</v>
      </c>
      <c r="E760" s="24" t="s">
        <v>3405</v>
      </c>
      <c r="F760" s="24">
        <v>0.91910000000000003</v>
      </c>
      <c r="G760" s="24">
        <v>3039698973.29</v>
      </c>
      <c r="H760" s="24">
        <v>5.9316000000000004</v>
      </c>
      <c r="I760" s="24">
        <v>4.78</v>
      </c>
      <c r="J760" s="24">
        <v>1.8604000000000001</v>
      </c>
      <c r="K760" s="24">
        <v>273</v>
      </c>
      <c r="L760" s="24" t="s">
        <v>4974</v>
      </c>
    </row>
    <row r="761" spans="1:12" x14ac:dyDescent="0.35">
      <c r="A761" s="24" t="s">
        <v>3246</v>
      </c>
      <c r="B761" s="24" t="str">
        <f>"600075"</f>
        <v>600075</v>
      </c>
      <c r="C761" s="24" t="str">
        <f t="shared" si="11"/>
        <v>'600075.SS'</v>
      </c>
      <c r="D761" s="24" t="s">
        <v>4975</v>
      </c>
      <c r="E761" s="24" t="s">
        <v>4530</v>
      </c>
      <c r="F761" s="24">
        <v>0.91200000000000003</v>
      </c>
      <c r="G761" s="24">
        <v>9390472278</v>
      </c>
      <c r="H761" s="24">
        <v>1.7979000000000001</v>
      </c>
      <c r="I761" s="24">
        <v>1.4158999999999999</v>
      </c>
      <c r="J761" s="24">
        <v>0.82730000000000004</v>
      </c>
      <c r="K761" s="24">
        <v>216</v>
      </c>
      <c r="L761" s="24" t="s">
        <v>4976</v>
      </c>
    </row>
    <row r="762" spans="1:12" x14ac:dyDescent="0.35">
      <c r="A762" s="24" t="s">
        <v>3246</v>
      </c>
      <c r="B762" s="24" t="str">
        <f>"601801"</f>
        <v>601801</v>
      </c>
      <c r="C762" s="24" t="str">
        <f t="shared" si="11"/>
        <v>'601801.SS'</v>
      </c>
      <c r="D762" s="24" t="s">
        <v>4977</v>
      </c>
      <c r="E762" s="24" t="s">
        <v>4352</v>
      </c>
      <c r="F762" s="24">
        <v>0.90990000000000004</v>
      </c>
      <c r="G762" s="24">
        <v>10343864632.4</v>
      </c>
      <c r="H762" s="24">
        <v>2.3431000000000002</v>
      </c>
      <c r="I762" s="24">
        <v>1.9280999999999999</v>
      </c>
      <c r="J762" s="24">
        <v>1.4041999999999999</v>
      </c>
      <c r="K762" s="24">
        <v>282</v>
      </c>
      <c r="L762" s="24" t="s">
        <v>4978</v>
      </c>
    </row>
    <row r="763" spans="1:12" x14ac:dyDescent="0.35">
      <c r="A763" s="24" t="s">
        <v>3242</v>
      </c>
      <c r="B763" s="24" t="str">
        <f>"300677"</f>
        <v>300677</v>
      </c>
      <c r="C763" s="24" t="str">
        <f t="shared" si="11"/>
        <v>'300677.SZ'</v>
      </c>
      <c r="D763" s="24" t="s">
        <v>4979</v>
      </c>
      <c r="E763" s="24" t="s">
        <v>3319</v>
      </c>
      <c r="F763" s="24">
        <v>0.90649999999999997</v>
      </c>
      <c r="G763" s="24">
        <v>14424425968.950001</v>
      </c>
      <c r="H763" s="24">
        <v>5.1096000000000004</v>
      </c>
      <c r="I763" s="24">
        <v>4.5370999999999997</v>
      </c>
      <c r="J763" s="24">
        <v>3.4855999999999998</v>
      </c>
      <c r="K763" s="24">
        <v>1809</v>
      </c>
      <c r="L763" s="24" t="s">
        <v>4980</v>
      </c>
    </row>
    <row r="764" spans="1:12" x14ac:dyDescent="0.35">
      <c r="A764" s="24" t="s">
        <v>3246</v>
      </c>
      <c r="B764" s="24" t="str">
        <f>"603116"</f>
        <v>603116</v>
      </c>
      <c r="C764" s="24" t="str">
        <f t="shared" si="11"/>
        <v>'603116.SS'</v>
      </c>
      <c r="D764" s="24" t="s">
        <v>4981</v>
      </c>
      <c r="E764" s="24" t="s">
        <v>4646</v>
      </c>
      <c r="F764" s="24">
        <v>0.90510000000000002</v>
      </c>
      <c r="G764" s="24">
        <v>2927100064</v>
      </c>
      <c r="H764" s="24">
        <v>2.6112000000000002</v>
      </c>
      <c r="I764" s="24">
        <v>2.1274000000000002</v>
      </c>
      <c r="J764" s="24">
        <v>1.0835999999999999</v>
      </c>
      <c r="K764" s="24">
        <v>106</v>
      </c>
      <c r="L764" s="24" t="s">
        <v>4982</v>
      </c>
    </row>
    <row r="765" spans="1:12" x14ac:dyDescent="0.35">
      <c r="A765" s="24" t="s">
        <v>3246</v>
      </c>
      <c r="B765" s="24" t="str">
        <f>"688459"</f>
        <v>688459</v>
      </c>
      <c r="C765" s="24" t="str">
        <f t="shared" si="11"/>
        <v>'688459.SS'</v>
      </c>
      <c r="D765" s="24" t="s">
        <v>4983</v>
      </c>
      <c r="E765" s="24" t="s">
        <v>3522</v>
      </c>
      <c r="F765" s="24">
        <v>0.89939999999999998</v>
      </c>
      <c r="G765" s="24">
        <v>4348800000</v>
      </c>
      <c r="H765" s="24">
        <v>10.718400000000001</v>
      </c>
      <c r="I765" s="24">
        <v>9.4085999999999999</v>
      </c>
      <c r="J765" s="24">
        <v>8.0795999999999992</v>
      </c>
      <c r="K765" s="24">
        <v>2</v>
      </c>
      <c r="L765" s="24" t="s">
        <v>4984</v>
      </c>
    </row>
    <row r="766" spans="1:12" x14ac:dyDescent="0.35">
      <c r="A766" s="24" t="s">
        <v>3246</v>
      </c>
      <c r="B766" s="24" t="str">
        <f>"601326"</f>
        <v>601326</v>
      </c>
      <c r="C766" s="24" t="str">
        <f t="shared" si="11"/>
        <v>'601326.SS'</v>
      </c>
      <c r="D766" s="24" t="s">
        <v>2095</v>
      </c>
      <c r="E766" s="24" t="s">
        <v>4871</v>
      </c>
      <c r="F766" s="24">
        <v>0.89159999999999995</v>
      </c>
      <c r="G766" s="24">
        <v>15253634760</v>
      </c>
      <c r="H766" s="24">
        <v>1.6681999999999999</v>
      </c>
      <c r="I766" s="24">
        <v>1.6122000000000001</v>
      </c>
      <c r="J766" s="24">
        <v>1.5303</v>
      </c>
      <c r="K766" s="24">
        <v>143</v>
      </c>
      <c r="L766" s="24" t="s">
        <v>4985</v>
      </c>
    </row>
    <row r="767" spans="1:12" x14ac:dyDescent="0.35">
      <c r="A767" s="24" t="s">
        <v>3242</v>
      </c>
      <c r="B767" s="24" t="str">
        <f>"002393"</f>
        <v>002393</v>
      </c>
      <c r="C767" s="24" t="str">
        <f t="shared" si="11"/>
        <v>'002393.SZ'</v>
      </c>
      <c r="D767" s="24" t="s">
        <v>4986</v>
      </c>
      <c r="E767" s="24" t="s">
        <v>3696</v>
      </c>
      <c r="F767" s="24">
        <v>0.89119999999999999</v>
      </c>
      <c r="G767" s="24">
        <v>4003687505.9200001</v>
      </c>
      <c r="H767" s="24">
        <v>3.1442999999999999</v>
      </c>
      <c r="I767" s="24">
        <v>2.7719999999999998</v>
      </c>
      <c r="J767" s="24">
        <v>2.0684</v>
      </c>
      <c r="K767" s="24">
        <v>158</v>
      </c>
      <c r="L767" s="24" t="s">
        <v>4987</v>
      </c>
    </row>
    <row r="768" spans="1:12" x14ac:dyDescent="0.35">
      <c r="A768" s="24" t="s">
        <v>3242</v>
      </c>
      <c r="B768" s="24" t="str">
        <f>"000552"</f>
        <v>000552</v>
      </c>
      <c r="C768" s="24" t="str">
        <f t="shared" si="11"/>
        <v>'000552.SZ'</v>
      </c>
      <c r="D768" s="24" t="s">
        <v>4988</v>
      </c>
      <c r="E768" s="24" t="s">
        <v>4418</v>
      </c>
      <c r="F768" s="24">
        <v>0.87409999999999999</v>
      </c>
      <c r="G768" s="24">
        <v>7974888177.7799997</v>
      </c>
      <c r="H768" s="24">
        <v>2.4222000000000001</v>
      </c>
      <c r="I768" s="24">
        <v>2.1656</v>
      </c>
      <c r="J768" s="24">
        <v>1.0857000000000001</v>
      </c>
      <c r="K768" s="24">
        <v>287</v>
      </c>
      <c r="L768" s="24" t="s">
        <v>4989</v>
      </c>
    </row>
    <row r="769" spans="1:12" x14ac:dyDescent="0.35">
      <c r="A769" s="24" t="s">
        <v>3246</v>
      </c>
      <c r="B769" s="24" t="str">
        <f>"601919"</f>
        <v>601919</v>
      </c>
      <c r="C769" s="24" t="str">
        <f t="shared" si="11"/>
        <v>'601919.SS'</v>
      </c>
      <c r="D769" s="24" t="s">
        <v>1046</v>
      </c>
      <c r="E769" s="24" t="s">
        <v>3371</v>
      </c>
      <c r="F769" s="24">
        <v>0.87239999999999995</v>
      </c>
      <c r="G769" s="24">
        <v>165133280385.35999</v>
      </c>
      <c r="H769" s="24">
        <v>1.8332999999999999</v>
      </c>
      <c r="I769" s="24">
        <v>1.7753000000000001</v>
      </c>
      <c r="J769" s="24">
        <v>1.6783999999999999</v>
      </c>
      <c r="K769" s="24">
        <v>1577</v>
      </c>
      <c r="L769" s="24" t="s">
        <v>4990</v>
      </c>
    </row>
    <row r="770" spans="1:12" x14ac:dyDescent="0.35">
      <c r="A770" s="24" t="s">
        <v>3242</v>
      </c>
      <c r="B770" s="24" t="str">
        <f>"002440"</f>
        <v>002440</v>
      </c>
      <c r="C770" s="24" t="str">
        <f t="shared" si="11"/>
        <v>'002440.SZ'</v>
      </c>
      <c r="D770" s="24" t="s">
        <v>4991</v>
      </c>
      <c r="E770" s="24" t="s">
        <v>4036</v>
      </c>
      <c r="F770" s="24">
        <v>0.87070000000000003</v>
      </c>
      <c r="G770" s="24">
        <v>8364135000</v>
      </c>
      <c r="H770" s="24">
        <v>3.3834</v>
      </c>
      <c r="I770" s="24">
        <v>2.6427</v>
      </c>
      <c r="J770" s="24">
        <v>0.92720000000000002</v>
      </c>
      <c r="K770" s="24">
        <v>544</v>
      </c>
      <c r="L770" s="24" t="s">
        <v>4992</v>
      </c>
    </row>
    <row r="771" spans="1:12" x14ac:dyDescent="0.35">
      <c r="A771" s="24" t="s">
        <v>3246</v>
      </c>
      <c r="B771" s="24" t="str">
        <f>"600037"</f>
        <v>600037</v>
      </c>
      <c r="C771" s="24" t="str">
        <f t="shared" ref="C771:C834" si="12">CONCATENATE("'",B771,IF(A771="sh",".SS'",".SZ'"))</f>
        <v>'600037.SS'</v>
      </c>
      <c r="D771" s="24" t="s">
        <v>4993</v>
      </c>
      <c r="E771" s="24" t="s">
        <v>2859</v>
      </c>
      <c r="F771" s="24">
        <v>0.86729999999999996</v>
      </c>
      <c r="G771" s="24">
        <v>11356907533.440001</v>
      </c>
      <c r="H771" s="24">
        <v>5.2161</v>
      </c>
      <c r="I771" s="24">
        <v>4.9272</v>
      </c>
      <c r="J771" s="24">
        <v>3.9843000000000002</v>
      </c>
      <c r="K771" s="24">
        <v>323</v>
      </c>
      <c r="L771" s="24" t="s">
        <v>4994</v>
      </c>
    </row>
    <row r="772" spans="1:12" x14ac:dyDescent="0.35">
      <c r="A772" s="24" t="s">
        <v>3246</v>
      </c>
      <c r="B772" s="24" t="str">
        <f>"600219"</f>
        <v>600219</v>
      </c>
      <c r="C772" s="24" t="str">
        <f t="shared" si="12"/>
        <v>'600219.SS'</v>
      </c>
      <c r="D772" s="24" t="s">
        <v>4995</v>
      </c>
      <c r="E772" s="24" t="s">
        <v>1174</v>
      </c>
      <c r="F772" s="24">
        <v>0.86439999999999995</v>
      </c>
      <c r="G772" s="24">
        <v>38989480983.839996</v>
      </c>
      <c r="H772" s="24">
        <v>2.1291000000000002</v>
      </c>
      <c r="I772" s="24">
        <v>1.6191</v>
      </c>
      <c r="J772" s="24">
        <v>1.2868999999999999</v>
      </c>
      <c r="K772" s="24">
        <v>650</v>
      </c>
      <c r="L772" s="24" t="s">
        <v>4996</v>
      </c>
    </row>
    <row r="773" spans="1:12" x14ac:dyDescent="0.35">
      <c r="A773" s="24" t="s">
        <v>3246</v>
      </c>
      <c r="B773" s="24" t="str">
        <f>"601000"</f>
        <v>601000</v>
      </c>
      <c r="C773" s="24" t="str">
        <f t="shared" si="12"/>
        <v>'601000.SS'</v>
      </c>
      <c r="D773" s="24" t="s">
        <v>4997</v>
      </c>
      <c r="E773" s="24" t="s">
        <v>4871</v>
      </c>
      <c r="F773" s="24">
        <v>0.86050000000000004</v>
      </c>
      <c r="G773" s="24">
        <v>16177785116.219999</v>
      </c>
      <c r="H773" s="24">
        <v>2.8262</v>
      </c>
      <c r="I773" s="24">
        <v>2.7559</v>
      </c>
      <c r="J773" s="24">
        <v>1.7681</v>
      </c>
      <c r="K773" s="24">
        <v>933</v>
      </c>
      <c r="L773" s="24" t="s">
        <v>4998</v>
      </c>
    </row>
    <row r="774" spans="1:12" x14ac:dyDescent="0.35">
      <c r="A774" s="24" t="s">
        <v>3246</v>
      </c>
      <c r="B774" s="24" t="str">
        <f>"603003"</f>
        <v>603003</v>
      </c>
      <c r="C774" s="24" t="str">
        <f t="shared" si="12"/>
        <v>'603003.SS'</v>
      </c>
      <c r="D774" s="24" t="s">
        <v>4999</v>
      </c>
      <c r="E774" s="24" t="s">
        <v>3722</v>
      </c>
      <c r="F774" s="24">
        <v>0.85619999999999996</v>
      </c>
      <c r="G774" s="24">
        <v>3090766033.9200001</v>
      </c>
      <c r="H774" s="24">
        <v>4.101</v>
      </c>
      <c r="I774" s="24">
        <v>2.5108000000000001</v>
      </c>
      <c r="J774" s="24">
        <v>1.0072000000000001</v>
      </c>
      <c r="K774" s="24">
        <v>93</v>
      </c>
      <c r="L774" s="24" t="s">
        <v>5000</v>
      </c>
    </row>
    <row r="775" spans="1:12" x14ac:dyDescent="0.35">
      <c r="A775" s="24" t="s">
        <v>3246</v>
      </c>
      <c r="B775" s="24" t="str">
        <f>"601101"</f>
        <v>601101</v>
      </c>
      <c r="C775" s="24" t="str">
        <f t="shared" si="12"/>
        <v>'601101.SS'</v>
      </c>
      <c r="D775" s="24" t="s">
        <v>5001</v>
      </c>
      <c r="E775" s="24" t="s">
        <v>4418</v>
      </c>
      <c r="F775" s="24">
        <v>0.84330000000000005</v>
      </c>
      <c r="G775" s="24">
        <v>8942387120.4599991</v>
      </c>
      <c r="H775" s="24">
        <v>1.5961000000000001</v>
      </c>
      <c r="I775" s="24">
        <v>1.5365</v>
      </c>
      <c r="J775" s="24">
        <v>1.3048999999999999</v>
      </c>
      <c r="K775" s="24">
        <v>304</v>
      </c>
      <c r="L775" s="24" t="s">
        <v>5002</v>
      </c>
    </row>
    <row r="776" spans="1:12" x14ac:dyDescent="0.35">
      <c r="A776" s="24" t="s">
        <v>3246</v>
      </c>
      <c r="B776" s="24" t="str">
        <f>"600585"</f>
        <v>600585</v>
      </c>
      <c r="C776" s="24" t="str">
        <f t="shared" si="12"/>
        <v>'600585.SS'</v>
      </c>
      <c r="D776" s="24" t="s">
        <v>1015</v>
      </c>
      <c r="E776" s="24" t="s">
        <v>3549</v>
      </c>
      <c r="F776" s="24">
        <v>0.83850000000000002</v>
      </c>
      <c r="G776" s="24">
        <v>151454067707.82001</v>
      </c>
      <c r="H776" s="24">
        <v>3.0525000000000002</v>
      </c>
      <c r="I776" s="24">
        <v>2.6829999999999998</v>
      </c>
      <c r="J776" s="24">
        <v>1.9119999999999999</v>
      </c>
      <c r="K776" s="24">
        <v>8537</v>
      </c>
      <c r="L776" s="24" t="s">
        <v>5003</v>
      </c>
    </row>
    <row r="777" spans="1:12" x14ac:dyDescent="0.35">
      <c r="A777" s="24" t="s">
        <v>3242</v>
      </c>
      <c r="B777" s="24" t="str">
        <f>"002582"</f>
        <v>002582</v>
      </c>
      <c r="C777" s="24" t="str">
        <f t="shared" si="12"/>
        <v>'002582.SZ'</v>
      </c>
      <c r="D777" s="24" t="s">
        <v>5004</v>
      </c>
      <c r="E777" s="24" t="s">
        <v>5005</v>
      </c>
      <c r="F777" s="24">
        <v>0.83430000000000004</v>
      </c>
      <c r="G777" s="24">
        <v>3630098040.6599998</v>
      </c>
      <c r="H777" s="24">
        <v>4.1467000000000001</v>
      </c>
      <c r="I777" s="24">
        <v>3.0516999999999999</v>
      </c>
      <c r="J777" s="24">
        <v>1.8183</v>
      </c>
      <c r="K777" s="24">
        <v>440</v>
      </c>
      <c r="L777" s="24" t="s">
        <v>5006</v>
      </c>
    </row>
    <row r="778" spans="1:12" x14ac:dyDescent="0.35">
      <c r="A778" s="24" t="s">
        <v>3246</v>
      </c>
      <c r="B778" s="24" t="str">
        <f>"600971"</f>
        <v>600971</v>
      </c>
      <c r="C778" s="24" t="str">
        <f t="shared" si="12"/>
        <v>'600971.SS'</v>
      </c>
      <c r="D778" s="24" t="s">
        <v>5007</v>
      </c>
      <c r="E778" s="24" t="s">
        <v>4418</v>
      </c>
      <c r="F778" s="24">
        <v>0.78620000000000001</v>
      </c>
      <c r="G778" s="24">
        <v>8712035457.8400002</v>
      </c>
      <c r="H778" s="24">
        <v>1.7081</v>
      </c>
      <c r="I778" s="24">
        <v>1.6373</v>
      </c>
      <c r="J778" s="24">
        <v>1.1171</v>
      </c>
      <c r="K778" s="24">
        <v>1573</v>
      </c>
      <c r="L778" s="24" t="s">
        <v>5008</v>
      </c>
    </row>
    <row r="779" spans="1:12" x14ac:dyDescent="0.35">
      <c r="A779" s="24" t="s">
        <v>3246</v>
      </c>
      <c r="B779" s="24" t="str">
        <f>"601006"</f>
        <v>601006</v>
      </c>
      <c r="C779" s="24" t="str">
        <f t="shared" si="12"/>
        <v>'601006.SS'</v>
      </c>
      <c r="D779" s="24" t="s">
        <v>5009</v>
      </c>
      <c r="E779" s="24" t="s">
        <v>4824</v>
      </c>
      <c r="F779" s="24">
        <v>0.78380000000000005</v>
      </c>
      <c r="G779" s="24">
        <v>97824504068.059998</v>
      </c>
      <c r="H779" s="24">
        <v>4.2131999999999996</v>
      </c>
      <c r="I779" s="24">
        <v>4.0949999999999998</v>
      </c>
      <c r="J779" s="24">
        <v>3.5981000000000001</v>
      </c>
      <c r="K779" s="24">
        <v>4286</v>
      </c>
      <c r="L779" s="24" t="s">
        <v>5010</v>
      </c>
    </row>
    <row r="780" spans="1:12" x14ac:dyDescent="0.35">
      <c r="A780" s="24" t="s">
        <v>3242</v>
      </c>
      <c r="B780" s="24" t="str">
        <f>"002067"</f>
        <v>002067</v>
      </c>
      <c r="C780" s="24" t="str">
        <f t="shared" si="12"/>
        <v>'002067.SZ'</v>
      </c>
      <c r="D780" s="24" t="s">
        <v>5011</v>
      </c>
      <c r="E780" s="24" t="s">
        <v>4570</v>
      </c>
      <c r="F780" s="24">
        <v>0.78029999999999999</v>
      </c>
      <c r="G780" s="24">
        <v>4214627120.8000002</v>
      </c>
      <c r="H780" s="24">
        <v>2.1793999999999998</v>
      </c>
      <c r="I780" s="24">
        <v>1.6612</v>
      </c>
      <c r="J780" s="24">
        <v>0.88029999999999997</v>
      </c>
      <c r="K780" s="24">
        <v>174</v>
      </c>
      <c r="L780" s="24" t="s">
        <v>5012</v>
      </c>
    </row>
    <row r="781" spans="1:12" x14ac:dyDescent="0.35">
      <c r="A781" s="24" t="s">
        <v>3246</v>
      </c>
      <c r="B781" s="24" t="str">
        <f>"600637"</f>
        <v>600637</v>
      </c>
      <c r="C781" s="24" t="str">
        <f t="shared" si="12"/>
        <v>'600637.SS'</v>
      </c>
      <c r="D781" s="24" t="s">
        <v>5013</v>
      </c>
      <c r="E781" s="24" t="s">
        <v>2859</v>
      </c>
      <c r="F781" s="24">
        <v>0.77549999999999997</v>
      </c>
      <c r="G781" s="24">
        <v>22774716340.669998</v>
      </c>
      <c r="H781" s="24">
        <v>3.3683999999999998</v>
      </c>
      <c r="I781" s="24">
        <v>2.9060999999999999</v>
      </c>
      <c r="J781" s="24">
        <v>1.1886000000000001</v>
      </c>
      <c r="K781" s="24">
        <v>463</v>
      </c>
      <c r="L781" s="24" t="s">
        <v>5014</v>
      </c>
    </row>
    <row r="782" spans="1:12" x14ac:dyDescent="0.35">
      <c r="A782" s="24" t="s">
        <v>3242</v>
      </c>
      <c r="B782" s="24" t="str">
        <f>"002233"</f>
        <v>002233</v>
      </c>
      <c r="C782" s="24" t="str">
        <f t="shared" si="12"/>
        <v>'002233.SZ'</v>
      </c>
      <c r="D782" s="24" t="s">
        <v>5015</v>
      </c>
      <c r="E782" s="24" t="s">
        <v>3549</v>
      </c>
      <c r="F782" s="24">
        <v>0.7712</v>
      </c>
      <c r="G782" s="24">
        <v>8643993866</v>
      </c>
      <c r="H782" s="24">
        <v>4.1466000000000003</v>
      </c>
      <c r="I782" s="24">
        <v>3.3498999999999999</v>
      </c>
      <c r="J782" s="24">
        <v>1.1757</v>
      </c>
      <c r="K782" s="24">
        <v>1387</v>
      </c>
      <c r="L782" s="24" t="s">
        <v>5016</v>
      </c>
    </row>
    <row r="783" spans="1:12" x14ac:dyDescent="0.35">
      <c r="A783" s="24" t="s">
        <v>3246</v>
      </c>
      <c r="B783" s="24" t="str">
        <f>"600373"</f>
        <v>600373</v>
      </c>
      <c r="C783" s="24" t="str">
        <f t="shared" si="12"/>
        <v>'600373.SS'</v>
      </c>
      <c r="D783" s="24" t="s">
        <v>5017</v>
      </c>
      <c r="E783" s="24" t="s">
        <v>4352</v>
      </c>
      <c r="F783" s="24">
        <v>0.76380000000000003</v>
      </c>
      <c r="G783" s="24">
        <v>12805352144.549999</v>
      </c>
      <c r="H783" s="24">
        <v>2.0975000000000001</v>
      </c>
      <c r="I783" s="24">
        <v>1.8832</v>
      </c>
      <c r="J783" s="24">
        <v>1.4450000000000001</v>
      </c>
      <c r="K783" s="24">
        <v>816</v>
      </c>
      <c r="L783" s="24" t="s">
        <v>5018</v>
      </c>
    </row>
    <row r="784" spans="1:12" x14ac:dyDescent="0.35">
      <c r="A784" s="24" t="s">
        <v>3246</v>
      </c>
      <c r="B784" s="24" t="str">
        <f>"600997"</f>
        <v>600997</v>
      </c>
      <c r="C784" s="24" t="str">
        <f t="shared" si="12"/>
        <v>'600997.SS'</v>
      </c>
      <c r="D784" s="24" t="s">
        <v>5019</v>
      </c>
      <c r="E784" s="24" t="s">
        <v>5020</v>
      </c>
      <c r="F784" s="24">
        <v>0.76200000000000001</v>
      </c>
      <c r="G784" s="24">
        <v>10733526992.76</v>
      </c>
      <c r="H784" s="24">
        <v>1.7092000000000001</v>
      </c>
      <c r="I784" s="24">
        <v>1.5302</v>
      </c>
      <c r="J784" s="24">
        <v>0.91620000000000001</v>
      </c>
      <c r="K784" s="24">
        <v>751</v>
      </c>
      <c r="L784" s="24" t="s">
        <v>5021</v>
      </c>
    </row>
    <row r="785" spans="1:12" x14ac:dyDescent="0.35">
      <c r="A785" s="24" t="s">
        <v>3246</v>
      </c>
      <c r="B785" s="24" t="str">
        <f>"600676"</f>
        <v>600676</v>
      </c>
      <c r="C785" s="24" t="str">
        <f t="shared" si="12"/>
        <v>'600676.SS'</v>
      </c>
      <c r="D785" s="24" t="s">
        <v>5022</v>
      </c>
      <c r="E785" s="24" t="s">
        <v>3457</v>
      </c>
      <c r="F785" s="24">
        <v>0.75529999999999997</v>
      </c>
      <c r="G785" s="24">
        <v>3959697834.4000001</v>
      </c>
      <c r="H785" s="24">
        <v>2.2429000000000001</v>
      </c>
      <c r="I785" s="24">
        <v>1.7038</v>
      </c>
      <c r="J785" s="24">
        <v>0.82130000000000003</v>
      </c>
      <c r="K785" s="24">
        <v>93</v>
      </c>
      <c r="L785" s="24" t="s">
        <v>5023</v>
      </c>
    </row>
    <row r="786" spans="1:12" x14ac:dyDescent="0.35">
      <c r="A786" s="24" t="s">
        <v>3242</v>
      </c>
      <c r="B786" s="24" t="str">
        <f>"002382"</f>
        <v>002382</v>
      </c>
      <c r="C786" s="24" t="str">
        <f t="shared" si="12"/>
        <v>'002382.SZ'</v>
      </c>
      <c r="D786" s="24" t="s">
        <v>5024</v>
      </c>
      <c r="E786" s="24" t="s">
        <v>3319</v>
      </c>
      <c r="F786" s="24">
        <v>0.75119999999999998</v>
      </c>
      <c r="G786" s="24">
        <v>8036618483.04</v>
      </c>
      <c r="H786" s="24">
        <v>2.1227999999999998</v>
      </c>
      <c r="I786" s="24">
        <v>1.5880000000000001</v>
      </c>
      <c r="J786" s="24">
        <v>1.0605</v>
      </c>
      <c r="K786" s="24">
        <v>854</v>
      </c>
      <c r="L786" s="24" t="s">
        <v>5025</v>
      </c>
    </row>
    <row r="787" spans="1:12" x14ac:dyDescent="0.35">
      <c r="A787" s="24" t="s">
        <v>3242</v>
      </c>
      <c r="B787" s="24" t="str">
        <f>"000726"</f>
        <v>000726</v>
      </c>
      <c r="C787" s="24" t="str">
        <f t="shared" si="12"/>
        <v>'000726.SZ'</v>
      </c>
      <c r="D787" s="24" t="s">
        <v>5026</v>
      </c>
      <c r="E787" s="24" t="s">
        <v>5027</v>
      </c>
      <c r="F787" s="24">
        <v>0.74950000000000006</v>
      </c>
      <c r="G787" s="24">
        <v>6541856322.8699999</v>
      </c>
      <c r="H787" s="24">
        <v>2.8197999999999999</v>
      </c>
      <c r="I787" s="24">
        <v>1.575</v>
      </c>
      <c r="J787" s="24">
        <v>0.9375</v>
      </c>
      <c r="K787" s="24">
        <v>989</v>
      </c>
      <c r="L787" s="24" t="s">
        <v>5028</v>
      </c>
    </row>
    <row r="788" spans="1:12" x14ac:dyDescent="0.35">
      <c r="A788" s="24" t="s">
        <v>3242</v>
      </c>
      <c r="B788" s="24" t="str">
        <f>"000627"</f>
        <v>000627</v>
      </c>
      <c r="C788" s="24" t="str">
        <f t="shared" si="12"/>
        <v>'000627.SZ'</v>
      </c>
      <c r="D788" s="24" t="s">
        <v>5029</v>
      </c>
      <c r="E788" s="24" t="s">
        <v>870</v>
      </c>
      <c r="F788" s="24">
        <v>0.74490000000000001</v>
      </c>
      <c r="G788" s="24">
        <v>15810013328</v>
      </c>
      <c r="H788" s="24">
        <v>2.1848000000000001</v>
      </c>
      <c r="I788" s="24">
        <v>1.7275</v>
      </c>
      <c r="J788" s="24">
        <v>1.044</v>
      </c>
      <c r="K788" s="24">
        <v>297</v>
      </c>
      <c r="L788" s="24" t="s">
        <v>5030</v>
      </c>
    </row>
    <row r="789" spans="1:12" x14ac:dyDescent="0.35">
      <c r="A789" s="24" t="s">
        <v>3246</v>
      </c>
      <c r="B789" s="24" t="str">
        <f>"600126"</f>
        <v>600126</v>
      </c>
      <c r="C789" s="24" t="str">
        <f t="shared" si="12"/>
        <v>'600126.SS'</v>
      </c>
      <c r="D789" s="24" t="s">
        <v>5031</v>
      </c>
      <c r="E789" s="24" t="s">
        <v>5032</v>
      </c>
      <c r="F789" s="24">
        <v>0.71199999999999997</v>
      </c>
      <c r="G789" s="24">
        <v>14386825493.58</v>
      </c>
      <c r="H789" s="24">
        <v>1.5714999999999999</v>
      </c>
      <c r="I789" s="24">
        <v>1.1908000000000001</v>
      </c>
      <c r="J789" s="24">
        <v>1.0583</v>
      </c>
      <c r="K789" s="24">
        <v>251</v>
      </c>
      <c r="L789" s="24" t="s">
        <v>5033</v>
      </c>
    </row>
    <row r="790" spans="1:12" x14ac:dyDescent="0.35">
      <c r="A790" s="24" t="s">
        <v>3242</v>
      </c>
      <c r="B790" s="24" t="str">
        <f>"000623"</f>
        <v>000623</v>
      </c>
      <c r="C790" s="24" t="str">
        <f t="shared" si="12"/>
        <v>'000623.SZ'</v>
      </c>
      <c r="D790" s="24" t="s">
        <v>5034</v>
      </c>
      <c r="E790" s="24" t="s">
        <v>3311</v>
      </c>
      <c r="F790" s="24">
        <v>0.69679999999999997</v>
      </c>
      <c r="G790" s="24">
        <v>17225525365.700001</v>
      </c>
      <c r="H790" s="24">
        <v>3.3447</v>
      </c>
      <c r="I790" s="24">
        <v>2.8285</v>
      </c>
      <c r="J790" s="24">
        <v>0.86219999999999997</v>
      </c>
      <c r="K790" s="24">
        <v>692</v>
      </c>
      <c r="L790" s="24" t="s">
        <v>5035</v>
      </c>
    </row>
    <row r="791" spans="1:12" x14ac:dyDescent="0.35">
      <c r="A791" s="24" t="s">
        <v>3246</v>
      </c>
      <c r="B791" s="24" t="str">
        <f>"600716"</f>
        <v>600716</v>
      </c>
      <c r="C791" s="24" t="str">
        <f t="shared" si="12"/>
        <v>'600716.SS'</v>
      </c>
      <c r="D791" s="24" t="s">
        <v>5036</v>
      </c>
      <c r="E791" s="24" t="s">
        <v>3988</v>
      </c>
      <c r="F791" s="24">
        <v>0.67579999999999996</v>
      </c>
      <c r="G791" s="24">
        <v>3725521148.1999998</v>
      </c>
      <c r="H791" s="24">
        <v>4.6231</v>
      </c>
      <c r="I791" s="24">
        <v>1.3254999999999999</v>
      </c>
      <c r="J791" s="24">
        <v>1.0642</v>
      </c>
      <c r="K791" s="24">
        <v>102</v>
      </c>
      <c r="L791" s="24" t="s">
        <v>5037</v>
      </c>
    </row>
    <row r="792" spans="1:12" x14ac:dyDescent="0.35">
      <c r="A792" s="24" t="s">
        <v>3246</v>
      </c>
      <c r="B792" s="24" t="str">
        <f>"601107"</f>
        <v>601107</v>
      </c>
      <c r="C792" s="24" t="str">
        <f t="shared" si="12"/>
        <v>'601107.SS'</v>
      </c>
      <c r="D792" s="24" t="s">
        <v>5038</v>
      </c>
      <c r="E792" s="24" t="s">
        <v>4415</v>
      </c>
      <c r="F792" s="24">
        <v>0.65200000000000002</v>
      </c>
      <c r="G792" s="24">
        <v>11528886200</v>
      </c>
      <c r="H792" s="24">
        <v>1.5212000000000001</v>
      </c>
      <c r="I792" s="24">
        <v>1.284</v>
      </c>
      <c r="J792" s="24">
        <v>0.80159999999999998</v>
      </c>
      <c r="K792" s="24">
        <v>240</v>
      </c>
      <c r="L792" s="24" t="s">
        <v>5039</v>
      </c>
    </row>
    <row r="793" spans="1:12" x14ac:dyDescent="0.35">
      <c r="A793" s="24" t="s">
        <v>3246</v>
      </c>
      <c r="B793" s="24" t="str">
        <f>"600894"</f>
        <v>600894</v>
      </c>
      <c r="C793" s="24" t="str">
        <f t="shared" si="12"/>
        <v>'600894.SS'</v>
      </c>
      <c r="D793" s="24" t="s">
        <v>5040</v>
      </c>
      <c r="E793" s="24" t="s">
        <v>3427</v>
      </c>
      <c r="F793" s="24">
        <v>0.6502</v>
      </c>
      <c r="G793" s="24">
        <v>5624052693.3000002</v>
      </c>
      <c r="H793" s="24">
        <v>1.9525999999999999</v>
      </c>
      <c r="I793" s="24">
        <v>1.6026</v>
      </c>
      <c r="J793" s="24">
        <v>1.0387999999999999</v>
      </c>
      <c r="K793" s="24">
        <v>401</v>
      </c>
      <c r="L793" s="24" t="s">
        <v>5041</v>
      </c>
    </row>
    <row r="794" spans="1:12" x14ac:dyDescent="0.35">
      <c r="A794" s="24" t="s">
        <v>3246</v>
      </c>
      <c r="B794" s="24" t="s">
        <v>6351</v>
      </c>
      <c r="C794" s="24" t="str">
        <f t="shared" si="12"/>
        <v>'600507.SS'</v>
      </c>
      <c r="D794" s="24" t="s">
        <v>6352</v>
      </c>
      <c r="E794" s="24" t="s">
        <v>6353</v>
      </c>
    </row>
    <row r="795" spans="1:12" x14ac:dyDescent="0.35">
      <c r="A795" s="25" t="s">
        <v>3246</v>
      </c>
      <c r="B795" s="24" t="s">
        <v>6354</v>
      </c>
      <c r="C795" s="24" t="str">
        <f t="shared" si="12"/>
        <v>'600662.SS'</v>
      </c>
      <c r="D795" s="24" t="s">
        <v>6355</v>
      </c>
      <c r="E795" s="24" t="s">
        <v>6356</v>
      </c>
    </row>
    <row r="796" spans="1:12" x14ac:dyDescent="0.35">
      <c r="A796" s="25" t="s">
        <v>3242</v>
      </c>
      <c r="B796" s="24" t="s">
        <v>6357</v>
      </c>
      <c r="C796" s="24" t="str">
        <f t="shared" si="12"/>
        <v>'000651.SZ'</v>
      </c>
      <c r="D796" s="24" t="s">
        <v>6358</v>
      </c>
      <c r="E796" s="24" t="s">
        <v>4922</v>
      </c>
    </row>
    <row r="797" spans="1:12" x14ac:dyDescent="0.35">
      <c r="A797" s="25" t="s">
        <v>3246</v>
      </c>
      <c r="B797" s="24" t="s">
        <v>6359</v>
      </c>
      <c r="C797" s="24" t="str">
        <f t="shared" si="12"/>
        <v>'600782.SS'</v>
      </c>
      <c r="D797" s="24" t="s">
        <v>6360</v>
      </c>
      <c r="E797" s="24" t="s">
        <v>6361</v>
      </c>
    </row>
    <row r="798" spans="1:12" x14ac:dyDescent="0.35">
      <c r="A798" s="25" t="s">
        <v>3242</v>
      </c>
      <c r="B798" s="24" t="s">
        <v>6362</v>
      </c>
      <c r="C798" s="24" t="str">
        <f t="shared" si="12"/>
        <v>'000550.SZ'</v>
      </c>
      <c r="D798" s="24" t="s">
        <v>6363</v>
      </c>
      <c r="E798" s="25" t="s">
        <v>6364</v>
      </c>
    </row>
    <row r="799" spans="1:12" x14ac:dyDescent="0.35">
      <c r="A799" s="25" t="s">
        <v>3242</v>
      </c>
      <c r="B799" s="24" t="s">
        <v>6365</v>
      </c>
      <c r="C799" s="24" t="str">
        <f t="shared" si="12"/>
        <v>'000523.SZ'</v>
      </c>
    </row>
    <row r="800" spans="1:12" x14ac:dyDescent="0.35">
      <c r="A800" s="25" t="s">
        <v>3242</v>
      </c>
      <c r="B800" s="24" t="s">
        <v>6366</v>
      </c>
      <c r="C800" s="24" t="str">
        <f t="shared" si="12"/>
        <v>'002116.SZ'</v>
      </c>
    </row>
    <row r="801" spans="1:3" x14ac:dyDescent="0.35">
      <c r="A801" s="25" t="s">
        <v>3246</v>
      </c>
      <c r="B801" s="24" t="s">
        <v>6367</v>
      </c>
      <c r="C801" s="24" t="str">
        <f t="shared" si="12"/>
        <v>'600546.SS'</v>
      </c>
    </row>
    <row r="802" spans="1:3" x14ac:dyDescent="0.35">
      <c r="A802" s="25" t="s">
        <v>3242</v>
      </c>
      <c r="B802" s="24" t="s">
        <v>6368</v>
      </c>
      <c r="C802" s="24" t="str">
        <f t="shared" si="12"/>
        <v>'002668.SZ'</v>
      </c>
    </row>
    <row r="803" spans="1:3" x14ac:dyDescent="0.35">
      <c r="A803" s="25" t="s">
        <v>3242</v>
      </c>
      <c r="B803" s="24" t="s">
        <v>6369</v>
      </c>
      <c r="C803" s="24" t="str">
        <f t="shared" si="12"/>
        <v>'000928.SZ'</v>
      </c>
    </row>
    <row r="804" spans="1:3" x14ac:dyDescent="0.35">
      <c r="A804" s="25" t="s">
        <v>3242</v>
      </c>
      <c r="B804" s="24" t="s">
        <v>6370</v>
      </c>
      <c r="C804" s="24" t="str">
        <f t="shared" si="12"/>
        <v>'000921.SZ'</v>
      </c>
    </row>
    <row r="805" spans="1:3" x14ac:dyDescent="0.35">
      <c r="A805" s="25" t="s">
        <v>3246</v>
      </c>
      <c r="B805" s="24" t="s">
        <v>6371</v>
      </c>
      <c r="C805" s="24" t="str">
        <f t="shared" si="12"/>
        <v>'601699.SS'</v>
      </c>
    </row>
    <row r="806" spans="1:3" x14ac:dyDescent="0.35">
      <c r="A806" s="24" t="str">
        <f>IF(LEFT(B806,1)="6","sh","sz")</f>
        <v>sz</v>
      </c>
      <c r="B806" s="24" t="s">
        <v>6372</v>
      </c>
      <c r="C806" s="24" t="str">
        <f t="shared" si="12"/>
        <v>'002356.SZ'</v>
      </c>
    </row>
    <row r="807" spans="1:3" x14ac:dyDescent="0.35">
      <c r="A807" s="24" t="str">
        <f t="shared" ref="A807:A856" si="13">IF(LEFT(B807,1)="6","sh","sz")</f>
        <v>sz</v>
      </c>
      <c r="B807" s="24" t="s">
        <v>6373</v>
      </c>
      <c r="C807" s="24" t="str">
        <f t="shared" si="12"/>
        <v>'002030.SZ'</v>
      </c>
    </row>
    <row r="808" spans="1:3" x14ac:dyDescent="0.35">
      <c r="A808" s="24" t="str">
        <f t="shared" si="13"/>
        <v>sz</v>
      </c>
      <c r="B808" s="24" t="s">
        <v>6374</v>
      </c>
      <c r="C808" s="24" t="str">
        <f t="shared" si="12"/>
        <v>'300390.SZ'</v>
      </c>
    </row>
    <row r="809" spans="1:3" x14ac:dyDescent="0.35">
      <c r="A809" s="24" t="str">
        <f t="shared" si="13"/>
        <v>sh</v>
      </c>
      <c r="B809" s="24" t="s">
        <v>6375</v>
      </c>
      <c r="C809" s="24" t="str">
        <f t="shared" si="12"/>
        <v>'605166.SS'</v>
      </c>
    </row>
    <row r="810" spans="1:3" x14ac:dyDescent="0.35">
      <c r="A810" s="24" t="str">
        <f t="shared" si="13"/>
        <v>sh</v>
      </c>
      <c r="B810" s="24" t="s">
        <v>6376</v>
      </c>
      <c r="C810" s="24" t="str">
        <f t="shared" si="12"/>
        <v>'600777.SS'</v>
      </c>
    </row>
    <row r="811" spans="1:3" x14ac:dyDescent="0.35">
      <c r="A811" s="24" t="str">
        <f t="shared" si="13"/>
        <v>sz</v>
      </c>
      <c r="B811" s="24" t="s">
        <v>6377</v>
      </c>
      <c r="C811" s="24" t="str">
        <f t="shared" si="12"/>
        <v>'000626.SZ'</v>
      </c>
    </row>
    <row r="812" spans="1:3" x14ac:dyDescent="0.35">
      <c r="A812" s="24" t="str">
        <f t="shared" si="13"/>
        <v>sh</v>
      </c>
      <c r="B812" s="24" t="s">
        <v>6378</v>
      </c>
      <c r="C812" s="24" t="str">
        <f t="shared" si="12"/>
        <v>'600511.SS'</v>
      </c>
    </row>
    <row r="813" spans="1:3" x14ac:dyDescent="0.35">
      <c r="A813" s="24" t="str">
        <f t="shared" si="13"/>
        <v>sz</v>
      </c>
      <c r="B813" s="24" t="s">
        <v>6379</v>
      </c>
      <c r="C813" s="24" t="str">
        <f t="shared" si="12"/>
        <v>'300158.SZ'</v>
      </c>
    </row>
    <row r="814" spans="1:3" x14ac:dyDescent="0.35">
      <c r="A814" s="24" t="str">
        <f t="shared" si="13"/>
        <v>sz</v>
      </c>
      <c r="B814" s="24" t="s">
        <v>6380</v>
      </c>
      <c r="C814" s="24" t="str">
        <f t="shared" si="12"/>
        <v>'000822.SZ'</v>
      </c>
    </row>
    <row r="815" spans="1:3" x14ac:dyDescent="0.35">
      <c r="A815" s="24" t="str">
        <f t="shared" si="13"/>
        <v>sh</v>
      </c>
      <c r="B815" s="24" t="s">
        <v>6381</v>
      </c>
      <c r="C815" s="24" t="str">
        <f t="shared" si="12"/>
        <v>'600078.SS'</v>
      </c>
    </row>
    <row r="816" spans="1:3" x14ac:dyDescent="0.35">
      <c r="A816" s="24" t="str">
        <f t="shared" si="13"/>
        <v>sz</v>
      </c>
      <c r="B816" s="24" t="s">
        <v>6382</v>
      </c>
      <c r="C816" s="24" t="str">
        <f t="shared" si="12"/>
        <v>'002758.SZ'</v>
      </c>
    </row>
    <row r="817" spans="1:3" x14ac:dyDescent="0.35">
      <c r="A817" s="24" t="str">
        <f t="shared" si="13"/>
        <v>sh</v>
      </c>
      <c r="B817" s="24" t="s">
        <v>6383</v>
      </c>
      <c r="C817" s="24" t="str">
        <f t="shared" si="12"/>
        <v>'601117.SS'</v>
      </c>
    </row>
    <row r="818" spans="1:3" x14ac:dyDescent="0.35">
      <c r="A818" s="24" t="str">
        <f t="shared" si="13"/>
        <v>sz</v>
      </c>
      <c r="B818" s="24" t="s">
        <v>6384</v>
      </c>
      <c r="C818" s="24" t="str">
        <f t="shared" si="12"/>
        <v>'000707.SZ'</v>
      </c>
    </row>
    <row r="819" spans="1:3" x14ac:dyDescent="0.35">
      <c r="A819" s="24" t="str">
        <f t="shared" si="13"/>
        <v>sh</v>
      </c>
      <c r="B819" s="24" t="s">
        <v>6385</v>
      </c>
      <c r="C819" s="24" t="str">
        <f t="shared" si="12"/>
        <v>'600846.SS'</v>
      </c>
    </row>
    <row r="820" spans="1:3" x14ac:dyDescent="0.35">
      <c r="A820" s="24" t="str">
        <f t="shared" si="13"/>
        <v>sz</v>
      </c>
      <c r="B820" s="24" t="s">
        <v>6386</v>
      </c>
      <c r="C820" s="24" t="str">
        <f t="shared" si="12"/>
        <v>'002756.SZ'</v>
      </c>
    </row>
    <row r="821" spans="1:3" x14ac:dyDescent="0.35">
      <c r="A821" s="24" t="str">
        <f t="shared" si="13"/>
        <v>sz</v>
      </c>
      <c r="B821" s="24" t="s">
        <v>6387</v>
      </c>
      <c r="C821" s="24" t="str">
        <f t="shared" si="12"/>
        <v>'002164.SZ'</v>
      </c>
    </row>
    <row r="822" spans="1:3" x14ac:dyDescent="0.35">
      <c r="A822" s="24" t="str">
        <f t="shared" si="13"/>
        <v>sh</v>
      </c>
      <c r="B822" s="24" t="s">
        <v>6388</v>
      </c>
      <c r="C822" s="24" t="str">
        <f t="shared" si="12"/>
        <v>'600389.SS'</v>
      </c>
    </row>
    <row r="823" spans="1:3" x14ac:dyDescent="0.35">
      <c r="A823" s="24" t="str">
        <f t="shared" si="13"/>
        <v>sz</v>
      </c>
      <c r="B823" s="24" t="s">
        <v>6389</v>
      </c>
      <c r="C823" s="24" t="str">
        <f t="shared" si="12"/>
        <v>'002240.SZ'</v>
      </c>
    </row>
    <row r="824" spans="1:3" x14ac:dyDescent="0.35">
      <c r="A824" s="24" t="str">
        <f t="shared" si="13"/>
        <v>sh</v>
      </c>
      <c r="B824" s="24" t="s">
        <v>6390</v>
      </c>
      <c r="C824" s="24" t="str">
        <f t="shared" si="12"/>
        <v>'600820.SS'</v>
      </c>
    </row>
    <row r="825" spans="1:3" x14ac:dyDescent="0.35">
      <c r="A825" s="24" t="str">
        <f t="shared" si="13"/>
        <v>sz</v>
      </c>
      <c r="B825" s="24" t="s">
        <v>6391</v>
      </c>
      <c r="C825" s="24" t="str">
        <f t="shared" si="12"/>
        <v>'000404.SZ'</v>
      </c>
    </row>
    <row r="826" spans="1:3" x14ac:dyDescent="0.35">
      <c r="A826" s="24" t="str">
        <f t="shared" si="13"/>
        <v>sz</v>
      </c>
      <c r="B826" s="24" t="s">
        <v>6392</v>
      </c>
      <c r="C826" s="24" t="str">
        <f t="shared" si="12"/>
        <v>'000792.SZ'</v>
      </c>
    </row>
    <row r="827" spans="1:3" x14ac:dyDescent="0.35">
      <c r="A827" s="24" t="str">
        <f t="shared" si="13"/>
        <v>sz</v>
      </c>
      <c r="B827" s="24" t="s">
        <v>6393</v>
      </c>
      <c r="C827" s="24" t="str">
        <f t="shared" si="12"/>
        <v>'002460.SZ'</v>
      </c>
    </row>
    <row r="828" spans="1:3" x14ac:dyDescent="0.35">
      <c r="A828" s="24" t="str">
        <f t="shared" si="13"/>
        <v>sh</v>
      </c>
      <c r="B828" s="24" t="s">
        <v>6394</v>
      </c>
      <c r="C828" s="24" t="str">
        <f t="shared" si="12"/>
        <v>'600438.SS'</v>
      </c>
    </row>
    <row r="829" spans="1:3" x14ac:dyDescent="0.35">
      <c r="A829" s="24" t="str">
        <f t="shared" si="13"/>
        <v>sh</v>
      </c>
      <c r="B829" s="24" t="s">
        <v>6395</v>
      </c>
      <c r="C829" s="24" t="str">
        <f t="shared" si="12"/>
        <v>'600113.SS'</v>
      </c>
    </row>
    <row r="830" spans="1:3" x14ac:dyDescent="0.35">
      <c r="A830" s="24" t="str">
        <f t="shared" si="13"/>
        <v>sz</v>
      </c>
      <c r="B830" s="24" t="s">
        <v>6396</v>
      </c>
      <c r="C830" s="24" t="str">
        <f t="shared" si="12"/>
        <v>'300639.SZ'</v>
      </c>
    </row>
    <row r="831" spans="1:3" x14ac:dyDescent="0.35">
      <c r="A831" s="24" t="str">
        <f t="shared" si="13"/>
        <v>sh</v>
      </c>
      <c r="B831" s="24" t="s">
        <v>6397</v>
      </c>
      <c r="C831" s="24" t="str">
        <f t="shared" si="12"/>
        <v>'603565.SS'</v>
      </c>
    </row>
    <row r="832" spans="1:3" x14ac:dyDescent="0.35">
      <c r="A832" s="24" t="str">
        <f t="shared" si="13"/>
        <v>sz</v>
      </c>
      <c r="B832" s="24" t="s">
        <v>6398</v>
      </c>
      <c r="C832" s="24" t="str">
        <f t="shared" si="12"/>
        <v>'002466.SZ'</v>
      </c>
    </row>
    <row r="833" spans="1:3" x14ac:dyDescent="0.35">
      <c r="A833" s="24" t="str">
        <f t="shared" si="13"/>
        <v>sh</v>
      </c>
      <c r="B833" s="24" t="s">
        <v>6399</v>
      </c>
      <c r="C833" s="24" t="str">
        <f t="shared" si="12"/>
        <v>'605399.SS'</v>
      </c>
    </row>
    <row r="834" spans="1:3" x14ac:dyDescent="0.35">
      <c r="A834" s="24" t="str">
        <f t="shared" si="13"/>
        <v>sh</v>
      </c>
      <c r="B834" s="24" t="s">
        <v>6400</v>
      </c>
      <c r="C834" s="24" t="str">
        <f t="shared" si="12"/>
        <v>'601928.SS'</v>
      </c>
    </row>
    <row r="835" spans="1:3" x14ac:dyDescent="0.35">
      <c r="A835" s="24" t="str">
        <f t="shared" si="13"/>
        <v>sh</v>
      </c>
      <c r="B835" s="24" t="s">
        <v>6401</v>
      </c>
      <c r="C835" s="24" t="str">
        <f t="shared" ref="C835:C856" si="14">CONCATENATE("'",B835,IF(A835="sh",".SS'",".SZ'"))</f>
        <v>'600188.SS'</v>
      </c>
    </row>
    <row r="836" spans="1:3" x14ac:dyDescent="0.35">
      <c r="A836" s="24" t="str">
        <f t="shared" si="13"/>
        <v>sz</v>
      </c>
      <c r="B836" s="24" t="s">
        <v>6402</v>
      </c>
      <c r="C836" s="24" t="str">
        <f t="shared" si="14"/>
        <v>'002175.SZ'</v>
      </c>
    </row>
    <row r="837" spans="1:3" x14ac:dyDescent="0.35">
      <c r="A837" s="24" t="str">
        <f t="shared" si="13"/>
        <v>sh</v>
      </c>
      <c r="B837" s="24" t="s">
        <v>6403</v>
      </c>
      <c r="C837" s="24" t="str">
        <f t="shared" si="14"/>
        <v>'600403.SS'</v>
      </c>
    </row>
    <row r="838" spans="1:3" x14ac:dyDescent="0.35">
      <c r="A838" s="24" t="str">
        <f t="shared" si="13"/>
        <v>sh</v>
      </c>
      <c r="B838" s="24" t="s">
        <v>6404</v>
      </c>
      <c r="C838" s="24" t="str">
        <f t="shared" si="14"/>
        <v>'600035.SS'</v>
      </c>
    </row>
    <row r="839" spans="1:3" x14ac:dyDescent="0.35">
      <c r="A839" s="24" t="str">
        <f t="shared" si="13"/>
        <v>sh</v>
      </c>
      <c r="B839" s="24" t="s">
        <v>6405</v>
      </c>
      <c r="C839" s="24" t="str">
        <f t="shared" si="14"/>
        <v>'600596.SS'</v>
      </c>
    </row>
    <row r="840" spans="1:3" x14ac:dyDescent="0.35">
      <c r="A840" s="24" t="str">
        <f t="shared" si="13"/>
        <v>sz</v>
      </c>
      <c r="B840" s="24" t="s">
        <v>6406</v>
      </c>
      <c r="C840" s="24" t="str">
        <f t="shared" si="14"/>
        <v>'002759.SZ'</v>
      </c>
    </row>
    <row r="841" spans="1:3" x14ac:dyDescent="0.35">
      <c r="A841" s="24" t="str">
        <f t="shared" si="13"/>
        <v>sz</v>
      </c>
      <c r="B841" s="24" t="s">
        <v>6407</v>
      </c>
      <c r="C841" s="24" t="str">
        <f t="shared" si="14"/>
        <v>'300256.SZ'</v>
      </c>
    </row>
    <row r="842" spans="1:3" x14ac:dyDescent="0.35">
      <c r="A842" s="24" t="str">
        <f t="shared" si="13"/>
        <v>sh</v>
      </c>
      <c r="B842" s="24" t="s">
        <v>6408</v>
      </c>
      <c r="C842" s="24" t="str">
        <f t="shared" si="14"/>
        <v>'600382.SS'</v>
      </c>
    </row>
    <row r="843" spans="1:3" x14ac:dyDescent="0.35">
      <c r="A843" s="24" t="str">
        <f t="shared" si="13"/>
        <v>sh</v>
      </c>
      <c r="B843" s="24" t="s">
        <v>6409</v>
      </c>
      <c r="C843" s="24" t="str">
        <f t="shared" si="14"/>
        <v>'600104.SS'</v>
      </c>
    </row>
    <row r="844" spans="1:3" x14ac:dyDescent="0.35">
      <c r="A844" s="24" t="str">
        <f t="shared" si="13"/>
        <v>sz</v>
      </c>
      <c r="B844" s="24" t="s">
        <v>6410</v>
      </c>
      <c r="C844" s="24" t="str">
        <f t="shared" si="14"/>
        <v>'300343.SZ'</v>
      </c>
    </row>
    <row r="845" spans="1:3" x14ac:dyDescent="0.35">
      <c r="A845" s="24" t="str">
        <f t="shared" si="13"/>
        <v>sz</v>
      </c>
      <c r="B845" s="24" t="s">
        <v>6411</v>
      </c>
      <c r="C845" s="24" t="str">
        <f t="shared" si="14"/>
        <v>'300773.SZ'</v>
      </c>
    </row>
    <row r="846" spans="1:3" x14ac:dyDescent="0.35">
      <c r="A846" s="24" t="str">
        <f t="shared" si="13"/>
        <v>sh</v>
      </c>
      <c r="B846" s="24" t="s">
        <v>6412</v>
      </c>
      <c r="C846" s="24" t="str">
        <f t="shared" si="14"/>
        <v>'600348.SS'</v>
      </c>
    </row>
    <row r="847" spans="1:3" x14ac:dyDescent="0.35">
      <c r="A847" s="24" t="str">
        <f t="shared" si="13"/>
        <v>sz</v>
      </c>
      <c r="B847" s="24" t="s">
        <v>6413</v>
      </c>
      <c r="C847" s="24" t="str">
        <f t="shared" si="14"/>
        <v>'000848.SZ'</v>
      </c>
    </row>
    <row r="848" spans="1:3" x14ac:dyDescent="0.35">
      <c r="A848" s="24" t="str">
        <f t="shared" si="13"/>
        <v>sh</v>
      </c>
      <c r="B848" s="24" t="s">
        <v>6414</v>
      </c>
      <c r="C848" s="24" t="str">
        <f t="shared" si="14"/>
        <v>'603519.SS'</v>
      </c>
    </row>
    <row r="849" spans="1:3" x14ac:dyDescent="0.35">
      <c r="A849" s="24" t="str">
        <f t="shared" si="13"/>
        <v>sh</v>
      </c>
      <c r="B849" s="24" t="s">
        <v>6415</v>
      </c>
      <c r="C849" s="24" t="str">
        <f t="shared" si="14"/>
        <v>'600284.SS'</v>
      </c>
    </row>
    <row r="850" spans="1:3" x14ac:dyDescent="0.35">
      <c r="A850" s="24" t="str">
        <f t="shared" si="13"/>
        <v>sh</v>
      </c>
      <c r="B850" s="24" t="s">
        <v>6416</v>
      </c>
      <c r="C850" s="24" t="str">
        <f t="shared" si="14"/>
        <v>'603071.SS'</v>
      </c>
    </row>
    <row r="851" spans="1:3" x14ac:dyDescent="0.35">
      <c r="A851" s="24" t="str">
        <f t="shared" si="13"/>
        <v>sh</v>
      </c>
      <c r="B851" s="24" t="s">
        <v>6417</v>
      </c>
      <c r="C851" s="24" t="str">
        <f t="shared" si="14"/>
        <v>'603213.SS'</v>
      </c>
    </row>
    <row r="852" spans="1:3" x14ac:dyDescent="0.35">
      <c r="A852" s="24" t="str">
        <f t="shared" si="13"/>
        <v>sh</v>
      </c>
      <c r="B852" s="24" t="s">
        <v>6418</v>
      </c>
      <c r="C852" s="24" t="str">
        <f t="shared" si="14"/>
        <v>'600518.SS'</v>
      </c>
    </row>
    <row r="853" spans="1:3" x14ac:dyDescent="0.35">
      <c r="A853" s="24" t="str">
        <f t="shared" si="13"/>
        <v>sh</v>
      </c>
      <c r="B853" s="24" t="s">
        <v>6419</v>
      </c>
      <c r="C853" s="24" t="str">
        <f t="shared" si="14"/>
        <v>'600121.SS'</v>
      </c>
    </row>
    <row r="854" spans="1:3" x14ac:dyDescent="0.35">
      <c r="A854" s="24" t="str">
        <f t="shared" si="13"/>
        <v>sz</v>
      </c>
      <c r="B854" s="24" t="s">
        <v>6420</v>
      </c>
      <c r="C854" s="24" t="str">
        <f t="shared" si="14"/>
        <v>'000408.SZ'</v>
      </c>
    </row>
    <row r="855" spans="1:3" x14ac:dyDescent="0.35">
      <c r="A855" s="24" t="str">
        <f t="shared" si="13"/>
        <v>sh</v>
      </c>
      <c r="B855" s="24" t="s">
        <v>6421</v>
      </c>
      <c r="C855" s="24" t="str">
        <f t="shared" si="14"/>
        <v>'600123.SS'</v>
      </c>
    </row>
    <row r="856" spans="1:3" x14ac:dyDescent="0.35">
      <c r="A856" s="24" t="str">
        <f t="shared" si="13"/>
        <v>sh</v>
      </c>
      <c r="B856" s="24" t="s">
        <v>6422</v>
      </c>
      <c r="C856" s="24" t="str">
        <f t="shared" si="14"/>
        <v>'600970.SS'</v>
      </c>
    </row>
    <row r="858" spans="1:3" x14ac:dyDescent="0.35">
      <c r="C858" s="24" t="str">
        <f>ConcatDelim(C2:C856,",")</f>
        <v>'301338.SZ','688322.SS','001316.SZ','002617.SZ','001339.SZ','002247.SZ','605068.SS','300701.SZ','002975.SZ','301212.SZ','603023.SS','688110.SS','301149.SZ','300239.SZ','301270.SZ','002892.SZ','605296.SS','301200.SZ','001238.SZ','600523.SS','601958.SS','300251.SZ','000975.SZ','600211.SS','300548.SZ','002275.SZ','688108.SS','300821.SZ','301234.SZ','300951.SZ','002577.SZ','605580.SS','001266.SZ','301128.SZ','300921.SZ','300887.SZ','000962.SZ','603888.SS','300943.SZ','300853.SZ','001234.SZ','600993.SS','000860.SZ','605339.SS','688291.SS','601975.SS','688080.SS','301349.SZ','002515.SZ','688511.SS','001259.SZ','688045.SS','688292.SS','605198.SS','603099.SS','300768.SZ','000810.SZ','688280.SS','301171.SZ','000913.SZ','002820.SZ','001226.SZ','002597.SZ','301175.SZ','301097.SZ','301056.SZ','603516.SS','688656.SS','300845.SZ','603992.SS','002145.SZ','688626.SS','000519.SZ','300817.SZ','603303.SS','688282.SS','600770.SS','603528.SS','300843.SZ','603160.SS','688020.SS','688058.SS','301023.SZ','002884.SZ','300445.SZ','300570.SZ','300494.SZ','605077.SS','688169.SS','002497.SZ','002749.SZ','688061.SS','002651.SZ','688076.SS','002486.SZ','300654.SZ','688689.SS','600749.SS','300502.SZ','002136.SZ','301298.SZ','301102.SZ','300351.SZ','300451.SZ','002695.SZ','600602.SS','301138.SZ','002362.SZ','688410.SS','600241.SS','605305.SS','301285.SZ','688033.SS','000935.SZ','688310.SS','002148.SZ','688409.SS','601890.SS','688137.SS','002835.SZ','300939.SZ','300888.SZ','603155.SS','688196.SS','300369.SZ','600426.SS','605009.SS','002315.SZ','300333.SZ','301159.SZ','600576.SS','601595.SS','300796.SZ','301181.SZ','301369.SZ','001231.SZ','605080.SS','002978.SZ','688267.SS','301238.SZ','688246.SS','603583.SS','300791.SZ','000893.SZ','301083.SZ','301191.SZ','300770.SZ','300766.SZ','603237.SS','000538.SZ','300993.SZ','603922.SS','301215.SZ','301119.SZ','300819.SZ','300915.SZ','603551.SS','688132.SS','603387.SS','002001.SZ','300667.SZ','000423.SZ','603533.SS','001216.SZ','300360.SZ','300922.SZ','603757.SS','301016.SZ','300378.SZ','688244.SS','600566.SS','600538.SS','300414.SZ','002760.SZ','002580.SZ','688566.SS','002984.SZ','003027.SZ','301282.SZ','301331.SZ','300497.SZ','300294.SZ','300018.SZ','301130.SZ','688030.SS','600557.SS','301218.SZ','688303.SS','002982.SZ','688286.SS','688087.SS','002646.SZ','002833.SZ','300531.SZ','300673.SZ','300397.SZ','301067.SZ','000403.SZ','605028.SS','002354.SZ','300792.SZ','301185.SZ','002033.SZ','300066.SZ','688613.SS','002970.SZ','688981.SS','301300.SZ','002561.SZ','601089.SS','300288.SZ','300527.SZ','688302.SS','002194.SZ','600750.SS','301188.SZ','300642.SZ','688273.SS','002166.SZ','301103.SZ','002609.SZ','603189.SS','301009.SZ','603128.SS','300112.SZ','300109.SZ','301132.SZ','300765.SZ','605398.SS','300928.SZ','002956.SZ','603217.SS','688580.SS','688136.SS','002127.SZ','002755.SZ','688387.SS','301152.SZ','300785.SZ','300825.SZ','001332.SZ','300786.SZ','301136.SZ','300985.SZ','300873.SZ','600616.SS','300365.SZ','605599.SS','603040.SS','300317.SZ','688658.SS','688608.SS','301000.SZ','603599.SS','001212.SZ','002660.SZ','301100.SZ','600226.SS','301121.SZ','301107.SZ','600783.SS','300305.SZ','601969.SS','301019.SZ','688203.SS','002650.SZ','000416.SZ','301077.SZ','002643.SZ','605086.SS','600645.SS','603068.SS','605377.SS','600053.SS','301049.SZ','688687.SS','000513.SZ','300248.SZ','301201.SZ','001331.SZ','688079.SS','300892.SZ','300543.SZ','605259.SS','301092.SZ','003010.SZ','300875.SZ','300448.SZ','688176.SS','300386.SZ','300456.SZ','603199.SS','002405.SZ','603258.SS','688182.SS','002933.SZ','300039.SZ','300660.SZ','605555.SS','002312.SZ','600110.SS','002678.SZ','301389.SZ','688217.SS','002020.SZ','600641.SS','002270.SZ','001217.SZ','605033.SS','300908.SZ','688168.SS','301187.SZ','688265.SS','603187.SS','300935.SZ','600246.SS','002993.SZ','300676.SZ','000997.SZ','688189.SS','688230.SS','688210.SS','600419.SS','300860.SZ','301027.SZ','002152.SZ','300798.SZ','600977.SS','002790.SZ','300105.SZ','605588.SS','300007.SZ','002308.SZ','301222.SZ','002869.SZ','688130.SS','002773.SZ','002825.SZ','300236.SZ','301003.SZ','301163.SZ','301047.SZ','605136.SS','605507.SS','300042.SZ','688163.SS','600868.SS','002332.SZ','603015.SS','600573.SS','002658.SZ','300139.SZ','000729.SZ','603698.SS','688039.SS','002273.SZ','603859.SS','600201.SS','688325.SS','002229.SZ','002705.SZ','600054.SS','300170.SZ','300562.SZ','300429.SZ','300901.SZ','002900.SZ','002495.SZ','603711.SS','300130.SZ','688455.SS','301326.SZ','688115.SS','301205.SZ','688125.SS','301220.SZ','603052.SS','600838.SS','688158.SS','301042.SZ','002819.SZ','301258.SZ','600062.SS','300810.SZ','301006.SZ','603798.SS','603587.SS','002263.SZ','300741.SZ','605090.SS','301248.SZ','603956.SS','000722.SZ','002444.SZ','002297.SZ','603087.SS','300597.SZ','605389.SS','603109.SS','300989.SZ','301127.SZ','000045.SZ','300107.SZ','603102.SS','300801.SZ','301197.SZ','603201.SS','300965.SZ','000888.SZ','688207.SS','003008.SZ','300959.SZ','600730.SS','300246.SZ','000565.SZ','603115.SS','688799.SS','688353.SS','600735.SS','301221.SZ','301086.SZ','603002.SS','002330.SZ','600880.SS','603810.SS','603535.SS','301190.SZ','688228.SS','001210.SZ','600724.SS','000869.SZ','605289.SS','301366.SZ','300683.SZ','688049.SS','301166.SZ','600794.SS','300148.SZ','300081.SZ','300006.SZ','300308.SZ','600640.SS','301135.SZ','688330.SS','300822.SZ','603687.SS','601156.SS','300435.SZ','300315.SZ','600613.SS','300155.SZ','603301.SS','300016.SZ','688175.SS','603106.SS','603010.SS','688227.SS','688767.SS','605018.SS','605180.SS','300183.SZ','603036.SS','688426.SS','301186.SZ','301217.SZ','300002.SZ','603393.SS','603948.SS','688416.SS','301309.SZ','001230.SZ','688335.SS','301227.SZ','300788.SZ','601579.SS','300609.SZ','002174.SZ','603339.SS','301106.SZ','603790.SS','688253.SS','601116.SS','605169.SS','301219.SZ','688275.SS','300818.SZ','300652.SZ','300805.SZ','301318.SZ','600007.SS','301110.SZ','688011.SS','688338.SS','688073.SS','688289.SS','600080.SS','301150.SZ','300771.SZ','003023.SZ','688553.SS','002012.SZ','600679.SS','000429.SZ','601225.SS','300968.SZ','301065.SZ','603168.SS','002461.SZ','605003.SS','003018.SZ','301176.SZ','601388.SS','301115.SZ','301139.SZ','300326.SZ','688332.SS','301265.SZ','002519.SZ','000715.SZ','300306.SZ','603390.SS','300245.SZ','688336.SS','003041.SZ','002962.SZ','301279.SZ','603630.SS','300193.SZ','603999.SS','688312.SS','600380.SS','000859.SZ','300079.SZ','301365.SZ','430139.SZ','600746.SS','301123.SZ','300289.SZ','002649.SZ','300485.SZ','688393.SS','688737.SS','603508.SS','603230.SS','002053.SZ','300641.SZ','603006.SS','002492.SZ','301330.SZ','000676.SZ','301290.SZ','300729.SZ','301206.SZ','688571.SS','002951.SZ','601568.SS','605336.SS','000096.SZ','000529.SZ','603950.SS','300834.SZ','301237.SZ','600866.SS','688550.SS','600135.SS','603079.SS','600398.SS','600859.SS','000886.SZ','688062.SS','001209.SZ','688184.SS','688095.SS','603096.SS','603165.SS','600636.SS','301199.SZ','603579.SS','688317.SS','301356.SZ','600059.SS','002331.SZ','605566.SS','300735.SZ','300154.SZ','000537.SZ','301108.SZ','603163.SS','600229.SS','688172.SS','600179.SS','002038.SZ','688151.SS','688068.SS','301087.SZ','002064.SZ','301088.SZ','002469.SZ','603767.SS','600527.SS','688569.SS','600516.SS','300004.SZ','603556.SS','600825.SS','002108.SZ','601360.SS','300017.SZ','002763.SZ','600814.SS','603758.SS','600618.SS','688069.SS','002173.SZ','301093.SZ','600187.SS','300137.SZ','603041.SS','002181.SZ','300196.SZ','600650.SS','002932.SZ','301148.SZ','000813.SZ','300133.SZ','600271.SS','002252.SZ','601872.SS','002243.SZ','600106.SS','000636.SZ','301196.SZ','300883.SZ','688788.SS','301151.SZ','601218.SS','601515.SS','603077.SS','301061.SZ','688399.SS','600167.SS','605189.SS','600987.SS','301276.SZ','002177.SZ','603590.SS','688075.SS','002100.SZ','601088.SS','300259.SZ','300381.SZ','688298.SS','600252.SS','605577.SS','603511.SS','000631.SZ','600052.SS','000833.SZ','688739.SS','605288.SS','600535.SS','603585.SS','002381.SZ','003016.SZ','600249.SS','600955.SS','001296.SZ','300800.SZ','300695.SZ','300970.SZ','688370.SS','601921.SS','601001.SS','603610.SS','605500.SS','002558.SZ','300976.SZ','000919.SZ','002026.SZ','601616.SS','605177.SS','001218.SZ','002224.SZ','001288.SZ','688606.SS','000655.SZ','002022.SZ','601222.SS','002588.SZ','600830.SS','000557.SZ','605100.SS','600395.SS','002659.SZ','603766.SS','600938.SS','002627.SZ','000690.SZ','603788.SS','688057.SS','300572.SZ','002435.SZ','000731.SZ','601098.SS','000639.SZ','002195.SZ','603586.SS','603095.SS','002432.SZ','000912.SZ','601228.SS','600097.SS','300230.SZ','000036.SZ','002887.SZ','002638.SZ','000088.SZ','000419.SZ','002282.SZ','600633.SS','300983.SZ','002322.SZ','300599.SZ','000099.SZ','600503.SS','600874.SS','300291.SZ','002106.SZ','600018.SS','002109.SZ','601996.SS','600420.SS','000725.SZ','600854.SS','603869.SS','600628.SS','600125.SS','000635.SZ','600568.SS','000828.SZ','001213.SZ','002091.SZ','002772.SZ','600012.SS','601811.SS','601019.SS','000789.SZ','000719.SZ','000923.SZ','603727.SS','603900.SS','601018.SS','002574.SZ','601989.SS','600751.SS','300271.SZ','601188.SS','300981.SZ','002406.SZ','600075.SS','601801.SS','300677.SZ','603116.SS','688459.SS','601326.SS','002393.SZ','000552.SZ','601919.SS','002440.SZ','600037.SS','600219.SS','601000.SS','603003.SS','601101.SS','600585.SS','002582.SZ','600971.SS','601006.SS','002067.SZ','600637.SS','002233.SZ','600373.SS','600997.SS','600676.SS','002382.SZ','000726.SZ','000627.SZ','600126.SS','000623.SZ','600716.SS','601107.SS','600894.SS','600507.SS','600662.SS','000651.SZ','600782.SS','000550.SZ','000523.SZ','002116.SZ','600546.SS','002668.SZ','000928.SZ','000921.SZ','601699.SS','002356.SZ','002030.SZ','300390.SZ','605166.SS','600777.SS','000626.SZ','600511.SS','300158.SZ','000822.SZ','600078.SS','002758.SZ','601117.SS','000707.SZ','600846.SS','002756.SZ','002164.SZ','600389.SS','002240.SZ','600820.SS','000404.SZ','000792.SZ','002460.SZ','600438.SS','600113.SS','300639.SZ','603565.SS','002466.SZ','605399.SS','601928.SS','600188.SS','002175.SZ','600403.SS','600035.SS','600596.SS','002759.SZ','300256.SZ','600382.SS','600104.SS','300343.SZ','300773.SZ','600348.SS','000848.SZ','603519.SS','600284.SS','603071.SS','603213.SS','600518.SS','600121.SS','000408.SZ','600123.SS','600970.SS'</v>
      </c>
    </row>
    <row r="860" spans="1:3" x14ac:dyDescent="0.35">
      <c r="C860" s="24" t="s">
        <v>6423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5E3EF-CEC5-46CC-8AC4-04E22AB32F11}">
  <dimension ref="A1:I681"/>
  <sheetViews>
    <sheetView topLeftCell="A659" workbookViewId="0">
      <selection activeCell="C679" sqref="C679"/>
    </sheetView>
  </sheetViews>
  <sheetFormatPr defaultRowHeight="14.5" x14ac:dyDescent="0.35"/>
  <cols>
    <col min="1" max="16384" width="8.7265625" style="24"/>
  </cols>
  <sheetData>
    <row r="1" spans="1:9" x14ac:dyDescent="0.35">
      <c r="A1" s="24" t="s">
        <v>844</v>
      </c>
      <c r="B1" s="24" t="s">
        <v>845</v>
      </c>
      <c r="D1" s="24" t="s">
        <v>846</v>
      </c>
      <c r="E1" s="24" t="s">
        <v>3237</v>
      </c>
      <c r="F1" s="24" t="s">
        <v>5042</v>
      </c>
      <c r="G1" s="24" t="s">
        <v>5043</v>
      </c>
      <c r="H1" s="24" t="s">
        <v>849</v>
      </c>
      <c r="I1" s="24" t="s">
        <v>850</v>
      </c>
    </row>
    <row r="2" spans="1:9" x14ac:dyDescent="0.35">
      <c r="A2" s="24" t="s">
        <v>5044</v>
      </c>
      <c r="B2" s="24" t="str">
        <f>"W"</f>
        <v>W</v>
      </c>
      <c r="C2" s="24" t="str">
        <f>"'"&amp;B2&amp;"'"</f>
        <v>'W'</v>
      </c>
      <c r="D2" s="24" t="s">
        <v>5045</v>
      </c>
      <c r="E2" s="24">
        <v>-1.5969</v>
      </c>
      <c r="F2" s="24">
        <v>1.0219</v>
      </c>
      <c r="G2" s="24">
        <v>3797473942.8499999</v>
      </c>
      <c r="H2" s="24">
        <v>14</v>
      </c>
      <c r="I2" s="24" t="s">
        <v>5046</v>
      </c>
    </row>
    <row r="3" spans="1:9" x14ac:dyDescent="0.35">
      <c r="A3" s="24" t="s">
        <v>5044</v>
      </c>
      <c r="B3" s="24" t="str">
        <f>"DPZ"</f>
        <v>DPZ</v>
      </c>
      <c r="C3" s="24" t="str">
        <f t="shared" ref="C3:C66" si="0">"'"&amp;B3&amp;"'"</f>
        <v>'DPZ'</v>
      </c>
      <c r="D3" s="24" t="s">
        <v>5047</v>
      </c>
      <c r="E3" s="24">
        <v>-2.8163</v>
      </c>
      <c r="F3" s="24">
        <v>1.4699</v>
      </c>
      <c r="G3" s="24">
        <v>11994371586.57</v>
      </c>
      <c r="H3" s="24">
        <v>14</v>
      </c>
      <c r="I3" s="24" t="s">
        <v>5048</v>
      </c>
    </row>
    <row r="4" spans="1:9" x14ac:dyDescent="0.35">
      <c r="A4" s="24" t="s">
        <v>5049</v>
      </c>
      <c r="B4" s="24" t="str">
        <f>"SABR"</f>
        <v>SABR</v>
      </c>
      <c r="C4" s="24" t="str">
        <f t="shared" si="0"/>
        <v>'SABR'</v>
      </c>
      <c r="D4" s="24" t="s">
        <v>5050</v>
      </c>
      <c r="E4" s="24">
        <v>-2.9479000000000002</v>
      </c>
      <c r="F4" s="24">
        <v>1.8879999999999999</v>
      </c>
      <c r="G4" s="24">
        <v>2190169277.3699999</v>
      </c>
      <c r="H4" s="24">
        <v>2</v>
      </c>
      <c r="I4" s="24" t="s">
        <v>5051</v>
      </c>
    </row>
    <row r="5" spans="1:9" x14ac:dyDescent="0.35">
      <c r="A5" s="24" t="s">
        <v>5049</v>
      </c>
      <c r="B5" s="24" t="str">
        <f>"EVOP"</f>
        <v>EVOP</v>
      </c>
      <c r="C5" s="24" t="str">
        <f t="shared" si="0"/>
        <v>'EVOP'</v>
      </c>
      <c r="D5" s="24" t="s">
        <v>5052</v>
      </c>
      <c r="E5" s="24">
        <v>-3.1242000000000001</v>
      </c>
      <c r="F5" s="24">
        <v>1.3421000000000001</v>
      </c>
      <c r="G5" s="24">
        <v>2851033670.4000001</v>
      </c>
      <c r="H5" s="24">
        <v>0</v>
      </c>
      <c r="I5" s="24" t="s">
        <v>5053</v>
      </c>
    </row>
    <row r="6" spans="1:9" x14ac:dyDescent="0.35">
      <c r="A6" s="24" t="s">
        <v>5049</v>
      </c>
      <c r="B6" s="24" t="str">
        <f>"ACDC"</f>
        <v>ACDC</v>
      </c>
      <c r="C6" s="24" t="str">
        <f t="shared" si="0"/>
        <v>'ACDC'</v>
      </c>
      <c r="D6" s="24" t="s">
        <v>5054</v>
      </c>
      <c r="E6" s="24">
        <v>-3.8980000000000001</v>
      </c>
      <c r="F6" s="24">
        <v>1.5335000000000001</v>
      </c>
      <c r="G6" s="24">
        <v>3379456750.0500002</v>
      </c>
      <c r="H6" s="24">
        <v>0</v>
      </c>
      <c r="I6" s="24" t="s">
        <v>5055</v>
      </c>
    </row>
    <row r="7" spans="1:9" x14ac:dyDescent="0.35">
      <c r="A7" s="24" t="s">
        <v>5044</v>
      </c>
      <c r="B7" s="24" t="str">
        <f>"BBWI"</f>
        <v>BBWI</v>
      </c>
      <c r="C7" s="24" t="str">
        <f t="shared" si="0"/>
        <v>'BBWI'</v>
      </c>
      <c r="D7" s="24" t="s">
        <v>5056</v>
      </c>
      <c r="E7" s="24">
        <v>-4.0259</v>
      </c>
      <c r="F7" s="24">
        <v>1.3415999999999999</v>
      </c>
      <c r="G7" s="24">
        <v>10687519835.85</v>
      </c>
      <c r="H7" s="24">
        <v>7</v>
      </c>
      <c r="I7" s="24" t="s">
        <v>5057</v>
      </c>
    </row>
    <row r="8" spans="1:9" x14ac:dyDescent="0.35">
      <c r="A8" s="24" t="s">
        <v>5044</v>
      </c>
      <c r="B8" s="24" t="str">
        <f>"YUM"</f>
        <v>YUM</v>
      </c>
      <c r="C8" s="24" t="str">
        <f t="shared" si="0"/>
        <v>'YUM'</v>
      </c>
      <c r="D8" s="24" t="s">
        <v>5058</v>
      </c>
      <c r="E8" s="24">
        <v>-4.1334</v>
      </c>
      <c r="F8" s="24">
        <v>1.2822</v>
      </c>
      <c r="G8" s="24">
        <v>35971540488.199997</v>
      </c>
      <c r="H8" s="24">
        <v>14</v>
      </c>
      <c r="I8" s="24" t="s">
        <v>5059</v>
      </c>
    </row>
    <row r="9" spans="1:9" x14ac:dyDescent="0.35">
      <c r="A9" s="24" t="s">
        <v>5044</v>
      </c>
      <c r="B9" s="24" t="str">
        <f>"KNTK"</f>
        <v>KNTK</v>
      </c>
      <c r="C9" s="24" t="str">
        <f t="shared" si="0"/>
        <v>'KNTK'</v>
      </c>
      <c r="D9" s="24" t="s">
        <v>5060</v>
      </c>
      <c r="E9" s="24">
        <v>-4.641</v>
      </c>
      <c r="F9" s="24">
        <v>1.1198999999999999</v>
      </c>
      <c r="G9" s="24">
        <v>4343075204.3400002</v>
      </c>
      <c r="H9" s="24">
        <v>0</v>
      </c>
      <c r="I9" s="24" t="s">
        <v>5061</v>
      </c>
    </row>
    <row r="10" spans="1:9" x14ac:dyDescent="0.35">
      <c r="A10" s="24" t="s">
        <v>5044</v>
      </c>
      <c r="B10" s="24" t="str">
        <f>"FUN"</f>
        <v>FUN</v>
      </c>
      <c r="C10" s="24" t="str">
        <f t="shared" si="0"/>
        <v>'FUN'</v>
      </c>
      <c r="D10" s="24" t="s">
        <v>5062</v>
      </c>
      <c r="E10" s="24">
        <v>-4.7092000000000001</v>
      </c>
      <c r="F10" s="24">
        <v>0.95130000000000003</v>
      </c>
      <c r="G10" s="24">
        <v>2293854609.2399998</v>
      </c>
      <c r="H10" s="24">
        <v>1</v>
      </c>
      <c r="I10" s="24" t="s">
        <v>5063</v>
      </c>
    </row>
    <row r="11" spans="1:9" x14ac:dyDescent="0.35">
      <c r="A11" s="24" t="s">
        <v>5044</v>
      </c>
      <c r="B11" s="24" t="str">
        <f>"BHC"</f>
        <v>BHC</v>
      </c>
      <c r="C11" s="24" t="str">
        <f t="shared" si="0"/>
        <v>'BHC'</v>
      </c>
      <c r="D11" s="24" t="s">
        <v>5064</v>
      </c>
      <c r="E11" s="24">
        <v>-4.9352</v>
      </c>
      <c r="F11" s="24">
        <v>1.0467</v>
      </c>
      <c r="G11" s="24">
        <v>2590975817.96</v>
      </c>
      <c r="H11" s="24">
        <v>0</v>
      </c>
      <c r="I11" s="24" t="s">
        <v>5065</v>
      </c>
    </row>
    <row r="12" spans="1:9" x14ac:dyDescent="0.35">
      <c r="A12" s="24" t="s">
        <v>5044</v>
      </c>
      <c r="B12" s="24" t="str">
        <f>"MYOV"</f>
        <v>MYOV</v>
      </c>
      <c r="C12" s="24" t="str">
        <f t="shared" si="0"/>
        <v>'MYOV'</v>
      </c>
      <c r="D12" s="24" t="s">
        <v>5066</v>
      </c>
      <c r="E12" s="24">
        <v>-5.0716999999999999</v>
      </c>
      <c r="F12" s="24">
        <v>1.8312999999999999</v>
      </c>
      <c r="G12" s="24">
        <v>2603027507.1199999</v>
      </c>
      <c r="H12" s="24">
        <v>0</v>
      </c>
      <c r="I12" s="24" t="s">
        <v>5067</v>
      </c>
    </row>
    <row r="13" spans="1:9" x14ac:dyDescent="0.35">
      <c r="A13" s="24" t="s">
        <v>5049</v>
      </c>
      <c r="B13" s="24" t="str">
        <f>"CCOI"</f>
        <v>CCOI</v>
      </c>
      <c r="C13" s="24" t="str">
        <f t="shared" si="0"/>
        <v>'CCOI'</v>
      </c>
      <c r="D13" s="24" t="s">
        <v>5068</v>
      </c>
      <c r="E13" s="24">
        <v>-5.2446000000000002</v>
      </c>
      <c r="F13" s="24">
        <v>3.4003000000000001</v>
      </c>
      <c r="G13" s="24">
        <v>2809547657.8400002</v>
      </c>
      <c r="H13" s="24">
        <v>0</v>
      </c>
      <c r="I13" s="24" t="s">
        <v>5069</v>
      </c>
    </row>
    <row r="14" spans="1:9" x14ac:dyDescent="0.35">
      <c r="A14" s="24" t="s">
        <v>5044</v>
      </c>
      <c r="B14" s="24" t="str">
        <f>"OGN"</f>
        <v>OGN</v>
      </c>
      <c r="C14" s="24" t="str">
        <f t="shared" si="0"/>
        <v>'OGN'</v>
      </c>
      <c r="D14" s="24" t="s">
        <v>5070</v>
      </c>
      <c r="E14" s="24">
        <v>-6.4507000000000003</v>
      </c>
      <c r="F14" s="24">
        <v>1.5429999999999999</v>
      </c>
      <c r="G14" s="24">
        <v>7335869555.5600004</v>
      </c>
      <c r="H14" s="24">
        <v>4</v>
      </c>
      <c r="I14" s="24" t="s">
        <v>5071</v>
      </c>
    </row>
    <row r="15" spans="1:9" x14ac:dyDescent="0.35">
      <c r="A15" s="24" t="s">
        <v>5044</v>
      </c>
      <c r="B15" s="24" t="str">
        <f>"IHG"</f>
        <v>IHG</v>
      </c>
      <c r="C15" s="24" t="str">
        <f t="shared" si="0"/>
        <v>'IHG'</v>
      </c>
      <c r="D15" s="24" t="s">
        <v>5072</v>
      </c>
      <c r="E15" s="24">
        <v>-6.5457999999999998</v>
      </c>
      <c r="G15" s="24">
        <v>11289343680.799999</v>
      </c>
      <c r="H15" s="24">
        <v>2</v>
      </c>
      <c r="I15" s="24" t="s">
        <v>5073</v>
      </c>
    </row>
    <row r="16" spans="1:9" x14ac:dyDescent="0.35">
      <c r="A16" s="24" t="s">
        <v>5044</v>
      </c>
      <c r="B16" s="24" t="str">
        <f>"OTIS"</f>
        <v>OTIS</v>
      </c>
      <c r="C16" s="24" t="str">
        <f t="shared" si="0"/>
        <v>'OTIS'</v>
      </c>
      <c r="D16" s="24" t="s">
        <v>5074</v>
      </c>
      <c r="E16" s="24">
        <v>-6.6314000000000002</v>
      </c>
      <c r="F16" s="24">
        <v>0.9728</v>
      </c>
      <c r="G16" s="24">
        <v>33381042350.009998</v>
      </c>
      <c r="H16" s="24">
        <v>5</v>
      </c>
      <c r="I16" s="24" t="s">
        <v>5075</v>
      </c>
    </row>
    <row r="17" spans="1:9" x14ac:dyDescent="0.35">
      <c r="A17" s="24" t="s">
        <v>5044</v>
      </c>
      <c r="B17" s="24" t="str">
        <f>"BA"</f>
        <v>BA</v>
      </c>
      <c r="C17" s="24" t="str">
        <f t="shared" si="0"/>
        <v>'BA'</v>
      </c>
      <c r="D17" s="24" t="s">
        <v>5076</v>
      </c>
      <c r="E17" s="24">
        <v>-6.9027000000000003</v>
      </c>
      <c r="F17" s="24">
        <v>1.2191000000000001</v>
      </c>
      <c r="G17" s="24">
        <v>122170594528.08</v>
      </c>
      <c r="H17" s="24">
        <v>86</v>
      </c>
      <c r="I17" s="24" t="s">
        <v>5077</v>
      </c>
    </row>
    <row r="18" spans="1:9" x14ac:dyDescent="0.35">
      <c r="A18" s="24" t="s">
        <v>5049</v>
      </c>
      <c r="B18" s="24" t="str">
        <f>"NTNX"</f>
        <v>NTNX</v>
      </c>
      <c r="C18" s="24" t="str">
        <f t="shared" si="0"/>
        <v>'NTNX'</v>
      </c>
      <c r="D18" s="24" t="s">
        <v>5078</v>
      </c>
      <c r="E18" s="24">
        <v>-7.2984999999999998</v>
      </c>
      <c r="F18" s="24">
        <v>1.4568000000000001</v>
      </c>
      <c r="G18" s="24">
        <v>5773474853.6400003</v>
      </c>
      <c r="H18" s="24">
        <v>1</v>
      </c>
      <c r="I18" s="24" t="s">
        <v>5079</v>
      </c>
    </row>
    <row r="19" spans="1:9" x14ac:dyDescent="0.35">
      <c r="A19" s="24" t="s">
        <v>5044</v>
      </c>
      <c r="B19" s="24" t="str">
        <f>"BOX"</f>
        <v>BOX</v>
      </c>
      <c r="C19" s="24" t="str">
        <f t="shared" si="0"/>
        <v>'BOX'</v>
      </c>
      <c r="D19" s="24" t="s">
        <v>5080</v>
      </c>
      <c r="E19" s="24">
        <v>-7.6066000000000003</v>
      </c>
      <c r="F19" s="24">
        <v>1.099</v>
      </c>
      <c r="G19" s="24">
        <v>4317456379.8900003</v>
      </c>
      <c r="H19" s="24">
        <v>2</v>
      </c>
      <c r="I19" s="24" t="s">
        <v>5081</v>
      </c>
    </row>
    <row r="20" spans="1:9" x14ac:dyDescent="0.35">
      <c r="A20" s="24" t="s">
        <v>5049</v>
      </c>
      <c r="B20" s="24" t="str">
        <f>"BCRX"</f>
        <v>BCRX</v>
      </c>
      <c r="C20" s="24" t="str">
        <f t="shared" si="0"/>
        <v>'BCRX'</v>
      </c>
      <c r="D20" s="24" t="s">
        <v>5082</v>
      </c>
      <c r="E20" s="24">
        <v>-9.0038999999999998</v>
      </c>
      <c r="F20" s="24">
        <v>6.2348999999999997</v>
      </c>
      <c r="G20" s="24">
        <v>2184887346.1999998</v>
      </c>
      <c r="H20" s="24">
        <v>0</v>
      </c>
      <c r="I20" s="24" t="s">
        <v>5083</v>
      </c>
    </row>
    <row r="21" spans="1:9" x14ac:dyDescent="0.35">
      <c r="A21" s="24" t="s">
        <v>5044</v>
      </c>
      <c r="B21" s="24" t="str">
        <f>"BRBR"</f>
        <v>BRBR</v>
      </c>
      <c r="C21" s="24" t="str">
        <f t="shared" si="0"/>
        <v>'BRBR'</v>
      </c>
      <c r="D21" s="24" t="s">
        <v>5084</v>
      </c>
      <c r="E21" s="24">
        <v>-9.0792999999999999</v>
      </c>
      <c r="F21" s="24">
        <v>2.9359000000000002</v>
      </c>
      <c r="G21" s="24">
        <v>3415647258.4200001</v>
      </c>
      <c r="H21" s="24">
        <v>0</v>
      </c>
      <c r="I21" s="24" t="s">
        <v>5085</v>
      </c>
    </row>
    <row r="22" spans="1:9" x14ac:dyDescent="0.35">
      <c r="A22" s="24" t="s">
        <v>5044</v>
      </c>
      <c r="B22" s="24" t="str">
        <f>"TDG"</f>
        <v>TDG</v>
      </c>
      <c r="C22" s="24" t="str">
        <f t="shared" si="0"/>
        <v>'TDG'</v>
      </c>
      <c r="D22" s="24" t="s">
        <v>5086</v>
      </c>
      <c r="E22" s="24">
        <v>-9.1722999999999999</v>
      </c>
      <c r="F22" s="24">
        <v>3.9613999999999998</v>
      </c>
      <c r="G22" s="24">
        <v>34607255370.160004</v>
      </c>
      <c r="H22" s="24">
        <v>11</v>
      </c>
      <c r="I22" s="24" t="s">
        <v>5087</v>
      </c>
    </row>
    <row r="23" spans="1:9" x14ac:dyDescent="0.35">
      <c r="A23" s="24" t="s">
        <v>5049</v>
      </c>
      <c r="B23" s="24" t="str">
        <f>"PZZA"</f>
        <v>PZZA</v>
      </c>
      <c r="C23" s="24" t="str">
        <f t="shared" si="0"/>
        <v>'PZZA'</v>
      </c>
      <c r="D23" s="24" t="s">
        <v>5088</v>
      </c>
      <c r="E23" s="24">
        <v>-9.4205000000000005</v>
      </c>
      <c r="F23" s="24">
        <v>0.90820000000000001</v>
      </c>
      <c r="G23" s="24">
        <v>2863346800.6500001</v>
      </c>
      <c r="H23" s="24">
        <v>1</v>
      </c>
      <c r="I23" s="24" t="s">
        <v>5089</v>
      </c>
    </row>
    <row r="24" spans="1:9" x14ac:dyDescent="0.35">
      <c r="A24" s="24" t="s">
        <v>5044</v>
      </c>
      <c r="B24" s="24" t="str">
        <f>"LOW"</f>
        <v>LOW</v>
      </c>
      <c r="C24" s="24" t="str">
        <f t="shared" si="0"/>
        <v>'LOW'</v>
      </c>
      <c r="D24" s="24" t="s">
        <v>5090</v>
      </c>
      <c r="E24" s="24">
        <v>-9.4346999999999994</v>
      </c>
      <c r="F24" s="24">
        <v>1.1971000000000001</v>
      </c>
      <c r="G24" s="24">
        <v>121406135982.75</v>
      </c>
      <c r="H24" s="24">
        <v>18</v>
      </c>
      <c r="I24" s="24" t="s">
        <v>5091</v>
      </c>
    </row>
    <row r="25" spans="1:9" x14ac:dyDescent="0.35">
      <c r="A25" s="24" t="s">
        <v>5049</v>
      </c>
      <c r="B25" s="24" t="str">
        <f>"WING"</f>
        <v>WING</v>
      </c>
      <c r="C25" s="24" t="str">
        <f t="shared" si="0"/>
        <v>'WING'</v>
      </c>
      <c r="D25" s="24" t="s">
        <v>5092</v>
      </c>
      <c r="E25" s="24">
        <v>-9.4702999999999999</v>
      </c>
      <c r="F25" s="24">
        <v>3.6779999999999999</v>
      </c>
      <c r="G25" s="24">
        <v>3958236237.8000002</v>
      </c>
      <c r="H25" s="24">
        <v>2</v>
      </c>
      <c r="I25" s="24" t="s">
        <v>5093</v>
      </c>
    </row>
    <row r="26" spans="1:9" x14ac:dyDescent="0.35">
      <c r="A26" s="24" t="s">
        <v>5049</v>
      </c>
      <c r="B26" s="24" t="str">
        <f>"MLCO"</f>
        <v>MLCO</v>
      </c>
      <c r="C26" s="24" t="str">
        <f t="shared" si="0"/>
        <v>'MLCO'</v>
      </c>
      <c r="D26" s="24" t="s">
        <v>5094</v>
      </c>
      <c r="E26" s="24">
        <v>-9.4951000000000008</v>
      </c>
      <c r="F26" s="24">
        <v>2.3420999999999998</v>
      </c>
      <c r="G26" s="24">
        <v>6343393124.4200001</v>
      </c>
      <c r="H26" s="24">
        <v>3</v>
      </c>
      <c r="I26" s="24" t="s">
        <v>5095</v>
      </c>
    </row>
    <row r="27" spans="1:9" x14ac:dyDescent="0.35">
      <c r="A27" s="24" t="s">
        <v>5044</v>
      </c>
      <c r="B27" s="24" t="str">
        <f>"CAH"</f>
        <v>CAH</v>
      </c>
      <c r="C27" s="24" t="str">
        <f t="shared" si="0"/>
        <v>'CAH'</v>
      </c>
      <c r="D27" s="24" t="s">
        <v>5096</v>
      </c>
      <c r="E27" s="24">
        <v>-10.510400000000001</v>
      </c>
      <c r="F27" s="24">
        <v>1.036</v>
      </c>
      <c r="G27" s="24">
        <v>20084711140.860001</v>
      </c>
      <c r="H27" s="24">
        <v>8</v>
      </c>
      <c r="I27" s="24" t="s">
        <v>5097</v>
      </c>
    </row>
    <row r="28" spans="1:9" x14ac:dyDescent="0.35">
      <c r="A28" s="24" t="s">
        <v>5049</v>
      </c>
      <c r="B28" s="24" t="str">
        <f>"LESL"</f>
        <v>LESL</v>
      </c>
      <c r="C28" s="24" t="str">
        <f t="shared" si="0"/>
        <v>'LESL'</v>
      </c>
      <c r="D28" s="24" t="s">
        <v>5098</v>
      </c>
      <c r="E28" s="24">
        <v>-11.924099999999999</v>
      </c>
      <c r="F28" s="24">
        <v>1.5588</v>
      </c>
      <c r="G28" s="24">
        <v>2360393123.8400002</v>
      </c>
      <c r="H28" s="24">
        <v>0</v>
      </c>
      <c r="I28" s="24" t="s">
        <v>5099</v>
      </c>
    </row>
    <row r="29" spans="1:9" x14ac:dyDescent="0.35">
      <c r="A29" s="24" t="s">
        <v>5049</v>
      </c>
      <c r="B29" s="24" t="str">
        <f>"PTCT"</f>
        <v>PTCT</v>
      </c>
      <c r="C29" s="24" t="str">
        <f t="shared" si="0"/>
        <v>'PTCT'</v>
      </c>
      <c r="D29" s="24" t="s">
        <v>5100</v>
      </c>
      <c r="E29" s="24">
        <v>-12.488099999999999</v>
      </c>
      <c r="F29" s="24">
        <v>1.2314000000000001</v>
      </c>
      <c r="G29" s="24">
        <v>2833590174.48</v>
      </c>
      <c r="H29" s="24">
        <v>1</v>
      </c>
      <c r="I29" s="24" t="s">
        <v>5101</v>
      </c>
    </row>
    <row r="30" spans="1:9" x14ac:dyDescent="0.35">
      <c r="A30" s="24" t="s">
        <v>5044</v>
      </c>
      <c r="B30" s="24" t="str">
        <f>"RNG"</f>
        <v>RNG</v>
      </c>
      <c r="C30" s="24" t="str">
        <f t="shared" si="0"/>
        <v>'RNG'</v>
      </c>
      <c r="D30" s="24" t="s">
        <v>5102</v>
      </c>
      <c r="E30" s="24">
        <v>-13.064500000000001</v>
      </c>
      <c r="F30" s="24">
        <v>1.2118</v>
      </c>
      <c r="G30" s="24">
        <v>3199187873.23</v>
      </c>
      <c r="H30" s="24">
        <v>6</v>
      </c>
      <c r="I30" s="24" t="s">
        <v>5103</v>
      </c>
    </row>
    <row r="31" spans="1:9" x14ac:dyDescent="0.35">
      <c r="A31" s="24" t="s">
        <v>5049</v>
      </c>
      <c r="B31" s="24" t="str">
        <f>"WYNN"</f>
        <v>WYNN</v>
      </c>
      <c r="C31" s="24" t="str">
        <f t="shared" si="0"/>
        <v>'WYNN'</v>
      </c>
      <c r="D31" s="24" t="s">
        <v>5104</v>
      </c>
      <c r="E31" s="24">
        <v>-13.562200000000001</v>
      </c>
      <c r="F31" s="24">
        <v>1.421</v>
      </c>
      <c r="G31" s="24">
        <v>10350063401.940001</v>
      </c>
      <c r="H31" s="24">
        <v>10</v>
      </c>
      <c r="I31" s="24" t="s">
        <v>5105</v>
      </c>
    </row>
    <row r="32" spans="1:9" x14ac:dyDescent="0.35">
      <c r="A32" s="24" t="s">
        <v>5049</v>
      </c>
      <c r="B32" s="24" t="str">
        <f>"DBX"</f>
        <v>DBX</v>
      </c>
      <c r="C32" s="24" t="str">
        <f t="shared" si="0"/>
        <v>'DBX'</v>
      </c>
      <c r="D32" s="24" t="s">
        <v>5106</v>
      </c>
      <c r="E32" s="24">
        <v>-13.563499999999999</v>
      </c>
      <c r="F32" s="24">
        <v>1.3660000000000001</v>
      </c>
      <c r="G32" s="24">
        <v>8020101317.5799999</v>
      </c>
      <c r="H32" s="24">
        <v>6</v>
      </c>
      <c r="I32" s="24" t="s">
        <v>5107</v>
      </c>
    </row>
    <row r="33" spans="1:9" x14ac:dyDescent="0.35">
      <c r="A33" s="24" t="s">
        <v>5049</v>
      </c>
      <c r="B33" s="24" t="str">
        <f>"VRSN"</f>
        <v>VRSN</v>
      </c>
      <c r="C33" s="24" t="str">
        <f t="shared" si="0"/>
        <v>'VRSN'</v>
      </c>
      <c r="D33" s="24" t="s">
        <v>5108</v>
      </c>
      <c r="E33" s="24">
        <v>-13.749700000000001</v>
      </c>
      <c r="F33" s="24">
        <v>0.95740000000000003</v>
      </c>
      <c r="G33" s="24">
        <v>21207531858.240002</v>
      </c>
      <c r="H33" s="24">
        <v>15</v>
      </c>
      <c r="I33" s="24" t="s">
        <v>5109</v>
      </c>
    </row>
    <row r="34" spans="1:9" x14ac:dyDescent="0.35">
      <c r="A34" s="24" t="s">
        <v>5044</v>
      </c>
      <c r="B34" s="24" t="str">
        <f>"PM"</f>
        <v>PM</v>
      </c>
      <c r="C34" s="24" t="str">
        <f t="shared" si="0"/>
        <v>'PM'</v>
      </c>
      <c r="D34" s="24" t="s">
        <v>5110</v>
      </c>
      <c r="E34" s="24">
        <v>-14.073</v>
      </c>
      <c r="F34" s="24">
        <v>0.91639999999999999</v>
      </c>
      <c r="G34" s="24">
        <v>156291396390.10001</v>
      </c>
      <c r="H34" s="24">
        <v>49</v>
      </c>
      <c r="I34" s="24" t="s">
        <v>5111</v>
      </c>
    </row>
    <row r="35" spans="1:9" x14ac:dyDescent="0.35">
      <c r="A35" s="24" t="s">
        <v>5044</v>
      </c>
      <c r="B35" s="24" t="str">
        <f>"MAS"</f>
        <v>MAS</v>
      </c>
      <c r="C35" s="24" t="str">
        <f t="shared" si="0"/>
        <v>'MAS'</v>
      </c>
      <c r="D35" s="24" t="s">
        <v>5112</v>
      </c>
      <c r="E35" s="24">
        <v>-15.9627</v>
      </c>
      <c r="F35" s="24">
        <v>1.4676</v>
      </c>
      <c r="G35" s="24">
        <v>10856971981.219999</v>
      </c>
      <c r="H35" s="24">
        <v>6</v>
      </c>
      <c r="I35" s="24" t="s">
        <v>5113</v>
      </c>
    </row>
    <row r="36" spans="1:9" x14ac:dyDescent="0.35">
      <c r="A36" s="24" t="s">
        <v>5049</v>
      </c>
      <c r="B36" s="24" t="str">
        <f>"ALVO"</f>
        <v>ALVO</v>
      </c>
      <c r="C36" s="24" t="str">
        <f t="shared" si="0"/>
        <v>'ALVO'</v>
      </c>
      <c r="D36" s="24" t="s">
        <v>5114</v>
      </c>
      <c r="E36" s="24">
        <v>-16.579499999999999</v>
      </c>
      <c r="G36" s="24">
        <v>2248374914.8499999</v>
      </c>
      <c r="H36" s="24">
        <v>0</v>
      </c>
      <c r="I36" s="24" t="s">
        <v>5115</v>
      </c>
    </row>
    <row r="37" spans="1:9" x14ac:dyDescent="0.35">
      <c r="A37" s="24" t="s">
        <v>5049</v>
      </c>
      <c r="B37" s="24" t="str">
        <f>"MTCH"</f>
        <v>MTCH</v>
      </c>
      <c r="C37" s="24" t="str">
        <f t="shared" si="0"/>
        <v>'MTCH'</v>
      </c>
      <c r="D37" s="24" t="s">
        <v>5116</v>
      </c>
      <c r="E37" s="24">
        <v>-16.973800000000001</v>
      </c>
      <c r="F37" s="24">
        <v>1.1725000000000001</v>
      </c>
      <c r="G37" s="24">
        <v>11870509505</v>
      </c>
      <c r="H37" s="24">
        <v>3</v>
      </c>
      <c r="I37" s="24" t="s">
        <v>5117</v>
      </c>
    </row>
    <row r="38" spans="1:9" x14ac:dyDescent="0.35">
      <c r="A38" s="24" t="s">
        <v>5044</v>
      </c>
      <c r="B38" s="24" t="str">
        <f>"HRB"</f>
        <v>HRB</v>
      </c>
      <c r="C38" s="24" t="str">
        <f t="shared" si="0"/>
        <v>'HRB'</v>
      </c>
      <c r="D38" s="24" t="s">
        <v>5118</v>
      </c>
      <c r="E38" s="24">
        <v>-17.899799999999999</v>
      </c>
      <c r="F38" s="24">
        <v>0.91679999999999995</v>
      </c>
      <c r="G38" s="24">
        <v>5550213133.5</v>
      </c>
      <c r="H38" s="24">
        <v>0</v>
      </c>
      <c r="I38" s="24" t="s">
        <v>5119</v>
      </c>
    </row>
    <row r="39" spans="1:9" x14ac:dyDescent="0.35">
      <c r="A39" s="24" t="s">
        <v>5044</v>
      </c>
      <c r="B39" s="24" t="str">
        <f>"FICO"</f>
        <v>FICO</v>
      </c>
      <c r="C39" s="24" t="str">
        <f t="shared" si="0"/>
        <v>'FICO'</v>
      </c>
      <c r="D39" s="24" t="s">
        <v>5120</v>
      </c>
      <c r="E39" s="24">
        <v>-18.589700000000001</v>
      </c>
      <c r="F39" s="24">
        <v>1.4623999999999999</v>
      </c>
      <c r="G39" s="24">
        <v>14907946384.200001</v>
      </c>
      <c r="H39" s="24">
        <v>10</v>
      </c>
      <c r="I39" s="24" t="s">
        <v>5121</v>
      </c>
    </row>
    <row r="40" spans="1:9" x14ac:dyDescent="0.35">
      <c r="A40" s="24" t="s">
        <v>5044</v>
      </c>
      <c r="B40" s="24" t="str">
        <f>"HCA"</f>
        <v>HCA</v>
      </c>
      <c r="C40" s="24" t="str">
        <f t="shared" si="0"/>
        <v>'HCA'</v>
      </c>
      <c r="D40" s="24" t="s">
        <v>5122</v>
      </c>
      <c r="E40" s="24">
        <v>-20.056000000000001</v>
      </c>
      <c r="F40" s="24">
        <v>1.3778999999999999</v>
      </c>
      <c r="G40" s="24">
        <v>70763990010</v>
      </c>
      <c r="H40" s="24">
        <v>10</v>
      </c>
      <c r="I40" s="24" t="s">
        <v>5123</v>
      </c>
    </row>
    <row r="41" spans="1:9" x14ac:dyDescent="0.35">
      <c r="A41" s="24" t="s">
        <v>5044</v>
      </c>
      <c r="B41" s="24" t="str">
        <f>"LII"</f>
        <v>LII</v>
      </c>
      <c r="C41" s="24" t="str">
        <f t="shared" si="0"/>
        <v>'LII'</v>
      </c>
      <c r="D41" s="24" t="s">
        <v>5124</v>
      </c>
      <c r="E41" s="24">
        <v>-24.271000000000001</v>
      </c>
      <c r="F41" s="24">
        <v>1.7110000000000001</v>
      </c>
      <c r="G41" s="24">
        <v>8319248675.25</v>
      </c>
      <c r="H41" s="24">
        <v>1</v>
      </c>
      <c r="I41" s="24" t="s">
        <v>5125</v>
      </c>
    </row>
    <row r="42" spans="1:9" x14ac:dyDescent="0.35">
      <c r="A42" s="24" t="s">
        <v>5049</v>
      </c>
      <c r="B42" s="24" t="str">
        <f>"SPLK"</f>
        <v>SPLK</v>
      </c>
      <c r="C42" s="24" t="str">
        <f t="shared" si="0"/>
        <v>'SPLK'</v>
      </c>
      <c r="D42" s="24" t="s">
        <v>5126</v>
      </c>
      <c r="E42" s="24">
        <v>-24.391999999999999</v>
      </c>
      <c r="F42" s="24">
        <v>1.216</v>
      </c>
      <c r="G42" s="24">
        <v>13894856000</v>
      </c>
      <c r="H42" s="24">
        <v>14</v>
      </c>
      <c r="I42" s="24" t="s">
        <v>5127</v>
      </c>
    </row>
    <row r="43" spans="1:9" x14ac:dyDescent="0.35">
      <c r="A43" s="24" t="s">
        <v>5049</v>
      </c>
      <c r="B43" s="24" t="str">
        <f>"ETSY"</f>
        <v>ETSY</v>
      </c>
      <c r="C43" s="24" t="str">
        <f t="shared" si="0"/>
        <v>'ETSY'</v>
      </c>
      <c r="D43" s="24" t="s">
        <v>5128</v>
      </c>
      <c r="E43" s="24">
        <v>-24.787600000000001</v>
      </c>
      <c r="F43" s="24">
        <v>2.7191999999999998</v>
      </c>
      <c r="G43" s="24">
        <v>15027295060.959999</v>
      </c>
      <c r="H43" s="24">
        <v>16</v>
      </c>
      <c r="I43" s="24" t="s">
        <v>5129</v>
      </c>
    </row>
    <row r="44" spans="1:9" x14ac:dyDescent="0.35">
      <c r="A44" s="24" t="s">
        <v>5044</v>
      </c>
      <c r="B44" s="24" t="str">
        <f>"MCD"</f>
        <v>MCD</v>
      </c>
      <c r="C44" s="24" t="str">
        <f t="shared" si="0"/>
        <v>'MCD'</v>
      </c>
      <c r="D44" s="24" t="s">
        <v>5130</v>
      </c>
      <c r="E44" s="24">
        <v>-25.003299999999999</v>
      </c>
      <c r="F44" s="24">
        <v>1.6468</v>
      </c>
      <c r="G44" s="24">
        <v>192012247526.72</v>
      </c>
      <c r="H44" s="24">
        <v>76</v>
      </c>
      <c r="I44" s="24" t="s">
        <v>5131</v>
      </c>
    </row>
    <row r="45" spans="1:9" x14ac:dyDescent="0.35">
      <c r="A45" s="24" t="s">
        <v>5044</v>
      </c>
      <c r="B45" s="24" t="str">
        <f>"MCK"</f>
        <v>MCK</v>
      </c>
      <c r="C45" s="24" t="str">
        <f t="shared" si="0"/>
        <v>'MCK'</v>
      </c>
      <c r="D45" s="24" t="s">
        <v>5132</v>
      </c>
      <c r="E45" s="24">
        <v>-28.769100000000002</v>
      </c>
      <c r="F45" s="24">
        <v>0.96050000000000002</v>
      </c>
      <c r="G45" s="24">
        <v>53037851194</v>
      </c>
      <c r="H45" s="24">
        <v>6</v>
      </c>
      <c r="I45" s="24" t="s">
        <v>5133</v>
      </c>
    </row>
    <row r="46" spans="1:9" x14ac:dyDescent="0.35">
      <c r="A46" s="24" t="s">
        <v>5044</v>
      </c>
      <c r="B46" s="24" t="str">
        <f>"WEBR"</f>
        <v>WEBR</v>
      </c>
      <c r="C46" s="24" t="str">
        <f t="shared" si="0"/>
        <v>'WEBR'</v>
      </c>
      <c r="D46" s="24" t="s">
        <v>5134</v>
      </c>
      <c r="E46" s="24">
        <v>-30.313500000000001</v>
      </c>
      <c r="F46" s="24">
        <v>1.0747</v>
      </c>
      <c r="G46" s="24">
        <v>2328775333.52</v>
      </c>
      <c r="H46" s="24">
        <v>0</v>
      </c>
      <c r="I46" s="24" t="s">
        <v>5135</v>
      </c>
    </row>
    <row r="47" spans="1:9" x14ac:dyDescent="0.35">
      <c r="A47" s="24" t="s">
        <v>5044</v>
      </c>
      <c r="B47" s="24" t="str">
        <f>"MSCI"</f>
        <v>MSCI</v>
      </c>
      <c r="C47" s="24" t="str">
        <f t="shared" si="0"/>
        <v>'MSCI'</v>
      </c>
      <c r="D47" s="24" t="s">
        <v>5136</v>
      </c>
      <c r="E47" s="24">
        <v>-31.180800000000001</v>
      </c>
      <c r="F47" s="24">
        <v>1.4307000000000001</v>
      </c>
      <c r="G47" s="24">
        <v>36710393173.919998</v>
      </c>
      <c r="H47" s="24">
        <v>36</v>
      </c>
      <c r="I47" s="24" t="s">
        <v>5137</v>
      </c>
    </row>
    <row r="48" spans="1:9" x14ac:dyDescent="0.35">
      <c r="A48" s="24" t="s">
        <v>5049</v>
      </c>
      <c r="B48" s="24" t="str">
        <f>"STX"</f>
        <v>STX</v>
      </c>
      <c r="C48" s="24" t="str">
        <f t="shared" si="0"/>
        <v>'STX'</v>
      </c>
      <c r="D48" s="24" t="s">
        <v>5138</v>
      </c>
      <c r="E48" s="24">
        <v>-31.462199999999999</v>
      </c>
      <c r="F48" s="24">
        <v>1.1918</v>
      </c>
      <c r="G48" s="24">
        <v>11043243876.870001</v>
      </c>
      <c r="H48" s="24">
        <v>9</v>
      </c>
      <c r="I48" s="24" t="s">
        <v>5139</v>
      </c>
    </row>
    <row r="49" spans="1:9" x14ac:dyDescent="0.35">
      <c r="A49" s="24" t="s">
        <v>5044</v>
      </c>
      <c r="B49" s="24" t="str">
        <f>"OSH"</f>
        <v>OSH</v>
      </c>
      <c r="C49" s="24" t="str">
        <f t="shared" si="0"/>
        <v>'OSH'</v>
      </c>
      <c r="D49" s="24" t="s">
        <v>5140</v>
      </c>
      <c r="E49" s="24">
        <v>-32.197000000000003</v>
      </c>
      <c r="F49" s="24">
        <v>1.5622</v>
      </c>
      <c r="G49" s="24">
        <v>5164392352.8999996</v>
      </c>
      <c r="H49" s="24">
        <v>0</v>
      </c>
      <c r="I49" s="24" t="s">
        <v>5141</v>
      </c>
    </row>
    <row r="50" spans="1:9" x14ac:dyDescent="0.35">
      <c r="A50" s="24" t="s">
        <v>5044</v>
      </c>
      <c r="B50" s="24" t="str">
        <f>"PLNT"</f>
        <v>PLNT</v>
      </c>
      <c r="C50" s="24" t="str">
        <f t="shared" si="0"/>
        <v>'PLNT'</v>
      </c>
      <c r="D50" s="24" t="s">
        <v>5142</v>
      </c>
      <c r="E50" s="24">
        <v>-34.329099999999997</v>
      </c>
      <c r="F50" s="24">
        <v>2.0937000000000001</v>
      </c>
      <c r="G50" s="24">
        <v>6991164523.2600002</v>
      </c>
      <c r="H50" s="24">
        <v>3</v>
      </c>
      <c r="I50" s="24" t="s">
        <v>5143</v>
      </c>
    </row>
    <row r="51" spans="1:9" x14ac:dyDescent="0.35">
      <c r="A51" s="24" t="s">
        <v>5044</v>
      </c>
      <c r="B51" s="24" t="str">
        <f>"TPX"</f>
        <v>TPX</v>
      </c>
      <c r="C51" s="24" t="str">
        <f t="shared" si="0"/>
        <v>'TPX'</v>
      </c>
      <c r="D51" s="24" t="s">
        <v>5144</v>
      </c>
      <c r="E51" s="24">
        <v>-35.114100000000001</v>
      </c>
      <c r="F51" s="24">
        <v>1.1841999999999999</v>
      </c>
      <c r="G51" s="24">
        <v>5958803691.3999996</v>
      </c>
      <c r="H51" s="24">
        <v>8</v>
      </c>
      <c r="I51" s="24" t="s">
        <v>5145</v>
      </c>
    </row>
    <row r="52" spans="1:9" x14ac:dyDescent="0.35">
      <c r="A52" s="24" t="s">
        <v>5044</v>
      </c>
      <c r="B52" s="24" t="str">
        <f>"HLT"</f>
        <v>HLT</v>
      </c>
      <c r="C52" s="24" t="str">
        <f t="shared" si="0"/>
        <v>'HLT'</v>
      </c>
      <c r="D52" s="24" t="s">
        <v>5146</v>
      </c>
      <c r="E52" s="24">
        <v>-35.975000000000001</v>
      </c>
      <c r="F52" s="24">
        <v>0.88439999999999996</v>
      </c>
      <c r="G52" s="24">
        <v>34304641196.279999</v>
      </c>
      <c r="H52" s="24">
        <v>12</v>
      </c>
      <c r="I52" s="24" t="s">
        <v>5147</v>
      </c>
    </row>
    <row r="53" spans="1:9" x14ac:dyDescent="0.35">
      <c r="A53" s="24" t="s">
        <v>5049</v>
      </c>
      <c r="B53" s="24" t="str">
        <f>"PLTK"</f>
        <v>PLTK</v>
      </c>
      <c r="C53" s="24" t="str">
        <f t="shared" si="0"/>
        <v>'PLTK'</v>
      </c>
      <c r="D53" s="24" t="s">
        <v>5148</v>
      </c>
      <c r="E53" s="24">
        <v>-37.460500000000003</v>
      </c>
      <c r="F53" s="24">
        <v>2.8441000000000001</v>
      </c>
      <c r="G53" s="24">
        <v>3311510986.4200001</v>
      </c>
      <c r="H53" s="24">
        <v>0</v>
      </c>
      <c r="I53" s="24" t="s">
        <v>5149</v>
      </c>
    </row>
    <row r="54" spans="1:9" x14ac:dyDescent="0.35">
      <c r="A54" s="24" t="s">
        <v>5044</v>
      </c>
      <c r="B54" s="24" t="str">
        <f>"UI"</f>
        <v>UI</v>
      </c>
      <c r="C54" s="24" t="str">
        <f t="shared" si="0"/>
        <v>'UI'</v>
      </c>
      <c r="D54" s="24" t="s">
        <v>5150</v>
      </c>
      <c r="E54" s="24">
        <v>-40.505400000000002</v>
      </c>
      <c r="F54" s="24">
        <v>1.9683999999999999</v>
      </c>
      <c r="G54" s="24">
        <v>16120593910.469999</v>
      </c>
      <c r="H54" s="24">
        <v>3</v>
      </c>
      <c r="I54" s="24" t="s">
        <v>5151</v>
      </c>
    </row>
    <row r="55" spans="1:9" x14ac:dyDescent="0.35">
      <c r="A55" s="24" t="s">
        <v>5044</v>
      </c>
      <c r="B55" s="24" t="str">
        <f>"BOWL"</f>
        <v>BOWL</v>
      </c>
      <c r="C55" s="24" t="str">
        <f t="shared" si="0"/>
        <v>'BOWL'</v>
      </c>
      <c r="D55" s="24" t="s">
        <v>5152</v>
      </c>
      <c r="E55" s="24">
        <v>-44.4163</v>
      </c>
      <c r="F55" s="24">
        <v>1.2575000000000001</v>
      </c>
      <c r="G55" s="24">
        <v>2210421471.7399998</v>
      </c>
      <c r="H55" s="24">
        <v>0</v>
      </c>
      <c r="I55" s="24" t="s">
        <v>5153</v>
      </c>
    </row>
    <row r="56" spans="1:9" x14ac:dyDescent="0.35">
      <c r="A56" s="24" t="s">
        <v>5049</v>
      </c>
      <c r="B56" s="24" t="str">
        <f>"FTNT"</f>
        <v>FTNT</v>
      </c>
      <c r="C56" s="24" t="str">
        <f t="shared" si="0"/>
        <v>'FTNT'</v>
      </c>
      <c r="D56" s="24" t="s">
        <v>5154</v>
      </c>
      <c r="E56" s="24">
        <v>-58.405000000000001</v>
      </c>
      <c r="F56" s="24">
        <v>1.0729</v>
      </c>
      <c r="G56" s="24">
        <v>37069648721.949997</v>
      </c>
      <c r="H56" s="24">
        <v>21</v>
      </c>
      <c r="I56" s="24" t="s">
        <v>5155</v>
      </c>
    </row>
    <row r="57" spans="1:9" x14ac:dyDescent="0.35">
      <c r="A57" s="24" t="s">
        <v>5049</v>
      </c>
      <c r="B57" s="24" t="str">
        <f>"WIX"</f>
        <v>WIX</v>
      </c>
      <c r="C57" s="24" t="str">
        <f t="shared" si="0"/>
        <v>'WIX'</v>
      </c>
      <c r="D57" s="24" t="s">
        <v>5156</v>
      </c>
      <c r="E57" s="24">
        <v>-67.871300000000005</v>
      </c>
      <c r="F57" s="24">
        <v>1.0980000000000001</v>
      </c>
      <c r="G57" s="24">
        <v>4371997206.6400003</v>
      </c>
      <c r="H57" s="24">
        <v>5</v>
      </c>
      <c r="I57" s="24" t="s">
        <v>5157</v>
      </c>
    </row>
    <row r="58" spans="1:9" x14ac:dyDescent="0.35">
      <c r="A58" s="24" t="s">
        <v>5044</v>
      </c>
      <c r="B58" s="24" t="str">
        <f>"AON"</f>
        <v>AON</v>
      </c>
      <c r="C58" s="24" t="str">
        <f t="shared" si="0"/>
        <v>'AON'</v>
      </c>
      <c r="D58" s="24" t="s">
        <v>5158</v>
      </c>
      <c r="E58" s="24">
        <v>-69.120699999999999</v>
      </c>
      <c r="F58" s="24">
        <v>1.0261</v>
      </c>
      <c r="G58" s="24">
        <v>62128279327.599998</v>
      </c>
      <c r="H58" s="24">
        <v>6</v>
      </c>
      <c r="I58" s="24" t="s">
        <v>5159</v>
      </c>
    </row>
    <row r="59" spans="1:9" x14ac:dyDescent="0.35">
      <c r="A59" s="24" t="s">
        <v>5044</v>
      </c>
      <c r="B59" s="24" t="str">
        <f>"SPR"</f>
        <v>SPR</v>
      </c>
      <c r="C59" s="24" t="str">
        <f t="shared" si="0"/>
        <v>'SPR'</v>
      </c>
      <c r="D59" s="24" t="s">
        <v>5160</v>
      </c>
      <c r="E59" s="24">
        <v>-74.545100000000005</v>
      </c>
      <c r="F59" s="24">
        <v>1.4169</v>
      </c>
      <c r="G59" s="24">
        <v>3436529158.4499998</v>
      </c>
      <c r="H59" s="24">
        <v>3</v>
      </c>
      <c r="I59" s="24" t="s">
        <v>5161</v>
      </c>
    </row>
    <row r="60" spans="1:9" x14ac:dyDescent="0.35">
      <c r="A60" s="24" t="s">
        <v>5044</v>
      </c>
      <c r="B60" s="24" t="str">
        <f>"MSI"</f>
        <v>MSI</v>
      </c>
      <c r="C60" s="24" t="str">
        <f t="shared" si="0"/>
        <v>'MSI'</v>
      </c>
      <c r="D60" s="24" t="s">
        <v>5162</v>
      </c>
      <c r="E60" s="24">
        <v>-76.84</v>
      </c>
      <c r="F60" s="24">
        <v>1.2492000000000001</v>
      </c>
      <c r="G60" s="24">
        <v>42656882680.080002</v>
      </c>
      <c r="H60" s="24">
        <v>6</v>
      </c>
      <c r="I60" s="24" t="s">
        <v>5163</v>
      </c>
    </row>
    <row r="61" spans="1:9" x14ac:dyDescent="0.35">
      <c r="A61" s="24" t="s">
        <v>5044</v>
      </c>
      <c r="B61" s="24" t="str">
        <f>"ABC"</f>
        <v>ABC</v>
      </c>
      <c r="C61" s="24" t="str">
        <f t="shared" si="0"/>
        <v>'ABC'</v>
      </c>
      <c r="D61" s="24" t="s">
        <v>5164</v>
      </c>
      <c r="E61" s="24">
        <v>-81.290599999999998</v>
      </c>
      <c r="F61" s="24">
        <v>0.91059999999999997</v>
      </c>
      <c r="G61" s="24">
        <v>33540439854.240002</v>
      </c>
      <c r="H61" s="24">
        <v>9</v>
      </c>
      <c r="I61" s="24" t="s">
        <v>5165</v>
      </c>
    </row>
    <row r="62" spans="1:9" x14ac:dyDescent="0.35">
      <c r="A62" s="24" t="s">
        <v>5049</v>
      </c>
      <c r="B62" s="24" t="str">
        <f>"INSM"</f>
        <v>INSM</v>
      </c>
      <c r="C62" s="24" t="str">
        <f t="shared" si="0"/>
        <v>'INSM'</v>
      </c>
      <c r="D62" s="24" t="s">
        <v>5166</v>
      </c>
      <c r="E62" s="24">
        <v>-89.265699999999995</v>
      </c>
      <c r="F62" s="24">
        <v>4.5923999999999996</v>
      </c>
      <c r="G62" s="24">
        <v>2674312209.6599998</v>
      </c>
      <c r="H62" s="24">
        <v>0</v>
      </c>
      <c r="I62" s="24" t="s">
        <v>5167</v>
      </c>
    </row>
    <row r="63" spans="1:9" x14ac:dyDescent="0.35">
      <c r="A63" s="24" t="s">
        <v>5044</v>
      </c>
      <c r="B63" s="24" t="str">
        <f>"LYV"</f>
        <v>LYV</v>
      </c>
      <c r="C63" s="24" t="str">
        <f t="shared" si="0"/>
        <v>'LYV'</v>
      </c>
      <c r="D63" s="24" t="s">
        <v>5168</v>
      </c>
      <c r="E63" s="24">
        <v>-221.8998</v>
      </c>
      <c r="F63" s="24">
        <v>1.0384</v>
      </c>
      <c r="G63" s="24">
        <v>16544852129.139999</v>
      </c>
      <c r="H63" s="24">
        <v>3</v>
      </c>
      <c r="I63" s="24" t="s">
        <v>5169</v>
      </c>
    </row>
    <row r="64" spans="1:9" x14ac:dyDescent="0.35">
      <c r="A64" s="24" t="s">
        <v>5049</v>
      </c>
      <c r="B64" s="24" t="str">
        <f>"CYTK"</f>
        <v>CYTK</v>
      </c>
      <c r="C64" s="24" t="str">
        <f t="shared" si="0"/>
        <v>'CYTK'</v>
      </c>
      <c r="D64" s="24" t="s">
        <v>5170</v>
      </c>
      <c r="E64" s="24">
        <v>-251.90309999999999</v>
      </c>
      <c r="F64" s="24">
        <v>11.559799999999999</v>
      </c>
      <c r="G64" s="24">
        <v>4024656472.5300002</v>
      </c>
      <c r="H64" s="24">
        <v>0</v>
      </c>
      <c r="I64" s="24" t="s">
        <v>5171</v>
      </c>
    </row>
    <row r="65" spans="1:9" x14ac:dyDescent="0.35">
      <c r="A65" s="24" t="s">
        <v>5044</v>
      </c>
      <c r="B65" s="24" t="str">
        <f>"MTD"</f>
        <v>MTD</v>
      </c>
      <c r="C65" s="24" t="str">
        <f t="shared" si="0"/>
        <v>'MTD'</v>
      </c>
      <c r="D65" s="24" t="s">
        <v>5172</v>
      </c>
      <c r="E65" s="24">
        <v>-401.01220000000001</v>
      </c>
      <c r="F65" s="24">
        <v>1.1295999999999999</v>
      </c>
      <c r="G65" s="24">
        <v>33207417457.389999</v>
      </c>
      <c r="H65" s="24">
        <v>17</v>
      </c>
      <c r="I65" s="24" t="s">
        <v>5173</v>
      </c>
    </row>
    <row r="66" spans="1:9" x14ac:dyDescent="0.35">
      <c r="A66" s="24" t="s">
        <v>5049</v>
      </c>
      <c r="B66" s="24" t="str">
        <f>"ALNY"</f>
        <v>ALNY</v>
      </c>
      <c r="C66" s="24" t="str">
        <f t="shared" si="0"/>
        <v>'ALNY'</v>
      </c>
      <c r="D66" s="24" t="s">
        <v>5174</v>
      </c>
      <c r="E66" s="24">
        <v>-410.49430000000001</v>
      </c>
      <c r="F66" s="24">
        <v>3.4820000000000002</v>
      </c>
      <c r="G66" s="24">
        <v>27765011849.119999</v>
      </c>
      <c r="H66" s="24">
        <v>9</v>
      </c>
      <c r="I66" s="24" t="s">
        <v>5175</v>
      </c>
    </row>
    <row r="67" spans="1:9" x14ac:dyDescent="0.35">
      <c r="A67" s="24" t="s">
        <v>5044</v>
      </c>
      <c r="B67" s="24" t="str">
        <f>"HD"</f>
        <v>HD</v>
      </c>
      <c r="C67" s="24" t="str">
        <f t="shared" ref="C67:C130" si="1">"'"&amp;B67&amp;"'"</f>
        <v>'HD'</v>
      </c>
      <c r="D67" s="24" t="s">
        <v>5176</v>
      </c>
      <c r="E67" s="24">
        <v>-496.88209999999998</v>
      </c>
      <c r="F67" s="24">
        <v>1.3872</v>
      </c>
      <c r="G67" s="24">
        <v>321522614360.34003</v>
      </c>
      <c r="H67" s="24">
        <v>34</v>
      </c>
      <c r="I67" s="24" t="s">
        <v>5177</v>
      </c>
    </row>
    <row r="68" spans="1:9" x14ac:dyDescent="0.35">
      <c r="A68" s="24" t="s">
        <v>5044</v>
      </c>
      <c r="B68" s="24" t="str">
        <f>"WK"</f>
        <v>WK</v>
      </c>
      <c r="C68" s="24" t="str">
        <f t="shared" si="1"/>
        <v>'WK'</v>
      </c>
      <c r="D68" s="24" t="s">
        <v>5178</v>
      </c>
      <c r="E68" s="24">
        <v>-781.03599999999994</v>
      </c>
      <c r="F68" s="24">
        <v>1.5112000000000001</v>
      </c>
      <c r="G68" s="24">
        <v>4287887913.5999999</v>
      </c>
      <c r="H68" s="24">
        <v>3</v>
      </c>
      <c r="I68" s="24" t="s">
        <v>5179</v>
      </c>
    </row>
    <row r="69" spans="1:9" x14ac:dyDescent="0.35">
      <c r="A69" s="24" t="s">
        <v>5044</v>
      </c>
      <c r="B69" s="24" t="str">
        <f>"ZTO"</f>
        <v>ZTO</v>
      </c>
      <c r="C69" s="24" t="str">
        <f t="shared" si="1"/>
        <v>'ZTO'</v>
      </c>
      <c r="D69" s="24" t="s">
        <v>5180</v>
      </c>
      <c r="E69" s="24">
        <v>2.9964</v>
      </c>
      <c r="F69" s="24">
        <v>1.5863</v>
      </c>
      <c r="G69" s="24">
        <v>22591553936.400002</v>
      </c>
      <c r="H69" s="24">
        <v>68</v>
      </c>
      <c r="I69" s="24" t="s">
        <v>5181</v>
      </c>
    </row>
    <row r="70" spans="1:9" x14ac:dyDescent="0.35">
      <c r="A70" s="24" t="s">
        <v>5044</v>
      </c>
      <c r="B70" s="24" t="str">
        <f>"SSD"</f>
        <v>SSD</v>
      </c>
      <c r="C70" s="24" t="str">
        <f t="shared" si="1"/>
        <v>'SSD'</v>
      </c>
      <c r="D70" s="24" t="s">
        <v>5182</v>
      </c>
      <c r="E70" s="24">
        <v>2.9952000000000001</v>
      </c>
      <c r="F70" s="24">
        <v>3.5594000000000001</v>
      </c>
      <c r="G70" s="24">
        <v>3939452219.8400002</v>
      </c>
      <c r="H70" s="24">
        <v>1</v>
      </c>
      <c r="I70" s="24" t="s">
        <v>5183</v>
      </c>
    </row>
    <row r="71" spans="1:9" x14ac:dyDescent="0.35">
      <c r="A71" s="24" t="s">
        <v>5049</v>
      </c>
      <c r="B71" s="24" t="str">
        <f>"MGEE"</f>
        <v>MGEE</v>
      </c>
      <c r="C71" s="24" t="str">
        <f t="shared" si="1"/>
        <v>'MGEE'</v>
      </c>
      <c r="D71" s="24" t="s">
        <v>5184</v>
      </c>
      <c r="E71" s="24">
        <v>2.9943</v>
      </c>
      <c r="F71" s="24">
        <v>0.99919999999999998</v>
      </c>
      <c r="G71" s="24">
        <v>2505036639.9000001</v>
      </c>
      <c r="H71" s="24">
        <v>0</v>
      </c>
      <c r="I71" s="24" t="s">
        <v>5185</v>
      </c>
    </row>
    <row r="72" spans="1:9" x14ac:dyDescent="0.35">
      <c r="A72" s="24" t="s">
        <v>5044</v>
      </c>
      <c r="B72" s="24" t="str">
        <f>"CBZ"</f>
        <v>CBZ</v>
      </c>
      <c r="C72" s="24" t="str">
        <f t="shared" si="1"/>
        <v>'CBZ'</v>
      </c>
      <c r="D72" s="24" t="s">
        <v>5186</v>
      </c>
      <c r="E72" s="24">
        <v>2.9943</v>
      </c>
      <c r="F72" s="24">
        <v>1.2714000000000001</v>
      </c>
      <c r="G72" s="24">
        <v>2317971530.4000001</v>
      </c>
      <c r="H72" s="24">
        <v>0</v>
      </c>
      <c r="I72" s="24" t="s">
        <v>5187</v>
      </c>
    </row>
    <row r="73" spans="1:9" x14ac:dyDescent="0.35">
      <c r="A73" s="24" t="s">
        <v>5049</v>
      </c>
      <c r="B73" s="24" t="str">
        <f>"MIDD"</f>
        <v>MIDD</v>
      </c>
      <c r="C73" s="24" t="str">
        <f t="shared" si="1"/>
        <v>'MIDD'</v>
      </c>
      <c r="D73" s="24" t="s">
        <v>5188</v>
      </c>
      <c r="E73" s="24">
        <v>2.98</v>
      </c>
      <c r="F73" s="24">
        <v>2.08</v>
      </c>
      <c r="G73" s="24">
        <v>7445625069.96</v>
      </c>
      <c r="H73" s="24">
        <v>1</v>
      </c>
      <c r="I73" s="24" t="s">
        <v>5189</v>
      </c>
    </row>
    <row r="74" spans="1:9" x14ac:dyDescent="0.35">
      <c r="A74" s="24" t="s">
        <v>5044</v>
      </c>
      <c r="B74" s="24" t="str">
        <f>"RIO"</f>
        <v>RIO</v>
      </c>
      <c r="C74" s="24" t="str">
        <f t="shared" si="1"/>
        <v>'RIO'</v>
      </c>
      <c r="D74" s="24" t="s">
        <v>5190</v>
      </c>
      <c r="E74" s="24">
        <v>2.9790999999999999</v>
      </c>
      <c r="G74" s="24">
        <v>117063447997.45</v>
      </c>
      <c r="H74" s="24">
        <v>13</v>
      </c>
      <c r="I74" s="24" t="s">
        <v>5191</v>
      </c>
    </row>
    <row r="75" spans="1:9" x14ac:dyDescent="0.35">
      <c r="A75" s="24" t="s">
        <v>5044</v>
      </c>
      <c r="B75" s="24" t="str">
        <f>"SPGI"</f>
        <v>SPGI</v>
      </c>
      <c r="C75" s="24" t="str">
        <f t="shared" si="1"/>
        <v>'SPGI'</v>
      </c>
      <c r="D75" s="24" t="s">
        <v>5192</v>
      </c>
      <c r="E75" s="24">
        <v>2.9681000000000002</v>
      </c>
      <c r="F75" s="24">
        <v>0.82769999999999999</v>
      </c>
      <c r="G75" s="24">
        <v>109494864000</v>
      </c>
      <c r="H75" s="24">
        <v>67</v>
      </c>
      <c r="I75" s="24" t="s">
        <v>5193</v>
      </c>
    </row>
    <row r="76" spans="1:9" x14ac:dyDescent="0.35">
      <c r="A76" s="24" t="s">
        <v>5044</v>
      </c>
      <c r="B76" s="24" t="str">
        <f>"HEP"</f>
        <v>HEP</v>
      </c>
      <c r="C76" s="24" t="str">
        <f t="shared" si="1"/>
        <v>'HEP'</v>
      </c>
      <c r="D76" s="24" t="s">
        <v>5194</v>
      </c>
      <c r="E76" s="24">
        <v>2.9670999999999998</v>
      </c>
      <c r="F76" s="24">
        <v>1.2225999999999999</v>
      </c>
      <c r="G76" s="24">
        <v>2346730130.5599999</v>
      </c>
      <c r="H76" s="24">
        <v>3</v>
      </c>
      <c r="I76" s="24" t="s">
        <v>5195</v>
      </c>
    </row>
    <row r="77" spans="1:9" x14ac:dyDescent="0.35">
      <c r="A77" s="24" t="s">
        <v>5044</v>
      </c>
      <c r="B77" s="24" t="str">
        <f>"SAP"</f>
        <v>SAP</v>
      </c>
      <c r="C77" s="24" t="str">
        <f t="shared" si="1"/>
        <v>'SAP'</v>
      </c>
      <c r="D77" s="24" t="s">
        <v>5196</v>
      </c>
      <c r="E77" s="24">
        <v>2.9655</v>
      </c>
      <c r="F77" s="24">
        <v>1.03</v>
      </c>
      <c r="G77" s="24">
        <v>130418009269.12</v>
      </c>
      <c r="H77" s="24">
        <v>18</v>
      </c>
      <c r="I77" s="24" t="s">
        <v>5197</v>
      </c>
    </row>
    <row r="78" spans="1:9" x14ac:dyDescent="0.35">
      <c r="A78" s="24" t="s">
        <v>5044</v>
      </c>
      <c r="B78" s="24" t="str">
        <f>"IGT"</f>
        <v>IGT</v>
      </c>
      <c r="C78" s="24" t="str">
        <f t="shared" si="1"/>
        <v>'IGT'</v>
      </c>
      <c r="D78" s="24" t="s">
        <v>5198</v>
      </c>
      <c r="E78" s="24">
        <v>2.9544000000000001</v>
      </c>
      <c r="F78" s="24">
        <v>1.1631</v>
      </c>
      <c r="G78" s="24">
        <v>4686926400</v>
      </c>
      <c r="H78" s="24">
        <v>0</v>
      </c>
      <c r="I78" s="24" t="s">
        <v>5199</v>
      </c>
    </row>
    <row r="79" spans="1:9" x14ac:dyDescent="0.35">
      <c r="A79" s="24" t="s">
        <v>5044</v>
      </c>
      <c r="B79" s="24" t="str">
        <f>"OLN"</f>
        <v>OLN</v>
      </c>
      <c r="C79" s="24" t="str">
        <f t="shared" si="1"/>
        <v>'OLN'</v>
      </c>
      <c r="D79" s="24" t="s">
        <v>5200</v>
      </c>
      <c r="E79" s="24">
        <v>2.9506999999999999</v>
      </c>
      <c r="F79" s="24">
        <v>1.4116</v>
      </c>
      <c r="G79" s="24">
        <v>7442451882.5799999</v>
      </c>
      <c r="H79" s="24">
        <v>0</v>
      </c>
      <c r="I79" s="24" t="s">
        <v>5201</v>
      </c>
    </row>
    <row r="80" spans="1:9" x14ac:dyDescent="0.35">
      <c r="A80" s="24" t="s">
        <v>5044</v>
      </c>
      <c r="B80" s="24" t="str">
        <f>"LEG"</f>
        <v>LEG</v>
      </c>
      <c r="C80" s="24" t="str">
        <f t="shared" si="1"/>
        <v>'LEG'</v>
      </c>
      <c r="D80" s="24" t="s">
        <v>5202</v>
      </c>
      <c r="E80" s="24">
        <v>2.9506000000000001</v>
      </c>
      <c r="F80" s="24">
        <v>2.0735999999999999</v>
      </c>
      <c r="G80" s="24">
        <v>4437365477.5900002</v>
      </c>
      <c r="H80" s="24">
        <v>3</v>
      </c>
      <c r="I80" s="24" t="s">
        <v>5203</v>
      </c>
    </row>
    <row r="81" spans="1:9" x14ac:dyDescent="0.35">
      <c r="A81" s="24" t="s">
        <v>5049</v>
      </c>
      <c r="B81" s="24" t="str">
        <f>"HCM"</f>
        <v>HCM</v>
      </c>
      <c r="C81" s="24" t="str">
        <f t="shared" si="1"/>
        <v>'HCM'</v>
      </c>
      <c r="D81" s="24" t="s">
        <v>1568</v>
      </c>
      <c r="E81" s="24">
        <v>2.9312999999999998</v>
      </c>
      <c r="G81" s="24">
        <v>2892869087.6399999</v>
      </c>
      <c r="H81" s="24">
        <v>4</v>
      </c>
      <c r="I81" s="24" t="s">
        <v>5204</v>
      </c>
    </row>
    <row r="82" spans="1:9" x14ac:dyDescent="0.35">
      <c r="A82" s="24" t="s">
        <v>5049</v>
      </c>
      <c r="B82" s="24" t="str">
        <f>"ESLT"</f>
        <v>ESLT</v>
      </c>
      <c r="C82" s="24" t="str">
        <f t="shared" si="1"/>
        <v>'ESLT'</v>
      </c>
      <c r="D82" s="24" t="s">
        <v>5205</v>
      </c>
      <c r="E82" s="24">
        <v>2.9277000000000002</v>
      </c>
      <c r="F82" s="24">
        <v>1.1548</v>
      </c>
      <c r="G82" s="24">
        <v>7485246880</v>
      </c>
      <c r="H82" s="24">
        <v>1</v>
      </c>
      <c r="I82" s="24" t="s">
        <v>5206</v>
      </c>
    </row>
    <row r="83" spans="1:9" x14ac:dyDescent="0.35">
      <c r="A83" s="24" t="s">
        <v>5044</v>
      </c>
      <c r="B83" s="24" t="str">
        <f>"WPM"</f>
        <v>WPM</v>
      </c>
      <c r="C83" s="24" t="str">
        <f t="shared" si="1"/>
        <v>'WPM'</v>
      </c>
      <c r="D83" s="24" t="s">
        <v>5207</v>
      </c>
      <c r="E83" s="24">
        <v>2.9255</v>
      </c>
      <c r="F83" s="24">
        <v>18.184000000000001</v>
      </c>
      <c r="G83" s="24">
        <v>18960241290</v>
      </c>
      <c r="H83" s="24">
        <v>3</v>
      </c>
      <c r="I83" s="24" t="s">
        <v>5208</v>
      </c>
    </row>
    <row r="84" spans="1:9" x14ac:dyDescent="0.35">
      <c r="A84" s="24" t="s">
        <v>5044</v>
      </c>
      <c r="B84" s="24" t="str">
        <f>"ABEV"</f>
        <v>ABEV</v>
      </c>
      <c r="C84" s="24" t="str">
        <f t="shared" si="1"/>
        <v>'ABEV'</v>
      </c>
      <c r="D84" s="24" t="s">
        <v>5209</v>
      </c>
      <c r="E84" s="24">
        <v>2.9188000000000001</v>
      </c>
      <c r="G84" s="24">
        <v>41550087891.839996</v>
      </c>
      <c r="H84" s="24">
        <v>3</v>
      </c>
      <c r="I84" s="24" t="s">
        <v>5210</v>
      </c>
    </row>
    <row r="85" spans="1:9" x14ac:dyDescent="0.35">
      <c r="A85" s="24" t="s">
        <v>5044</v>
      </c>
      <c r="B85" s="24" t="str">
        <f>"PNR"</f>
        <v>PNR</v>
      </c>
      <c r="C85" s="24" t="str">
        <f t="shared" si="1"/>
        <v>'PNR'</v>
      </c>
      <c r="D85" s="24" t="s">
        <v>5211</v>
      </c>
      <c r="E85" s="24">
        <v>2.9152</v>
      </c>
      <c r="F85" s="24">
        <v>1.4198</v>
      </c>
      <c r="G85" s="24">
        <v>7593244020.6400003</v>
      </c>
      <c r="H85" s="24">
        <v>2</v>
      </c>
      <c r="I85" s="24" t="s">
        <v>5212</v>
      </c>
    </row>
    <row r="86" spans="1:9" x14ac:dyDescent="0.35">
      <c r="A86" s="24" t="s">
        <v>5049</v>
      </c>
      <c r="B86" s="24" t="str">
        <f>"SLAB"</f>
        <v>SLAB</v>
      </c>
      <c r="C86" s="24" t="str">
        <f t="shared" si="1"/>
        <v>'SLAB'</v>
      </c>
      <c r="D86" s="24" t="s">
        <v>5213</v>
      </c>
      <c r="E86" s="24">
        <v>2.9131</v>
      </c>
      <c r="F86" s="24">
        <v>7.9028999999999998</v>
      </c>
      <c r="G86" s="24">
        <v>4520150377.3800001</v>
      </c>
      <c r="H86" s="24">
        <v>4</v>
      </c>
      <c r="I86" s="24" t="s">
        <v>5214</v>
      </c>
    </row>
    <row r="87" spans="1:9" x14ac:dyDescent="0.35">
      <c r="A87" s="24" t="s">
        <v>5044</v>
      </c>
      <c r="B87" s="24" t="str">
        <f>"CNM"</f>
        <v>CNM</v>
      </c>
      <c r="C87" s="24" t="str">
        <f t="shared" si="1"/>
        <v>'CNM'</v>
      </c>
      <c r="D87" s="24" t="s">
        <v>5215</v>
      </c>
      <c r="E87" s="24">
        <v>2.8961999999999999</v>
      </c>
      <c r="F87" s="24">
        <v>2.4872999999999998</v>
      </c>
      <c r="G87" s="24">
        <v>4935177997.9200001</v>
      </c>
      <c r="H87" s="24">
        <v>0</v>
      </c>
      <c r="I87" s="24" t="s">
        <v>5216</v>
      </c>
    </row>
    <row r="88" spans="1:9" x14ac:dyDescent="0.35">
      <c r="A88" s="24" t="s">
        <v>5049</v>
      </c>
      <c r="B88" s="24" t="str">
        <f>"SHOO"</f>
        <v>SHOO</v>
      </c>
      <c r="C88" s="24" t="str">
        <f t="shared" si="1"/>
        <v>'SHOO'</v>
      </c>
      <c r="D88" s="24" t="s">
        <v>5217</v>
      </c>
      <c r="E88" s="24">
        <v>2.8938999999999999</v>
      </c>
      <c r="F88" s="24">
        <v>2.9178999999999999</v>
      </c>
      <c r="G88" s="24">
        <v>2390244031.8899999</v>
      </c>
      <c r="H88" s="24">
        <v>1</v>
      </c>
      <c r="I88" s="24" t="s">
        <v>5218</v>
      </c>
    </row>
    <row r="89" spans="1:9" x14ac:dyDescent="0.35">
      <c r="A89" s="24" t="s">
        <v>5044</v>
      </c>
      <c r="B89" s="24" t="str">
        <f>"CWEN"</f>
        <v>CWEN</v>
      </c>
      <c r="C89" s="24" t="str">
        <f t="shared" si="1"/>
        <v>'CWEN'</v>
      </c>
      <c r="D89" s="24" t="s">
        <v>5219</v>
      </c>
      <c r="E89" s="24">
        <v>2.8921999999999999</v>
      </c>
      <c r="F89" s="24">
        <v>1.8415999999999999</v>
      </c>
      <c r="G89" s="24">
        <v>6411705560.4799995</v>
      </c>
      <c r="H89" s="24">
        <v>0</v>
      </c>
      <c r="I89" s="24" t="s">
        <v>5220</v>
      </c>
    </row>
    <row r="90" spans="1:9" x14ac:dyDescent="0.35">
      <c r="A90" s="24" t="s">
        <v>5044</v>
      </c>
      <c r="B90" s="24" t="str">
        <f>"BDX"</f>
        <v>BDX</v>
      </c>
      <c r="C90" s="24" t="str">
        <f t="shared" si="1"/>
        <v>'BDX'</v>
      </c>
      <c r="D90" s="24" t="s">
        <v>5221</v>
      </c>
      <c r="E90" s="24">
        <v>2.8913000000000002</v>
      </c>
      <c r="F90" s="24">
        <v>1.0422</v>
      </c>
      <c r="G90" s="24">
        <v>72348673710.830002</v>
      </c>
      <c r="H90" s="24">
        <v>10</v>
      </c>
      <c r="I90" s="24" t="s">
        <v>5222</v>
      </c>
    </row>
    <row r="91" spans="1:9" x14ac:dyDescent="0.35">
      <c r="A91" s="24" t="s">
        <v>5044</v>
      </c>
      <c r="B91" s="24" t="str">
        <f>"SNA"</f>
        <v>SNA</v>
      </c>
      <c r="C91" s="24" t="str">
        <f t="shared" si="1"/>
        <v>'SNA'</v>
      </c>
      <c r="D91" s="24" t="s">
        <v>5223</v>
      </c>
      <c r="E91" s="24">
        <v>2.8900999999999999</v>
      </c>
      <c r="F91" s="24">
        <v>3.2909999999999999</v>
      </c>
      <c r="G91" s="24">
        <v>12228224701.950001</v>
      </c>
      <c r="H91" s="24">
        <v>14</v>
      </c>
      <c r="I91" s="24" t="s">
        <v>5224</v>
      </c>
    </row>
    <row r="92" spans="1:9" x14ac:dyDescent="0.35">
      <c r="A92" s="24" t="s">
        <v>5049</v>
      </c>
      <c r="B92" s="24" t="str">
        <f>"PCAR"</f>
        <v>PCAR</v>
      </c>
      <c r="C92" s="24" t="str">
        <f t="shared" si="1"/>
        <v>'PCAR'</v>
      </c>
      <c r="D92" s="24" t="s">
        <v>5225</v>
      </c>
      <c r="E92" s="24">
        <v>2.8839000000000001</v>
      </c>
      <c r="F92" s="24">
        <v>2.2555000000000001</v>
      </c>
      <c r="G92" s="24">
        <v>34004713483.5</v>
      </c>
      <c r="H92" s="24">
        <v>16</v>
      </c>
      <c r="I92" s="24" t="s">
        <v>5226</v>
      </c>
    </row>
    <row r="93" spans="1:9" x14ac:dyDescent="0.35">
      <c r="A93" s="24" t="s">
        <v>5044</v>
      </c>
      <c r="B93" s="24" t="str">
        <f>"MMS"</f>
        <v>MMS</v>
      </c>
      <c r="C93" s="24" t="str">
        <f t="shared" si="1"/>
        <v>'MMS'</v>
      </c>
      <c r="D93" s="24" t="s">
        <v>5227</v>
      </c>
      <c r="E93" s="24">
        <v>2.8776000000000002</v>
      </c>
      <c r="F93" s="24">
        <v>1.333</v>
      </c>
      <c r="G93" s="24">
        <v>4409707600.4799995</v>
      </c>
      <c r="H93" s="24">
        <v>3</v>
      </c>
      <c r="I93" s="24" t="s">
        <v>5228</v>
      </c>
    </row>
    <row r="94" spans="1:9" x14ac:dyDescent="0.35">
      <c r="A94" s="24" t="s">
        <v>5044</v>
      </c>
      <c r="B94" s="24" t="str">
        <f>"AGCO"</f>
        <v>AGCO</v>
      </c>
      <c r="C94" s="24" t="str">
        <f t="shared" si="1"/>
        <v>'AGCO'</v>
      </c>
      <c r="D94" s="24" t="s">
        <v>5229</v>
      </c>
      <c r="E94" s="24">
        <v>2.8696000000000002</v>
      </c>
      <c r="F94" s="24">
        <v>1.5759000000000001</v>
      </c>
      <c r="G94" s="24">
        <v>10050598914.209999</v>
      </c>
      <c r="H94" s="24">
        <v>3</v>
      </c>
      <c r="I94" s="24" t="s">
        <v>5230</v>
      </c>
    </row>
    <row r="95" spans="1:9" x14ac:dyDescent="0.35">
      <c r="A95" s="24" t="s">
        <v>5049</v>
      </c>
      <c r="B95" s="24" t="str">
        <f>"DRVN"</f>
        <v>DRVN</v>
      </c>
      <c r="C95" s="24" t="str">
        <f t="shared" si="1"/>
        <v>'DRVN'</v>
      </c>
      <c r="D95" s="24" t="s">
        <v>5231</v>
      </c>
      <c r="E95" s="24">
        <v>2.8637000000000001</v>
      </c>
      <c r="F95" s="24">
        <v>1.113</v>
      </c>
      <c r="G95" s="24">
        <v>4479732297.7200003</v>
      </c>
      <c r="H95" s="24">
        <v>0</v>
      </c>
      <c r="I95" s="24" t="s">
        <v>5232</v>
      </c>
    </row>
    <row r="96" spans="1:9" x14ac:dyDescent="0.35">
      <c r="A96" s="24" t="s">
        <v>5044</v>
      </c>
      <c r="B96" s="24" t="str">
        <f>"H"</f>
        <v>H</v>
      </c>
      <c r="C96" s="24" t="str">
        <f t="shared" si="1"/>
        <v>'H'</v>
      </c>
      <c r="D96" s="24" t="s">
        <v>5233</v>
      </c>
      <c r="E96" s="24">
        <v>2.8616999999999999</v>
      </c>
      <c r="F96" s="24">
        <v>0.89080000000000004</v>
      </c>
      <c r="G96" s="24">
        <v>9852790627.2600002</v>
      </c>
      <c r="H96" s="24">
        <v>9</v>
      </c>
      <c r="I96" s="24" t="s">
        <v>5234</v>
      </c>
    </row>
    <row r="97" spans="1:9" x14ac:dyDescent="0.35">
      <c r="A97" s="24" t="s">
        <v>5049</v>
      </c>
      <c r="B97" s="24" t="str">
        <f>"CRCT"</f>
        <v>CRCT</v>
      </c>
      <c r="C97" s="24" t="str">
        <f t="shared" si="1"/>
        <v>'CRCT'</v>
      </c>
      <c r="D97" s="24" t="s">
        <v>5235</v>
      </c>
      <c r="E97" s="24">
        <v>2.8601999999999999</v>
      </c>
      <c r="F97" s="24">
        <v>5.2159000000000004</v>
      </c>
      <c r="G97" s="24">
        <v>2124273633.3</v>
      </c>
      <c r="H97" s="24">
        <v>2</v>
      </c>
      <c r="I97" s="24" t="s">
        <v>5236</v>
      </c>
    </row>
    <row r="98" spans="1:9" x14ac:dyDescent="0.35">
      <c r="A98" s="24" t="s">
        <v>5044</v>
      </c>
      <c r="B98" s="24" t="str">
        <f>"DGX"</f>
        <v>DGX</v>
      </c>
      <c r="C98" s="24" t="str">
        <f t="shared" si="1"/>
        <v>'DGX'</v>
      </c>
      <c r="D98" s="24" t="s">
        <v>5237</v>
      </c>
      <c r="E98" s="24">
        <v>2.8573</v>
      </c>
      <c r="F98" s="24">
        <v>1.4569000000000001</v>
      </c>
      <c r="G98" s="24">
        <v>17595613497</v>
      </c>
      <c r="H98" s="24">
        <v>6</v>
      </c>
      <c r="I98" s="24" t="s">
        <v>5238</v>
      </c>
    </row>
    <row r="99" spans="1:9" x14ac:dyDescent="0.35">
      <c r="A99" s="24" t="s">
        <v>5049</v>
      </c>
      <c r="B99" s="24" t="str">
        <f>"SYNA"</f>
        <v>SYNA</v>
      </c>
      <c r="C99" s="24" t="str">
        <f t="shared" si="1"/>
        <v>'SYNA'</v>
      </c>
      <c r="D99" s="24" t="s">
        <v>5239</v>
      </c>
      <c r="E99" s="24">
        <v>2.8542000000000001</v>
      </c>
      <c r="F99" s="24">
        <v>3.8647999999999998</v>
      </c>
      <c r="G99" s="24">
        <v>3782160309.0599999</v>
      </c>
      <c r="H99" s="24">
        <v>5</v>
      </c>
      <c r="I99" s="24" t="s">
        <v>5240</v>
      </c>
    </row>
    <row r="100" spans="1:9" x14ac:dyDescent="0.35">
      <c r="A100" s="24" t="s">
        <v>5044</v>
      </c>
      <c r="B100" s="24" t="str">
        <f>"EQNR"</f>
        <v>EQNR</v>
      </c>
      <c r="C100" s="24" t="str">
        <f t="shared" si="1"/>
        <v>'EQNR'</v>
      </c>
      <c r="D100" s="24" t="s">
        <v>5241</v>
      </c>
      <c r="E100" s="24">
        <v>2.8525999999999998</v>
      </c>
      <c r="G100" s="24">
        <v>104365035682.19</v>
      </c>
      <c r="H100" s="24">
        <v>2</v>
      </c>
      <c r="I100" s="24" t="s">
        <v>5242</v>
      </c>
    </row>
    <row r="101" spans="1:9" x14ac:dyDescent="0.35">
      <c r="A101" s="24" t="s">
        <v>5044</v>
      </c>
      <c r="B101" s="24" t="str">
        <f>"WIT"</f>
        <v>WIT</v>
      </c>
      <c r="C101" s="24" t="str">
        <f t="shared" si="1"/>
        <v>'WIT'</v>
      </c>
      <c r="D101" s="24" t="s">
        <v>5243</v>
      </c>
      <c r="E101" s="24">
        <v>2.8466999999999998</v>
      </c>
      <c r="F101" s="24">
        <v>2.0190000000000001</v>
      </c>
      <c r="G101" s="24">
        <v>25168669001.799999</v>
      </c>
      <c r="H101" s="24">
        <v>3</v>
      </c>
      <c r="I101" s="24" t="s">
        <v>5244</v>
      </c>
    </row>
    <row r="102" spans="1:9" x14ac:dyDescent="0.35">
      <c r="A102" s="24" t="s">
        <v>5044</v>
      </c>
      <c r="B102" s="24" t="str">
        <f>"TRU"</f>
        <v>TRU</v>
      </c>
      <c r="C102" s="24" t="str">
        <f t="shared" si="1"/>
        <v>'TRU'</v>
      </c>
      <c r="D102" s="24" t="s">
        <v>5245</v>
      </c>
      <c r="E102" s="24">
        <v>2.8346</v>
      </c>
      <c r="F102" s="24">
        <v>1.7292000000000001</v>
      </c>
      <c r="G102" s="24">
        <v>11432891000</v>
      </c>
      <c r="H102" s="24">
        <v>0</v>
      </c>
      <c r="I102" s="24" t="s">
        <v>5246</v>
      </c>
    </row>
    <row r="103" spans="1:9" x14ac:dyDescent="0.35">
      <c r="A103" s="24" t="s">
        <v>5049</v>
      </c>
      <c r="B103" s="24" t="str">
        <f>"VRNT"</f>
        <v>VRNT</v>
      </c>
      <c r="C103" s="24" t="str">
        <f t="shared" si="1"/>
        <v>'VRNT'</v>
      </c>
      <c r="D103" s="24" t="s">
        <v>5247</v>
      </c>
      <c r="E103" s="24">
        <v>2.8321000000000001</v>
      </c>
      <c r="F103" s="24">
        <v>1.3831</v>
      </c>
      <c r="G103" s="24">
        <v>2361305313.4499998</v>
      </c>
      <c r="H103" s="24">
        <v>1</v>
      </c>
      <c r="I103" s="24" t="s">
        <v>5248</v>
      </c>
    </row>
    <row r="104" spans="1:9" x14ac:dyDescent="0.35">
      <c r="A104" s="24" t="s">
        <v>5044</v>
      </c>
      <c r="B104" s="24" t="str">
        <f>"WPP"</f>
        <v>WPP</v>
      </c>
      <c r="C104" s="24" t="str">
        <f t="shared" si="1"/>
        <v>'WPP'</v>
      </c>
      <c r="D104" s="24" t="s">
        <v>5249</v>
      </c>
      <c r="E104" s="24">
        <v>2.8311000000000002</v>
      </c>
      <c r="G104" s="24">
        <v>11883719190.440001</v>
      </c>
      <c r="H104" s="24">
        <v>1</v>
      </c>
      <c r="I104" s="24" t="s">
        <v>5250</v>
      </c>
    </row>
    <row r="105" spans="1:9" x14ac:dyDescent="0.35">
      <c r="A105" s="24" t="s">
        <v>5044</v>
      </c>
      <c r="B105" s="24" t="str">
        <f>"AYI"</f>
        <v>AYI</v>
      </c>
      <c r="C105" s="24" t="str">
        <f t="shared" si="1"/>
        <v>'AYI'</v>
      </c>
      <c r="D105" s="24" t="s">
        <v>5251</v>
      </c>
      <c r="E105" s="24">
        <v>2.8285</v>
      </c>
      <c r="F105" s="24">
        <v>1.9984</v>
      </c>
      <c r="G105" s="24">
        <v>5395534170.8599997</v>
      </c>
      <c r="H105" s="24">
        <v>2</v>
      </c>
      <c r="I105" s="24" t="s">
        <v>5252</v>
      </c>
    </row>
    <row r="106" spans="1:9" x14ac:dyDescent="0.35">
      <c r="A106" s="24" t="s">
        <v>5049</v>
      </c>
      <c r="B106" s="24" t="str">
        <f>"IART"</f>
        <v>IART</v>
      </c>
      <c r="C106" s="24" t="str">
        <f t="shared" si="1"/>
        <v>'IART'</v>
      </c>
      <c r="D106" s="24" t="s">
        <v>5253</v>
      </c>
      <c r="E106" s="24">
        <v>2.8178000000000001</v>
      </c>
      <c r="F106" s="24">
        <v>3.9298999999999999</v>
      </c>
      <c r="G106" s="24">
        <v>4859086723.3400002</v>
      </c>
      <c r="H106" s="24">
        <v>1</v>
      </c>
      <c r="I106" s="24" t="s">
        <v>5254</v>
      </c>
    </row>
    <row r="107" spans="1:9" x14ac:dyDescent="0.35">
      <c r="A107" s="24" t="s">
        <v>5044</v>
      </c>
      <c r="B107" s="24" t="str">
        <f>"BLD"</f>
        <v>BLD</v>
      </c>
      <c r="C107" s="24" t="str">
        <f t="shared" si="1"/>
        <v>'BLD'</v>
      </c>
      <c r="D107" s="24" t="s">
        <v>5255</v>
      </c>
      <c r="E107" s="24">
        <v>2.8125</v>
      </c>
      <c r="F107" s="24">
        <v>1.8382000000000001</v>
      </c>
      <c r="G107" s="24">
        <v>5159375214.8400002</v>
      </c>
      <c r="H107" s="24">
        <v>2</v>
      </c>
      <c r="I107" s="24" t="s">
        <v>5256</v>
      </c>
    </row>
    <row r="108" spans="1:9" x14ac:dyDescent="0.35">
      <c r="A108" s="24" t="s">
        <v>5044</v>
      </c>
      <c r="B108" s="24" t="str">
        <f>"GIL"</f>
        <v>GIL</v>
      </c>
      <c r="C108" s="24" t="str">
        <f t="shared" si="1"/>
        <v>'GIL'</v>
      </c>
      <c r="D108" s="24" t="s">
        <v>5257</v>
      </c>
      <c r="E108" s="24">
        <v>2.7997999999999998</v>
      </c>
      <c r="F108" s="24">
        <v>2.5802</v>
      </c>
      <c r="G108" s="24">
        <v>5117505280</v>
      </c>
      <c r="H108" s="24">
        <v>1</v>
      </c>
      <c r="I108" s="24" t="s">
        <v>5258</v>
      </c>
    </row>
    <row r="109" spans="1:9" x14ac:dyDescent="0.35">
      <c r="A109" s="24" t="s">
        <v>5044</v>
      </c>
      <c r="B109" s="24" t="str">
        <f>"SKY"</f>
        <v>SKY</v>
      </c>
      <c r="C109" s="24" t="str">
        <f t="shared" si="1"/>
        <v>'SKY'</v>
      </c>
      <c r="D109" s="24" t="s">
        <v>5259</v>
      </c>
      <c r="E109" s="24">
        <v>2.7976000000000001</v>
      </c>
      <c r="F109" s="24">
        <v>2.8307000000000002</v>
      </c>
      <c r="G109" s="24">
        <v>3037492814.0799999</v>
      </c>
      <c r="H109" s="24">
        <v>0</v>
      </c>
      <c r="I109" s="24" t="s">
        <v>5260</v>
      </c>
    </row>
    <row r="110" spans="1:9" x14ac:dyDescent="0.35">
      <c r="A110" s="24" t="s">
        <v>5044</v>
      </c>
      <c r="B110" s="24" t="str">
        <f>"MGM"</f>
        <v>MGM</v>
      </c>
      <c r="C110" s="24" t="str">
        <f t="shared" si="1"/>
        <v>'MGM'</v>
      </c>
      <c r="D110" s="24" t="s">
        <v>5261</v>
      </c>
      <c r="E110" s="24">
        <v>2.7885</v>
      </c>
      <c r="F110" s="24">
        <v>1.4898</v>
      </c>
      <c r="G110" s="24">
        <v>13498313404.4</v>
      </c>
      <c r="H110" s="24">
        <v>13</v>
      </c>
      <c r="I110" s="24" t="s">
        <v>5262</v>
      </c>
    </row>
    <row r="111" spans="1:9" x14ac:dyDescent="0.35">
      <c r="A111" s="24" t="s">
        <v>5044</v>
      </c>
      <c r="B111" s="24" t="str">
        <f>"JCI"</f>
        <v>JCI</v>
      </c>
      <c r="C111" s="24" t="str">
        <f t="shared" si="1"/>
        <v>'JCI'</v>
      </c>
      <c r="D111" s="24" t="s">
        <v>5263</v>
      </c>
      <c r="E111" s="24">
        <v>2.7862</v>
      </c>
      <c r="F111" s="24">
        <v>1.0397000000000001</v>
      </c>
      <c r="G111" s="24">
        <v>44656353901.669998</v>
      </c>
      <c r="H111" s="24">
        <v>6</v>
      </c>
      <c r="I111" s="24" t="s">
        <v>5264</v>
      </c>
    </row>
    <row r="112" spans="1:9" x14ac:dyDescent="0.35">
      <c r="A112" s="24" t="s">
        <v>5044</v>
      </c>
      <c r="B112" s="24" t="str">
        <f>"GFI"</f>
        <v>GFI</v>
      </c>
      <c r="C112" s="24" t="str">
        <f t="shared" si="1"/>
        <v>'GFI'</v>
      </c>
      <c r="D112" s="24" t="s">
        <v>5265</v>
      </c>
      <c r="E112" s="24">
        <v>2.7847</v>
      </c>
      <c r="G112" s="24">
        <v>10208749502</v>
      </c>
      <c r="H112" s="24">
        <v>3</v>
      </c>
      <c r="I112" s="24" t="s">
        <v>5266</v>
      </c>
    </row>
    <row r="113" spans="1:9" x14ac:dyDescent="0.35">
      <c r="A113" s="24" t="s">
        <v>5044</v>
      </c>
      <c r="B113" s="24" t="str">
        <f>"ALV"</f>
        <v>ALV</v>
      </c>
      <c r="C113" s="24" t="str">
        <f t="shared" si="1"/>
        <v>'ALV'</v>
      </c>
      <c r="D113" s="24" t="s">
        <v>5267</v>
      </c>
      <c r="E113" s="24">
        <v>2.7823000000000002</v>
      </c>
      <c r="F113" s="24">
        <v>1.0373000000000001</v>
      </c>
      <c r="G113" s="24">
        <v>6735045920.3999996</v>
      </c>
      <c r="H113" s="24">
        <v>2</v>
      </c>
      <c r="I113" s="24" t="s">
        <v>5268</v>
      </c>
    </row>
    <row r="114" spans="1:9" x14ac:dyDescent="0.35">
      <c r="A114" s="24" t="s">
        <v>5044</v>
      </c>
      <c r="B114" s="24" t="str">
        <f>"SIM"</f>
        <v>SIM</v>
      </c>
      <c r="C114" s="24" t="str">
        <f t="shared" si="1"/>
        <v>'SIM'</v>
      </c>
      <c r="D114" s="24" t="s">
        <v>5269</v>
      </c>
      <c r="E114" s="24">
        <v>2.7812999999999999</v>
      </c>
      <c r="G114" s="24">
        <v>5693295595.6800003</v>
      </c>
      <c r="H114" s="24">
        <v>2</v>
      </c>
      <c r="I114" s="24" t="s">
        <v>5270</v>
      </c>
    </row>
    <row r="115" spans="1:9" x14ac:dyDescent="0.35">
      <c r="A115" s="24" t="s">
        <v>5049</v>
      </c>
      <c r="B115" s="24" t="str">
        <f>"LKQ"</f>
        <v>LKQ</v>
      </c>
      <c r="C115" s="24" t="str">
        <f t="shared" si="1"/>
        <v>'LKQ'</v>
      </c>
      <c r="D115" s="24" t="s">
        <v>5271</v>
      </c>
      <c r="E115" s="24">
        <v>2.7786</v>
      </c>
      <c r="F115" s="24">
        <v>1.7873000000000001</v>
      </c>
      <c r="G115" s="24">
        <v>14411418690.9</v>
      </c>
      <c r="H115" s="24">
        <v>5</v>
      </c>
      <c r="I115" s="24" t="s">
        <v>5272</v>
      </c>
    </row>
    <row r="116" spans="1:9" x14ac:dyDescent="0.35">
      <c r="A116" s="24" t="s">
        <v>5044</v>
      </c>
      <c r="B116" s="24" t="str">
        <f>"TEX"</f>
        <v>TEX</v>
      </c>
      <c r="C116" s="24" t="str">
        <f t="shared" si="1"/>
        <v>'TEX'</v>
      </c>
      <c r="D116" s="24" t="s">
        <v>5273</v>
      </c>
      <c r="E116" s="24">
        <v>2.7785000000000002</v>
      </c>
      <c r="F116" s="24">
        <v>1.9597</v>
      </c>
      <c r="G116" s="24">
        <v>2850525000</v>
      </c>
      <c r="H116" s="24">
        <v>0</v>
      </c>
      <c r="I116" s="24" t="s">
        <v>5274</v>
      </c>
    </row>
    <row r="117" spans="1:9" x14ac:dyDescent="0.35">
      <c r="A117" s="24" t="s">
        <v>5044</v>
      </c>
      <c r="B117" s="24" t="str">
        <f>"BDC"</f>
        <v>BDC</v>
      </c>
      <c r="C117" s="24" t="str">
        <f t="shared" si="1"/>
        <v>'BDC'</v>
      </c>
      <c r="D117" s="24" t="s">
        <v>5275</v>
      </c>
      <c r="E117" s="24">
        <v>2.7778999999999998</v>
      </c>
      <c r="F117" s="24">
        <v>2.5381999999999998</v>
      </c>
      <c r="G117" s="24">
        <v>3143646568.8000002</v>
      </c>
      <c r="H117" s="24">
        <v>0</v>
      </c>
      <c r="I117" s="24" t="s">
        <v>5276</v>
      </c>
    </row>
    <row r="118" spans="1:9" x14ac:dyDescent="0.35">
      <c r="A118" s="24" t="s">
        <v>5044</v>
      </c>
      <c r="B118" s="24" t="str">
        <f>"TKC"</f>
        <v>TKC</v>
      </c>
      <c r="C118" s="24" t="str">
        <f t="shared" si="1"/>
        <v>'TKC'</v>
      </c>
      <c r="D118" s="24" t="s">
        <v>5277</v>
      </c>
      <c r="E118" s="24">
        <v>2.7726999999999999</v>
      </c>
      <c r="G118" s="24">
        <v>4074400000</v>
      </c>
      <c r="H118" s="24">
        <v>1</v>
      </c>
      <c r="I118" s="24" t="s">
        <v>5278</v>
      </c>
    </row>
    <row r="119" spans="1:9" x14ac:dyDescent="0.35">
      <c r="A119" s="24" t="s">
        <v>5044</v>
      </c>
      <c r="B119" s="24" t="str">
        <f>"BC"</f>
        <v>BC</v>
      </c>
      <c r="C119" s="24" t="str">
        <f t="shared" si="1"/>
        <v>'BC'</v>
      </c>
      <c r="D119" s="24" t="s">
        <v>5279</v>
      </c>
      <c r="E119" s="24">
        <v>2.7618</v>
      </c>
      <c r="F119" s="24">
        <v>1.8814</v>
      </c>
      <c r="G119" s="24">
        <v>5453214993.1499996</v>
      </c>
      <c r="H119" s="24">
        <v>3</v>
      </c>
      <c r="I119" s="24" t="s">
        <v>5280</v>
      </c>
    </row>
    <row r="120" spans="1:9" x14ac:dyDescent="0.35">
      <c r="A120" s="24" t="s">
        <v>5049</v>
      </c>
      <c r="B120" s="24" t="str">
        <f>"EXAS"</f>
        <v>EXAS</v>
      </c>
      <c r="C120" s="24" t="str">
        <f t="shared" si="1"/>
        <v>'EXAS'</v>
      </c>
      <c r="D120" s="24" t="s">
        <v>5281</v>
      </c>
      <c r="E120" s="24">
        <v>2.7612999999999999</v>
      </c>
      <c r="F120" s="24">
        <v>2.4748000000000001</v>
      </c>
      <c r="G120" s="24">
        <v>8583915924.0900002</v>
      </c>
      <c r="H120" s="24">
        <v>13</v>
      </c>
      <c r="I120" s="24" t="s">
        <v>5282</v>
      </c>
    </row>
    <row r="121" spans="1:9" x14ac:dyDescent="0.35">
      <c r="A121" s="24" t="s">
        <v>5049</v>
      </c>
      <c r="B121" s="24" t="str">
        <f>"SWKS"</f>
        <v>SWKS</v>
      </c>
      <c r="C121" s="24" t="str">
        <f t="shared" si="1"/>
        <v>'SWKS'</v>
      </c>
      <c r="D121" s="24" t="s">
        <v>5283</v>
      </c>
      <c r="E121" s="24">
        <v>2.7566999999999999</v>
      </c>
      <c r="F121" s="24">
        <v>2.6326000000000001</v>
      </c>
      <c r="G121" s="24">
        <v>14802085534.879999</v>
      </c>
      <c r="H121" s="24">
        <v>34</v>
      </c>
      <c r="I121" s="24" t="s">
        <v>5284</v>
      </c>
    </row>
    <row r="122" spans="1:9" x14ac:dyDescent="0.35">
      <c r="A122" s="24" t="s">
        <v>5049</v>
      </c>
      <c r="B122" s="24" t="str">
        <f>"UAL"</f>
        <v>UAL</v>
      </c>
      <c r="C122" s="24" t="str">
        <f t="shared" si="1"/>
        <v>'UAL'</v>
      </c>
      <c r="D122" s="24" t="s">
        <v>5285</v>
      </c>
      <c r="E122" s="24">
        <v>2.7526999999999999</v>
      </c>
      <c r="F122" s="24">
        <v>1.0318000000000001</v>
      </c>
      <c r="G122" s="24">
        <v>13482503750.440001</v>
      </c>
      <c r="H122" s="24">
        <v>30</v>
      </c>
      <c r="I122" s="24" t="s">
        <v>5286</v>
      </c>
    </row>
    <row r="123" spans="1:9" x14ac:dyDescent="0.35">
      <c r="A123" s="24" t="s">
        <v>5044</v>
      </c>
      <c r="B123" s="24" t="str">
        <f>"SPXC"</f>
        <v>SPXC</v>
      </c>
      <c r="C123" s="24" t="str">
        <f t="shared" si="1"/>
        <v>'SPXC'</v>
      </c>
      <c r="D123" s="24" t="s">
        <v>5287</v>
      </c>
      <c r="E123" s="24">
        <v>2.7513000000000001</v>
      </c>
      <c r="F123" s="24">
        <v>2.2374000000000001</v>
      </c>
      <c r="G123" s="24">
        <v>2970594826.2800002</v>
      </c>
      <c r="H123" s="24">
        <v>4</v>
      </c>
      <c r="I123" s="24" t="s">
        <v>5288</v>
      </c>
    </row>
    <row r="124" spans="1:9" x14ac:dyDescent="0.35">
      <c r="A124" s="24" t="s">
        <v>5049</v>
      </c>
      <c r="B124" s="24" t="str">
        <f>"HQY"</f>
        <v>HQY</v>
      </c>
      <c r="C124" s="24" t="str">
        <f t="shared" si="1"/>
        <v>'HQY'</v>
      </c>
      <c r="D124" s="24" t="s">
        <v>5289</v>
      </c>
      <c r="E124" s="24">
        <v>2.7448999999999999</v>
      </c>
      <c r="F124" s="24">
        <v>3.0093999999999999</v>
      </c>
      <c r="G124" s="24">
        <v>5168954357.0299997</v>
      </c>
      <c r="H124" s="24">
        <v>1</v>
      </c>
      <c r="I124" s="24" t="s">
        <v>5290</v>
      </c>
    </row>
    <row r="125" spans="1:9" x14ac:dyDescent="0.35">
      <c r="A125" s="24" t="s">
        <v>5044</v>
      </c>
      <c r="B125" s="24" t="str">
        <f>"RYN"</f>
        <v>RYN</v>
      </c>
      <c r="C125" s="24" t="str">
        <f t="shared" si="1"/>
        <v>'RYN'</v>
      </c>
      <c r="D125" s="24" t="s">
        <v>5291</v>
      </c>
      <c r="E125" s="24">
        <v>2.7446999999999999</v>
      </c>
      <c r="F125" s="24">
        <v>3.1591</v>
      </c>
      <c r="G125" s="24">
        <v>4862744825.9399996</v>
      </c>
      <c r="H125" s="24">
        <v>2</v>
      </c>
      <c r="I125" s="24" t="s">
        <v>5292</v>
      </c>
    </row>
    <row r="126" spans="1:9" x14ac:dyDescent="0.35">
      <c r="A126" s="24" t="s">
        <v>5049</v>
      </c>
      <c r="B126" s="24" t="str">
        <f>"UTHR"</f>
        <v>UTHR</v>
      </c>
      <c r="C126" s="24" t="str">
        <f t="shared" si="1"/>
        <v>'UTHR'</v>
      </c>
      <c r="D126" s="24" t="s">
        <v>5293</v>
      </c>
      <c r="E126" s="24">
        <v>2.7385000000000002</v>
      </c>
      <c r="F126" s="24">
        <v>9.6752000000000002</v>
      </c>
      <c r="G126" s="24">
        <v>12493554630.48</v>
      </c>
      <c r="H126" s="24">
        <v>7</v>
      </c>
      <c r="I126" s="24" t="s">
        <v>5294</v>
      </c>
    </row>
    <row r="127" spans="1:9" x14ac:dyDescent="0.35">
      <c r="A127" s="24" t="s">
        <v>5049</v>
      </c>
      <c r="B127" s="24" t="str">
        <f>"WTW"</f>
        <v>WTW</v>
      </c>
      <c r="C127" s="24" t="str">
        <f t="shared" si="1"/>
        <v>'WTW'</v>
      </c>
      <c r="D127" s="24" t="s">
        <v>5295</v>
      </c>
      <c r="E127" s="24">
        <v>2.7360000000000002</v>
      </c>
      <c r="F127" s="24">
        <v>1.0658000000000001</v>
      </c>
      <c r="G127" s="24">
        <v>26674079319.240002</v>
      </c>
      <c r="H127" s="24">
        <v>5</v>
      </c>
      <c r="I127" s="24" t="s">
        <v>5296</v>
      </c>
    </row>
    <row r="128" spans="1:9" x14ac:dyDescent="0.35">
      <c r="A128" s="24" t="s">
        <v>5044</v>
      </c>
      <c r="B128" s="24" t="str">
        <f>"INST"</f>
        <v>INST</v>
      </c>
      <c r="C128" s="24" t="str">
        <f t="shared" si="1"/>
        <v>'INST'</v>
      </c>
      <c r="D128" s="24" t="s">
        <v>5297</v>
      </c>
      <c r="E128" s="24">
        <v>2.7353999999999998</v>
      </c>
      <c r="F128" s="24">
        <v>1.0299</v>
      </c>
      <c r="G128" s="24">
        <v>3487048116.3600001</v>
      </c>
      <c r="H128" s="24">
        <v>0</v>
      </c>
      <c r="I128" s="24" t="s">
        <v>5298</v>
      </c>
    </row>
    <row r="129" spans="1:9" x14ac:dyDescent="0.35">
      <c r="A129" s="24" t="s">
        <v>5044</v>
      </c>
      <c r="B129" s="24" t="str">
        <f>"FLR"</f>
        <v>FLR</v>
      </c>
      <c r="C129" s="24" t="str">
        <f t="shared" si="1"/>
        <v>'FLR'</v>
      </c>
      <c r="D129" s="24" t="s">
        <v>5299</v>
      </c>
      <c r="E129" s="24">
        <v>2.7341000000000002</v>
      </c>
      <c r="F129" s="24">
        <v>1.5543</v>
      </c>
      <c r="G129" s="24">
        <v>4511303937.75</v>
      </c>
      <c r="H129" s="24">
        <v>5</v>
      </c>
      <c r="I129" s="24" t="s">
        <v>5300</v>
      </c>
    </row>
    <row r="130" spans="1:9" x14ac:dyDescent="0.35">
      <c r="A130" s="24" t="s">
        <v>5044</v>
      </c>
      <c r="B130" s="24" t="str">
        <f>"HI"</f>
        <v>HI</v>
      </c>
      <c r="C130" s="24" t="str">
        <f t="shared" si="1"/>
        <v>'HI'</v>
      </c>
      <c r="D130" s="24" t="s">
        <v>5301</v>
      </c>
      <c r="E130" s="24">
        <v>2.7288000000000001</v>
      </c>
      <c r="F130" s="24">
        <v>1.3016000000000001</v>
      </c>
      <c r="G130" s="24">
        <v>2913624465.3000002</v>
      </c>
      <c r="H130" s="24">
        <v>2</v>
      </c>
      <c r="I130" s="24" t="s">
        <v>5302</v>
      </c>
    </row>
    <row r="131" spans="1:9" x14ac:dyDescent="0.35">
      <c r="A131" s="24" t="s">
        <v>5044</v>
      </c>
      <c r="B131" s="24" t="str">
        <f>"NEX"</f>
        <v>NEX</v>
      </c>
      <c r="C131" s="24" t="str">
        <f t="shared" ref="C131:C194" si="2">"'"&amp;B131&amp;"'"</f>
        <v>'NEX'</v>
      </c>
      <c r="D131" s="24" t="s">
        <v>5303</v>
      </c>
      <c r="E131" s="24">
        <v>2.7259000000000002</v>
      </c>
      <c r="F131" s="24">
        <v>1.3005</v>
      </c>
      <c r="G131" s="24">
        <v>2079637837.97</v>
      </c>
      <c r="H131" s="24">
        <v>0</v>
      </c>
      <c r="I131" s="24" t="s">
        <v>5304</v>
      </c>
    </row>
    <row r="132" spans="1:9" x14ac:dyDescent="0.35">
      <c r="A132" s="24" t="s">
        <v>5044</v>
      </c>
      <c r="B132" s="24" t="str">
        <f>"CPA"</f>
        <v>CPA</v>
      </c>
      <c r="C132" s="24" t="str">
        <f t="shared" si="2"/>
        <v>'CPA'</v>
      </c>
      <c r="D132" s="24" t="s">
        <v>5305</v>
      </c>
      <c r="E132" s="24">
        <v>2.7155999999999998</v>
      </c>
      <c r="G132" s="24">
        <v>3528682566.75</v>
      </c>
      <c r="H132" s="24">
        <v>0</v>
      </c>
      <c r="I132" s="24" t="s">
        <v>5306</v>
      </c>
    </row>
    <row r="133" spans="1:9" x14ac:dyDescent="0.35">
      <c r="A133" s="24" t="s">
        <v>5044</v>
      </c>
      <c r="B133" s="24" t="str">
        <f>"MTZ"</f>
        <v>MTZ</v>
      </c>
      <c r="C133" s="24" t="str">
        <f t="shared" si="2"/>
        <v>'MTZ'</v>
      </c>
      <c r="D133" s="24" t="s">
        <v>5307</v>
      </c>
      <c r="E133" s="24">
        <v>2.7126000000000001</v>
      </c>
      <c r="F133" s="24">
        <v>1.5677000000000001</v>
      </c>
      <c r="G133" s="24">
        <v>6895567852.6800003</v>
      </c>
      <c r="H133" s="24">
        <v>0</v>
      </c>
      <c r="I133" s="24" t="s">
        <v>5308</v>
      </c>
    </row>
    <row r="134" spans="1:9" x14ac:dyDescent="0.35">
      <c r="A134" s="24" t="s">
        <v>5049</v>
      </c>
      <c r="B134" s="24" t="str">
        <f>"META"</f>
        <v>META</v>
      </c>
      <c r="C134" s="24" t="str">
        <f t="shared" si="2"/>
        <v>'META'</v>
      </c>
      <c r="D134" s="24" t="s">
        <v>5309</v>
      </c>
      <c r="E134" s="24">
        <v>2.7124000000000001</v>
      </c>
      <c r="F134" s="24">
        <v>2.5703999999999998</v>
      </c>
      <c r="G134" s="24">
        <v>336587588677.56</v>
      </c>
      <c r="H134" s="24">
        <v>535</v>
      </c>
      <c r="I134" s="24" t="s">
        <v>5310</v>
      </c>
    </row>
    <row r="135" spans="1:9" x14ac:dyDescent="0.35">
      <c r="A135" s="24" t="s">
        <v>5044</v>
      </c>
      <c r="B135" s="24" t="str">
        <f>"DAR"</f>
        <v>DAR</v>
      </c>
      <c r="C135" s="24" t="str">
        <f t="shared" si="2"/>
        <v>'DAR'</v>
      </c>
      <c r="D135" s="24" t="s">
        <v>5311</v>
      </c>
      <c r="E135" s="24">
        <v>2.7092999999999998</v>
      </c>
      <c r="F135" s="24">
        <v>1.5195000000000001</v>
      </c>
      <c r="G135" s="24">
        <v>9699626217.3600006</v>
      </c>
      <c r="H135" s="24">
        <v>2</v>
      </c>
      <c r="I135" s="24" t="s">
        <v>5312</v>
      </c>
    </row>
    <row r="136" spans="1:9" x14ac:dyDescent="0.35">
      <c r="A136" s="24" t="s">
        <v>5044</v>
      </c>
      <c r="B136" s="24" t="str">
        <f>"CMS"</f>
        <v>CMS</v>
      </c>
      <c r="C136" s="24" t="str">
        <f t="shared" si="2"/>
        <v>'CMS'</v>
      </c>
      <c r="D136" s="24" t="s">
        <v>5313</v>
      </c>
      <c r="E136" s="24">
        <v>2.7092000000000001</v>
      </c>
      <c r="F136" s="24">
        <v>1.2161999999999999</v>
      </c>
      <c r="G136" s="24">
        <v>18367121374.560001</v>
      </c>
      <c r="H136" s="24">
        <v>3</v>
      </c>
      <c r="I136" s="24" t="s">
        <v>5314</v>
      </c>
    </row>
    <row r="137" spans="1:9" x14ac:dyDescent="0.35">
      <c r="A137" s="24" t="s">
        <v>5049</v>
      </c>
      <c r="B137" s="24" t="str">
        <f>"ACHC"</f>
        <v>ACHC</v>
      </c>
      <c r="C137" s="24" t="str">
        <f t="shared" si="2"/>
        <v>'ACHC'</v>
      </c>
      <c r="D137" s="24" t="s">
        <v>5315</v>
      </c>
      <c r="E137" s="24">
        <v>2.7080000000000002</v>
      </c>
      <c r="F137" s="24">
        <v>1.3008</v>
      </c>
      <c r="G137" s="24">
        <v>7430068150.71</v>
      </c>
      <c r="H137" s="24">
        <v>1</v>
      </c>
      <c r="I137" s="24" t="s">
        <v>5316</v>
      </c>
    </row>
    <row r="138" spans="1:9" x14ac:dyDescent="0.35">
      <c r="A138" s="24" t="s">
        <v>5044</v>
      </c>
      <c r="B138" s="24" t="str">
        <f>"CIEN"</f>
        <v>CIEN</v>
      </c>
      <c r="C138" s="24" t="str">
        <f t="shared" si="2"/>
        <v>'CIEN'</v>
      </c>
      <c r="D138" s="24" t="s">
        <v>5317</v>
      </c>
      <c r="E138" s="24">
        <v>2.7031000000000001</v>
      </c>
      <c r="F138" s="24">
        <v>3.2538</v>
      </c>
      <c r="G138" s="24">
        <v>7333185594.6899996</v>
      </c>
      <c r="H138" s="24">
        <v>0</v>
      </c>
      <c r="I138" s="24" t="s">
        <v>5318</v>
      </c>
    </row>
    <row r="139" spans="1:9" x14ac:dyDescent="0.35">
      <c r="A139" s="24" t="s">
        <v>5049</v>
      </c>
      <c r="B139" s="24" t="str">
        <f>"LFUS"</f>
        <v>LFUS</v>
      </c>
      <c r="C139" s="24" t="str">
        <f t="shared" si="2"/>
        <v>'LFUS'</v>
      </c>
      <c r="D139" s="24" t="s">
        <v>5319</v>
      </c>
      <c r="E139" s="24">
        <v>2.6922000000000001</v>
      </c>
      <c r="F139" s="24">
        <v>3.1890999999999998</v>
      </c>
      <c r="G139" s="24">
        <v>5583373738.7399998</v>
      </c>
      <c r="H139" s="24">
        <v>4</v>
      </c>
      <c r="I139" s="24" t="s">
        <v>5320</v>
      </c>
    </row>
    <row r="140" spans="1:9" x14ac:dyDescent="0.35">
      <c r="A140" s="24" t="s">
        <v>5044</v>
      </c>
      <c r="B140" s="24" t="str">
        <f>"GNRC"</f>
        <v>GNRC</v>
      </c>
      <c r="C140" s="24" t="str">
        <f t="shared" si="2"/>
        <v>'GNRC'</v>
      </c>
      <c r="D140" s="24" t="s">
        <v>5321</v>
      </c>
      <c r="E140" s="24">
        <v>2.6852999999999998</v>
      </c>
      <c r="F140" s="24">
        <v>2.0931999999999999</v>
      </c>
      <c r="G140" s="24">
        <v>6226033624.54</v>
      </c>
      <c r="H140" s="24">
        <v>15</v>
      </c>
      <c r="I140" s="24" t="s">
        <v>5322</v>
      </c>
    </row>
    <row r="141" spans="1:9" x14ac:dyDescent="0.35">
      <c r="A141" s="24" t="s">
        <v>5044</v>
      </c>
      <c r="B141" s="24" t="str">
        <f>"DASH"</f>
        <v>DASH</v>
      </c>
      <c r="C141" s="24" t="str">
        <f t="shared" si="2"/>
        <v>'DASH'</v>
      </c>
      <c r="D141" s="24" t="s">
        <v>5323</v>
      </c>
      <c r="E141" s="24">
        <v>2.6808000000000001</v>
      </c>
      <c r="F141" s="24">
        <v>2.1164000000000001</v>
      </c>
      <c r="G141" s="24">
        <v>18296683941.150002</v>
      </c>
      <c r="H141" s="24">
        <v>5</v>
      </c>
      <c r="I141" s="24" t="s">
        <v>5324</v>
      </c>
    </row>
    <row r="142" spans="1:9" x14ac:dyDescent="0.35">
      <c r="A142" s="24" t="s">
        <v>5049</v>
      </c>
      <c r="B142" s="24" t="str">
        <f>"NCNO"</f>
        <v>NCNO</v>
      </c>
      <c r="C142" s="24" t="str">
        <f t="shared" si="2"/>
        <v>'NCNO'</v>
      </c>
      <c r="D142" s="24" t="s">
        <v>5325</v>
      </c>
      <c r="E142" s="24">
        <v>2.6751</v>
      </c>
      <c r="F142" s="24">
        <v>1.0642</v>
      </c>
      <c r="G142" s="24">
        <v>2760318241.7800002</v>
      </c>
      <c r="H142" s="24">
        <v>0</v>
      </c>
      <c r="I142" s="24" t="s">
        <v>5326</v>
      </c>
    </row>
    <row r="143" spans="1:9" x14ac:dyDescent="0.35">
      <c r="A143" s="24" t="s">
        <v>5044</v>
      </c>
      <c r="B143" s="24" t="str">
        <f>"WEC"</f>
        <v>WEC</v>
      </c>
      <c r="C143" s="24" t="str">
        <f t="shared" si="2"/>
        <v>'WEC'</v>
      </c>
      <c r="D143" s="24" t="s">
        <v>5327</v>
      </c>
      <c r="E143" s="24">
        <v>2.6751</v>
      </c>
      <c r="F143" s="24">
        <v>0.82230000000000003</v>
      </c>
      <c r="G143" s="24">
        <v>29149305009.709999</v>
      </c>
      <c r="H143" s="24">
        <v>3</v>
      </c>
      <c r="I143" s="24" t="s">
        <v>5328</v>
      </c>
    </row>
    <row r="144" spans="1:9" x14ac:dyDescent="0.35">
      <c r="A144" s="24" t="s">
        <v>5049</v>
      </c>
      <c r="B144" s="24" t="str">
        <f>"FSLR"</f>
        <v>FSLR</v>
      </c>
      <c r="C144" s="24" t="str">
        <f t="shared" si="2"/>
        <v>'FSLR'</v>
      </c>
      <c r="D144" s="24" t="s">
        <v>5329</v>
      </c>
      <c r="E144" s="24">
        <v>2.6606000000000001</v>
      </c>
      <c r="F144" s="24">
        <v>4.0903</v>
      </c>
      <c r="G144" s="24">
        <v>15506852030.6</v>
      </c>
      <c r="H144" s="24">
        <v>7</v>
      </c>
      <c r="I144" s="24" t="s">
        <v>5330</v>
      </c>
    </row>
    <row r="145" spans="1:9" x14ac:dyDescent="0.35">
      <c r="A145" s="24" t="s">
        <v>5044</v>
      </c>
      <c r="B145" s="24" t="str">
        <f>"GTLS"</f>
        <v>GTLS</v>
      </c>
      <c r="C145" s="24" t="str">
        <f t="shared" si="2"/>
        <v>'GTLS'</v>
      </c>
      <c r="D145" s="24" t="s">
        <v>5331</v>
      </c>
      <c r="E145" s="24">
        <v>2.6577999999999999</v>
      </c>
      <c r="F145" s="24">
        <v>1.2313000000000001</v>
      </c>
      <c r="G145" s="24">
        <v>4298777184.1599998</v>
      </c>
      <c r="H145" s="24">
        <v>0</v>
      </c>
      <c r="I145" s="24" t="s">
        <v>5332</v>
      </c>
    </row>
    <row r="146" spans="1:9" x14ac:dyDescent="0.35">
      <c r="A146" s="24" t="s">
        <v>5049</v>
      </c>
      <c r="B146" s="24" t="str">
        <f>"CNXC"</f>
        <v>CNXC</v>
      </c>
      <c r="C146" s="24" t="str">
        <f t="shared" si="2"/>
        <v>'CNXC'</v>
      </c>
      <c r="D146" s="24" t="s">
        <v>5333</v>
      </c>
      <c r="E146" s="24">
        <v>2.6574</v>
      </c>
      <c r="F146" s="24">
        <v>1.6702999999999999</v>
      </c>
      <c r="G146" s="24">
        <v>6995004725.8000002</v>
      </c>
      <c r="H146" s="24">
        <v>0</v>
      </c>
      <c r="I146" s="24" t="s">
        <v>5334</v>
      </c>
    </row>
    <row r="147" spans="1:9" x14ac:dyDescent="0.35">
      <c r="A147" s="24" t="s">
        <v>5049</v>
      </c>
      <c r="B147" s="24" t="str">
        <f>"NUVA"</f>
        <v>NUVA</v>
      </c>
      <c r="C147" s="24" t="str">
        <f t="shared" si="2"/>
        <v>'NUVA'</v>
      </c>
      <c r="D147" s="24" t="s">
        <v>5335</v>
      </c>
      <c r="E147" s="24">
        <v>2.6545000000000001</v>
      </c>
      <c r="F147" s="24">
        <v>1.2091000000000001</v>
      </c>
      <c r="G147" s="24">
        <v>2208915927.5700002</v>
      </c>
      <c r="H147" s="24">
        <v>1</v>
      </c>
      <c r="I147" s="24" t="s">
        <v>5336</v>
      </c>
    </row>
    <row r="148" spans="1:9" x14ac:dyDescent="0.35">
      <c r="A148" s="24" t="s">
        <v>5044</v>
      </c>
      <c r="B148" s="24" t="str">
        <f>"KOF"</f>
        <v>KOF</v>
      </c>
      <c r="C148" s="24" t="str">
        <f t="shared" si="2"/>
        <v>'KOF'</v>
      </c>
      <c r="D148" s="24" t="s">
        <v>5337</v>
      </c>
      <c r="E148" s="24">
        <v>2.6473</v>
      </c>
      <c r="G148" s="24">
        <v>14522801310.85</v>
      </c>
      <c r="H148" s="24">
        <v>1</v>
      </c>
      <c r="I148" s="24" t="s">
        <v>5338</v>
      </c>
    </row>
    <row r="149" spans="1:9" x14ac:dyDescent="0.35">
      <c r="A149" s="24" t="s">
        <v>5044</v>
      </c>
      <c r="B149" s="24" t="str">
        <f>"CWT"</f>
        <v>CWT</v>
      </c>
      <c r="C149" s="24" t="str">
        <f t="shared" si="2"/>
        <v>'CWT'</v>
      </c>
      <c r="D149" s="24" t="s">
        <v>5339</v>
      </c>
      <c r="E149" s="24">
        <v>2.6450999999999998</v>
      </c>
      <c r="F149" s="24">
        <v>1.0515000000000001</v>
      </c>
      <c r="G149" s="24">
        <v>3332202720</v>
      </c>
      <c r="H149" s="24">
        <v>0</v>
      </c>
      <c r="I149" s="24" t="s">
        <v>5340</v>
      </c>
    </row>
    <row r="150" spans="1:9" x14ac:dyDescent="0.35">
      <c r="A150" s="24" t="s">
        <v>5049</v>
      </c>
      <c r="B150" s="24" t="str">
        <f>"PLXS"</f>
        <v>PLXS</v>
      </c>
      <c r="C150" s="24" t="str">
        <f t="shared" si="2"/>
        <v>'PLXS'</v>
      </c>
      <c r="D150" s="24" t="s">
        <v>5341</v>
      </c>
      <c r="E150" s="24">
        <v>2.6396000000000002</v>
      </c>
      <c r="F150" s="24">
        <v>1.4036999999999999</v>
      </c>
      <c r="G150" s="24">
        <v>2892301199.48</v>
      </c>
      <c r="H150" s="24">
        <v>2</v>
      </c>
      <c r="I150" s="24" t="s">
        <v>5342</v>
      </c>
    </row>
    <row r="151" spans="1:9" x14ac:dyDescent="0.35">
      <c r="A151" s="24" t="s">
        <v>5049</v>
      </c>
      <c r="B151" s="24" t="str">
        <f>"CCCS"</f>
        <v>CCCS</v>
      </c>
      <c r="C151" s="24" t="str">
        <f t="shared" si="2"/>
        <v>'CCCS'</v>
      </c>
      <c r="D151" s="24" t="s">
        <v>5343</v>
      </c>
      <c r="E151" s="24">
        <v>2.6334</v>
      </c>
      <c r="F151" s="24">
        <v>2.7578999999999998</v>
      </c>
      <c r="G151" s="24">
        <v>5294668711.1499996</v>
      </c>
      <c r="H151" s="24">
        <v>1</v>
      </c>
      <c r="I151" s="24" t="s">
        <v>5344</v>
      </c>
    </row>
    <row r="152" spans="1:9" x14ac:dyDescent="0.35">
      <c r="A152" s="24" t="s">
        <v>5044</v>
      </c>
      <c r="B152" s="24" t="str">
        <f>"GLW"</f>
        <v>GLW</v>
      </c>
      <c r="C152" s="24" t="str">
        <f t="shared" si="2"/>
        <v>'GLW'</v>
      </c>
      <c r="D152" s="24" t="s">
        <v>5345</v>
      </c>
      <c r="E152" s="24">
        <v>2.6309999999999998</v>
      </c>
      <c r="F152" s="24">
        <v>1.5104</v>
      </c>
      <c r="G152" s="24">
        <v>29087453220.639999</v>
      </c>
      <c r="H152" s="24">
        <v>11</v>
      </c>
      <c r="I152" s="24" t="s">
        <v>5346</v>
      </c>
    </row>
    <row r="153" spans="1:9" x14ac:dyDescent="0.35">
      <c r="A153" s="24" t="s">
        <v>5044</v>
      </c>
      <c r="B153" s="24" t="str">
        <f>"DTM"</f>
        <v>DTM</v>
      </c>
      <c r="C153" s="24" t="str">
        <f t="shared" si="2"/>
        <v>'DTM'</v>
      </c>
      <c r="D153" s="24" t="s">
        <v>5347</v>
      </c>
      <c r="E153" s="24">
        <v>2.6238000000000001</v>
      </c>
      <c r="F153" s="24">
        <v>2.1406000000000001</v>
      </c>
      <c r="G153" s="24">
        <v>10437639648.15</v>
      </c>
      <c r="H153" s="24">
        <v>0</v>
      </c>
      <c r="I153" s="24" t="s">
        <v>5348</v>
      </c>
    </row>
    <row r="154" spans="1:9" x14ac:dyDescent="0.35">
      <c r="A154" s="24" t="s">
        <v>5049</v>
      </c>
      <c r="B154" s="24" t="str">
        <f>"JD"</f>
        <v>JD</v>
      </c>
      <c r="C154" s="24" t="str">
        <f t="shared" si="2"/>
        <v>'JD'</v>
      </c>
      <c r="D154" s="24" t="s">
        <v>5349</v>
      </c>
      <c r="E154" s="24">
        <v>2.6206</v>
      </c>
      <c r="F154" s="24">
        <v>1.3045</v>
      </c>
      <c r="G154" s="24">
        <v>103166450000</v>
      </c>
      <c r="H154" s="24">
        <v>602</v>
      </c>
      <c r="I154" s="24" t="s">
        <v>5350</v>
      </c>
    </row>
    <row r="155" spans="1:9" x14ac:dyDescent="0.35">
      <c r="A155" s="24" t="s">
        <v>5049</v>
      </c>
      <c r="B155" s="24" t="str">
        <f>"AMED"</f>
        <v>AMED</v>
      </c>
      <c r="C155" s="24" t="str">
        <f t="shared" si="2"/>
        <v>'AMED'</v>
      </c>
      <c r="D155" s="24" t="s">
        <v>5351</v>
      </c>
      <c r="E155" s="24">
        <v>2.6166999999999998</v>
      </c>
      <c r="F155" s="24">
        <v>1.0588</v>
      </c>
      <c r="G155" s="24">
        <v>2657844618.4000001</v>
      </c>
      <c r="H155" s="24">
        <v>2</v>
      </c>
      <c r="I155" s="24" t="s">
        <v>5352</v>
      </c>
    </row>
    <row r="156" spans="1:9" x14ac:dyDescent="0.35">
      <c r="A156" s="24" t="s">
        <v>5049</v>
      </c>
      <c r="B156" s="24" t="str">
        <f>"LIVN"</f>
        <v>LIVN</v>
      </c>
      <c r="C156" s="24" t="str">
        <f t="shared" si="2"/>
        <v>'LIVN'</v>
      </c>
      <c r="D156" s="24" t="s">
        <v>5353</v>
      </c>
      <c r="E156" s="24">
        <v>2.6160000000000001</v>
      </c>
      <c r="F156" s="24">
        <v>2.9554999999999998</v>
      </c>
      <c r="G156" s="24">
        <v>3000482730.1799998</v>
      </c>
      <c r="H156" s="24">
        <v>1</v>
      </c>
      <c r="I156" s="24" t="s">
        <v>5354</v>
      </c>
    </row>
    <row r="157" spans="1:9" x14ac:dyDescent="0.35">
      <c r="A157" s="24" t="s">
        <v>5049</v>
      </c>
      <c r="B157" s="24" t="str">
        <f>"SMCI"</f>
        <v>SMCI</v>
      </c>
      <c r="C157" s="24" t="str">
        <f t="shared" si="2"/>
        <v>'SMCI'</v>
      </c>
      <c r="D157" s="24" t="s">
        <v>5355</v>
      </c>
      <c r="E157" s="24">
        <v>2.6135000000000002</v>
      </c>
      <c r="F157" s="24">
        <v>2.1280000000000001</v>
      </c>
      <c r="G157" s="24">
        <v>4247061601.5</v>
      </c>
      <c r="H157" s="24">
        <v>2</v>
      </c>
      <c r="I157" s="24" t="s">
        <v>5356</v>
      </c>
    </row>
    <row r="158" spans="1:9" x14ac:dyDescent="0.35">
      <c r="A158" s="24" t="s">
        <v>5044</v>
      </c>
      <c r="B158" s="24" t="str">
        <f>"MAXR"</f>
        <v>MAXR</v>
      </c>
      <c r="C158" s="24" t="str">
        <f t="shared" si="2"/>
        <v>'MAXR'</v>
      </c>
      <c r="D158" s="24" t="s">
        <v>5357</v>
      </c>
      <c r="E158" s="24">
        <v>2.5981999999999998</v>
      </c>
      <c r="F158" s="24">
        <v>0.98329999999999995</v>
      </c>
      <c r="G158" s="24">
        <v>3795929121.4200001</v>
      </c>
      <c r="H158" s="24">
        <v>1</v>
      </c>
      <c r="I158" s="24" t="s">
        <v>5358</v>
      </c>
    </row>
    <row r="159" spans="1:9" x14ac:dyDescent="0.35">
      <c r="A159" s="24" t="s">
        <v>5044</v>
      </c>
      <c r="B159" s="24" t="str">
        <f>"PFGC"</f>
        <v>PFGC</v>
      </c>
      <c r="C159" s="24" t="str">
        <f t="shared" si="2"/>
        <v>'PFGC'</v>
      </c>
      <c r="D159" s="24" t="s">
        <v>5359</v>
      </c>
      <c r="E159" s="24">
        <v>2.5960000000000001</v>
      </c>
      <c r="F159" s="24">
        <v>1.6419999999999999</v>
      </c>
      <c r="G159" s="24">
        <v>8828212030.4300003</v>
      </c>
      <c r="H159" s="24">
        <v>2</v>
      </c>
      <c r="I159" s="24" t="s">
        <v>5360</v>
      </c>
    </row>
    <row r="160" spans="1:9" x14ac:dyDescent="0.35">
      <c r="A160" s="24" t="s">
        <v>5049</v>
      </c>
      <c r="B160" s="24" t="str">
        <f>"ASO"</f>
        <v>ASO</v>
      </c>
      <c r="C160" s="24" t="str">
        <f t="shared" si="2"/>
        <v>'ASO'</v>
      </c>
      <c r="D160" s="24" t="s">
        <v>5361</v>
      </c>
      <c r="E160" s="24">
        <v>2.5926</v>
      </c>
      <c r="F160" s="24">
        <v>1.5746</v>
      </c>
      <c r="G160" s="24">
        <v>4041653865.96</v>
      </c>
      <c r="H160" s="24">
        <v>0</v>
      </c>
      <c r="I160" s="24" t="s">
        <v>5362</v>
      </c>
    </row>
    <row r="161" spans="1:9" x14ac:dyDescent="0.35">
      <c r="A161" s="24" t="s">
        <v>5049</v>
      </c>
      <c r="B161" s="24" t="str">
        <f>"PDCO"</f>
        <v>PDCO</v>
      </c>
      <c r="C161" s="24" t="str">
        <f t="shared" si="2"/>
        <v>'PDCO'</v>
      </c>
      <c r="D161" s="24" t="s">
        <v>5363</v>
      </c>
      <c r="E161" s="24">
        <v>2.5924999999999998</v>
      </c>
      <c r="F161" s="24">
        <v>1.5960000000000001</v>
      </c>
      <c r="G161" s="24">
        <v>2698490400</v>
      </c>
      <c r="H161" s="24">
        <v>3</v>
      </c>
      <c r="I161" s="24" t="s">
        <v>5364</v>
      </c>
    </row>
    <row r="162" spans="1:9" x14ac:dyDescent="0.35">
      <c r="A162" s="24" t="s">
        <v>5044</v>
      </c>
      <c r="B162" s="24" t="str">
        <f>"ICE"</f>
        <v>ICE</v>
      </c>
      <c r="C162" s="24" t="str">
        <f t="shared" si="2"/>
        <v>'ICE'</v>
      </c>
      <c r="D162" s="24" t="s">
        <v>5365</v>
      </c>
      <c r="E162" s="24">
        <v>2.5848</v>
      </c>
      <c r="F162" s="24">
        <v>1.0444</v>
      </c>
      <c r="G162" s="24">
        <v>57296225692.5</v>
      </c>
      <c r="H162" s="24">
        <v>15</v>
      </c>
      <c r="I162" s="24" t="s">
        <v>5366</v>
      </c>
    </row>
    <row r="163" spans="1:9" x14ac:dyDescent="0.35">
      <c r="A163" s="24" t="s">
        <v>5044</v>
      </c>
      <c r="B163" s="24" t="str">
        <f>"NUS"</f>
        <v>NUS</v>
      </c>
      <c r="C163" s="24" t="str">
        <f t="shared" si="2"/>
        <v>'NUS'</v>
      </c>
      <c r="D163" s="24" t="s">
        <v>5367</v>
      </c>
      <c r="E163" s="24">
        <v>2.5788000000000002</v>
      </c>
      <c r="F163" s="24">
        <v>2.1278999999999999</v>
      </c>
      <c r="G163" s="24">
        <v>2122103473.8800001</v>
      </c>
      <c r="H163" s="24">
        <v>2</v>
      </c>
      <c r="I163" s="24" t="s">
        <v>5368</v>
      </c>
    </row>
    <row r="164" spans="1:9" x14ac:dyDescent="0.35">
      <c r="A164" s="24" t="s">
        <v>5044</v>
      </c>
      <c r="B164" s="24" t="str">
        <f>"J"</f>
        <v>J</v>
      </c>
      <c r="C164" s="24" t="str">
        <f t="shared" si="2"/>
        <v>'J'</v>
      </c>
      <c r="D164" s="24" t="s">
        <v>5369</v>
      </c>
      <c r="E164" s="24">
        <v>2.5769000000000002</v>
      </c>
      <c r="F164" s="24">
        <v>1.4524999999999999</v>
      </c>
      <c r="G164" s="24">
        <v>15615932389.139999</v>
      </c>
      <c r="H164" s="24">
        <v>5</v>
      </c>
      <c r="I164" s="24" t="s">
        <v>5370</v>
      </c>
    </row>
    <row r="165" spans="1:9" x14ac:dyDescent="0.35">
      <c r="A165" s="24" t="s">
        <v>5044</v>
      </c>
      <c r="B165" s="24" t="str">
        <f>"UAA"</f>
        <v>UAA</v>
      </c>
      <c r="C165" s="24" t="str">
        <f t="shared" si="2"/>
        <v>'UAA'</v>
      </c>
      <c r="D165" s="24" t="s">
        <v>5371</v>
      </c>
      <c r="E165" s="24">
        <v>2.5745</v>
      </c>
      <c r="F165" s="24">
        <v>2.0901999999999998</v>
      </c>
      <c r="G165" s="24">
        <v>4676125813.2600002</v>
      </c>
      <c r="H165" s="24">
        <v>7</v>
      </c>
      <c r="I165" s="24" t="s">
        <v>5372</v>
      </c>
    </row>
    <row r="166" spans="1:9" x14ac:dyDescent="0.35">
      <c r="A166" s="24" t="s">
        <v>5044</v>
      </c>
      <c r="B166" s="24" t="str">
        <f>"BRC"</f>
        <v>BRC</v>
      </c>
      <c r="C166" s="24" t="str">
        <f t="shared" si="2"/>
        <v>'BRC'</v>
      </c>
      <c r="D166" s="24" t="s">
        <v>5373</v>
      </c>
      <c r="E166" s="24">
        <v>2.5684999999999998</v>
      </c>
      <c r="F166" s="24">
        <v>2.0657999999999999</v>
      </c>
      <c r="G166" s="24">
        <v>2341729539.5999999</v>
      </c>
      <c r="H166" s="24">
        <v>0</v>
      </c>
      <c r="I166" s="24" t="s">
        <v>5374</v>
      </c>
    </row>
    <row r="167" spans="1:9" x14ac:dyDescent="0.35">
      <c r="A167" s="24" t="s">
        <v>5049</v>
      </c>
      <c r="B167" s="24" t="str">
        <f>"TMUS"</f>
        <v>TMUS</v>
      </c>
      <c r="C167" s="24" t="str">
        <f t="shared" si="2"/>
        <v>'TMUS'</v>
      </c>
      <c r="D167" s="24" t="s">
        <v>5375</v>
      </c>
      <c r="E167" s="24">
        <v>2.5623999999999998</v>
      </c>
      <c r="F167" s="24">
        <v>0.81279999999999997</v>
      </c>
      <c r="G167" s="24">
        <v>179755389280.32001</v>
      </c>
      <c r="H167" s="24">
        <v>22</v>
      </c>
      <c r="I167" s="24" t="s">
        <v>5376</v>
      </c>
    </row>
    <row r="168" spans="1:9" x14ac:dyDescent="0.35">
      <c r="A168" s="24" t="s">
        <v>5044</v>
      </c>
      <c r="B168" s="24" t="str">
        <f>"ORA"</f>
        <v>ORA</v>
      </c>
      <c r="C168" s="24" t="str">
        <f t="shared" si="2"/>
        <v>'ORA'</v>
      </c>
      <c r="D168" s="24" t="s">
        <v>5377</v>
      </c>
      <c r="E168" s="24">
        <v>2.5522999999999998</v>
      </c>
      <c r="F168" s="24">
        <v>1.2766999999999999</v>
      </c>
      <c r="G168" s="24">
        <v>4695716939.3000002</v>
      </c>
      <c r="H168" s="24">
        <v>2</v>
      </c>
      <c r="I168" s="24" t="s">
        <v>5378</v>
      </c>
    </row>
    <row r="169" spans="1:9" x14ac:dyDescent="0.35">
      <c r="A169" s="24" t="s">
        <v>5049</v>
      </c>
      <c r="B169" s="24" t="str">
        <f>"GO"</f>
        <v>GO</v>
      </c>
      <c r="C169" s="24" t="str">
        <f t="shared" si="2"/>
        <v>'GO'</v>
      </c>
      <c r="D169" s="24" t="s">
        <v>5379</v>
      </c>
      <c r="E169" s="24">
        <v>2.5384000000000002</v>
      </c>
      <c r="F169" s="24">
        <v>1.6301000000000001</v>
      </c>
      <c r="G169" s="24">
        <v>2754940628.6399999</v>
      </c>
      <c r="H169" s="24">
        <v>0</v>
      </c>
      <c r="I169" s="24" t="s">
        <v>5380</v>
      </c>
    </row>
    <row r="170" spans="1:9" x14ac:dyDescent="0.35">
      <c r="A170" s="24" t="s">
        <v>5044</v>
      </c>
      <c r="B170" s="24" t="str">
        <f>"SUZ"</f>
        <v>SUZ</v>
      </c>
      <c r="C170" s="24" t="str">
        <f t="shared" si="2"/>
        <v>'SUZ'</v>
      </c>
      <c r="D170" s="24" t="s">
        <v>5381</v>
      </c>
      <c r="E170" s="24">
        <v>2.5379999999999998</v>
      </c>
      <c r="F170" s="24">
        <v>2.8069000000000002</v>
      </c>
      <c r="G170" s="24">
        <v>12795877689.6</v>
      </c>
      <c r="H170" s="24">
        <v>1</v>
      </c>
      <c r="I170" s="24" t="s">
        <v>5382</v>
      </c>
    </row>
    <row r="171" spans="1:9" x14ac:dyDescent="0.35">
      <c r="A171" s="24" t="s">
        <v>5044</v>
      </c>
      <c r="B171" s="24" t="str">
        <f>"BILL"</f>
        <v>BILL</v>
      </c>
      <c r="C171" s="24" t="str">
        <f t="shared" si="2"/>
        <v>'BILL'</v>
      </c>
      <c r="D171" s="24" t="s">
        <v>5383</v>
      </c>
      <c r="E171" s="24">
        <v>2.5318999999999998</v>
      </c>
      <c r="F171" s="24">
        <v>1.8916999999999999</v>
      </c>
      <c r="G171" s="24">
        <v>10248035550.219999</v>
      </c>
      <c r="H171" s="24">
        <v>3</v>
      </c>
      <c r="I171" s="24" t="s">
        <v>5384</v>
      </c>
    </row>
    <row r="172" spans="1:9" x14ac:dyDescent="0.35">
      <c r="A172" s="24" t="s">
        <v>5049</v>
      </c>
      <c r="B172" s="24" t="str">
        <f>"DORM"</f>
        <v>DORM</v>
      </c>
      <c r="C172" s="24" t="str">
        <f t="shared" si="2"/>
        <v>'DORM'</v>
      </c>
      <c r="D172" s="24" t="s">
        <v>5385</v>
      </c>
      <c r="E172" s="24">
        <v>2.5198</v>
      </c>
      <c r="F172" s="24">
        <v>1.7465999999999999</v>
      </c>
      <c r="G172" s="24">
        <v>2572867106.75</v>
      </c>
      <c r="H172" s="24">
        <v>2</v>
      </c>
      <c r="I172" s="24" t="s">
        <v>5386</v>
      </c>
    </row>
    <row r="173" spans="1:9" x14ac:dyDescent="0.35">
      <c r="A173" s="24" t="s">
        <v>5044</v>
      </c>
      <c r="B173" s="24" t="str">
        <f>"LTHM"</f>
        <v>LTHM</v>
      </c>
      <c r="C173" s="24" t="str">
        <f t="shared" si="2"/>
        <v>'LTHM'</v>
      </c>
      <c r="D173" s="24" t="s">
        <v>5387</v>
      </c>
      <c r="E173" s="24">
        <v>2.512</v>
      </c>
      <c r="F173" s="24">
        <v>3.5209000000000001</v>
      </c>
      <c r="G173" s="24">
        <v>3402720056.4699998</v>
      </c>
      <c r="H173" s="24">
        <v>3</v>
      </c>
      <c r="I173" s="24" t="s">
        <v>5388</v>
      </c>
    </row>
    <row r="174" spans="1:9" x14ac:dyDescent="0.35">
      <c r="A174" s="24" t="s">
        <v>5049</v>
      </c>
      <c r="B174" s="24" t="str">
        <f>"CEG"</f>
        <v>CEG</v>
      </c>
      <c r="C174" s="24" t="str">
        <f t="shared" si="2"/>
        <v>'CEG'</v>
      </c>
      <c r="D174" s="24" t="s">
        <v>5389</v>
      </c>
      <c r="E174" s="24">
        <v>2.5102000000000002</v>
      </c>
      <c r="F174" s="24">
        <v>1.2408999999999999</v>
      </c>
      <c r="G174" s="24">
        <v>26949544726.950001</v>
      </c>
      <c r="H174" s="24">
        <v>2</v>
      </c>
      <c r="I174" s="24" t="s">
        <v>5390</v>
      </c>
    </row>
    <row r="175" spans="1:9" x14ac:dyDescent="0.35">
      <c r="A175" s="24" t="s">
        <v>5049</v>
      </c>
      <c r="B175" s="24" t="str">
        <f>"CRUS"</f>
        <v>CRUS</v>
      </c>
      <c r="C175" s="24" t="str">
        <f t="shared" si="2"/>
        <v>'CRUS'</v>
      </c>
      <c r="D175" s="24" t="s">
        <v>5391</v>
      </c>
      <c r="E175" s="24">
        <v>2.5101</v>
      </c>
      <c r="F175" s="24">
        <v>3.3877000000000002</v>
      </c>
      <c r="G175" s="24">
        <v>4153221133.4299998</v>
      </c>
      <c r="H175" s="24">
        <v>5</v>
      </c>
      <c r="I175" s="24" t="s">
        <v>5392</v>
      </c>
    </row>
    <row r="176" spans="1:9" x14ac:dyDescent="0.35">
      <c r="A176" s="24" t="s">
        <v>5049</v>
      </c>
      <c r="B176" s="24" t="str">
        <f>"CTSH"</f>
        <v>CTSH</v>
      </c>
      <c r="C176" s="24" t="str">
        <f t="shared" si="2"/>
        <v>'CTSH'</v>
      </c>
      <c r="D176" s="24" t="s">
        <v>5393</v>
      </c>
      <c r="E176" s="24">
        <v>2.5034999999999998</v>
      </c>
      <c r="F176" s="24">
        <v>2.2702</v>
      </c>
      <c r="G176" s="24">
        <v>29586456840.240002</v>
      </c>
      <c r="H176" s="24">
        <v>16</v>
      </c>
      <c r="I176" s="24" t="s">
        <v>5394</v>
      </c>
    </row>
    <row r="177" spans="1:9" x14ac:dyDescent="0.35">
      <c r="A177" s="24" t="s">
        <v>5044</v>
      </c>
      <c r="B177" s="24" t="str">
        <f>"PXD"</f>
        <v>PXD</v>
      </c>
      <c r="C177" s="24" t="str">
        <f t="shared" si="2"/>
        <v>'PXD'</v>
      </c>
      <c r="D177" s="24" t="s">
        <v>5395</v>
      </c>
      <c r="E177" s="24">
        <v>2.4992999999999999</v>
      </c>
      <c r="F177" s="24">
        <v>1.0270999999999999</v>
      </c>
      <c r="G177" s="24">
        <v>53965800226.290001</v>
      </c>
      <c r="H177" s="24">
        <v>11</v>
      </c>
      <c r="I177" s="24" t="s">
        <v>5396</v>
      </c>
    </row>
    <row r="178" spans="1:9" x14ac:dyDescent="0.35">
      <c r="A178" s="24" t="s">
        <v>5049</v>
      </c>
      <c r="B178" s="24" t="str">
        <f>"FUTU"</f>
        <v>FUTU</v>
      </c>
      <c r="C178" s="24" t="str">
        <f t="shared" si="2"/>
        <v>'FUTU'</v>
      </c>
      <c r="D178" s="24" t="s">
        <v>5397</v>
      </c>
      <c r="E178" s="24">
        <v>2.4990999999999999</v>
      </c>
      <c r="F178" s="24">
        <v>1.2431000000000001</v>
      </c>
      <c r="G178" s="24">
        <v>6454019609.1000004</v>
      </c>
      <c r="H178" s="24">
        <v>164</v>
      </c>
      <c r="I178" s="24" t="s">
        <v>5398</v>
      </c>
    </row>
    <row r="179" spans="1:9" x14ac:dyDescent="0.35">
      <c r="A179" s="24" t="s">
        <v>5044</v>
      </c>
      <c r="B179" s="24" t="str">
        <f>"PKI"</f>
        <v>PKI</v>
      </c>
      <c r="C179" s="24" t="str">
        <f t="shared" si="2"/>
        <v>'PKI'</v>
      </c>
      <c r="D179" s="24" t="s">
        <v>5399</v>
      </c>
      <c r="E179" s="24">
        <v>2.4847999999999999</v>
      </c>
      <c r="F179" s="24">
        <v>2.0975999999999999</v>
      </c>
      <c r="G179" s="24">
        <v>17533912855.200001</v>
      </c>
      <c r="H179" s="24">
        <v>5</v>
      </c>
      <c r="I179" s="24" t="s">
        <v>5400</v>
      </c>
    </row>
    <row r="180" spans="1:9" x14ac:dyDescent="0.35">
      <c r="A180" s="24" t="s">
        <v>5044</v>
      </c>
      <c r="B180" s="24" t="str">
        <f>"ESAB"</f>
        <v>ESAB</v>
      </c>
      <c r="C180" s="24" t="str">
        <f t="shared" si="2"/>
        <v>'ESAB'</v>
      </c>
      <c r="D180" s="24" t="s">
        <v>5401</v>
      </c>
      <c r="E180" s="24">
        <v>2.4847000000000001</v>
      </c>
      <c r="F180" s="24">
        <v>1.6181000000000001</v>
      </c>
      <c r="G180" s="24">
        <v>3004428715.5900002</v>
      </c>
      <c r="H180" s="24">
        <v>0</v>
      </c>
      <c r="I180" s="24" t="s">
        <v>5402</v>
      </c>
    </row>
    <row r="181" spans="1:9" x14ac:dyDescent="0.35">
      <c r="A181" s="24" t="s">
        <v>5044</v>
      </c>
      <c r="B181" s="24" t="str">
        <f>"GE"</f>
        <v>GE</v>
      </c>
      <c r="C181" s="24" t="str">
        <f t="shared" si="2"/>
        <v>'GE'</v>
      </c>
      <c r="D181" s="24" t="s">
        <v>5403</v>
      </c>
      <c r="E181" s="24">
        <v>2.4817999999999998</v>
      </c>
      <c r="F181" s="24">
        <v>1.0992999999999999</v>
      </c>
      <c r="G181" s="24">
        <v>77896311700.600006</v>
      </c>
      <c r="H181" s="24">
        <v>24</v>
      </c>
      <c r="I181" s="24" t="s">
        <v>5404</v>
      </c>
    </row>
    <row r="182" spans="1:9" x14ac:dyDescent="0.35">
      <c r="A182" s="24" t="s">
        <v>5044</v>
      </c>
      <c r="B182" s="24" t="str">
        <f>"IR"</f>
        <v>IR</v>
      </c>
      <c r="C182" s="24" t="str">
        <f t="shared" si="2"/>
        <v>'IR'</v>
      </c>
      <c r="D182" s="24" t="s">
        <v>5405</v>
      </c>
      <c r="E182" s="24">
        <v>2.4727999999999999</v>
      </c>
      <c r="F182" s="24">
        <v>2.4588000000000001</v>
      </c>
      <c r="G182" s="24">
        <v>21618985418.77</v>
      </c>
      <c r="H182" s="24">
        <v>2</v>
      </c>
      <c r="I182" s="24" t="s">
        <v>5406</v>
      </c>
    </row>
    <row r="183" spans="1:9" x14ac:dyDescent="0.35">
      <c r="A183" s="24" t="s">
        <v>5049</v>
      </c>
      <c r="B183" s="24" t="str">
        <f>"SUPN"</f>
        <v>SUPN</v>
      </c>
      <c r="C183" s="24" t="str">
        <f t="shared" si="2"/>
        <v>'SUPN'</v>
      </c>
      <c r="D183" s="24" t="s">
        <v>5407</v>
      </c>
      <c r="E183" s="24">
        <v>2.4722</v>
      </c>
      <c r="F183" s="24">
        <v>0.91449999999999998</v>
      </c>
      <c r="G183" s="24">
        <v>2108267382</v>
      </c>
      <c r="H183" s="24">
        <v>1</v>
      </c>
      <c r="I183" s="24" t="s">
        <v>5408</v>
      </c>
    </row>
    <row r="184" spans="1:9" x14ac:dyDescent="0.35">
      <c r="A184" s="24" t="s">
        <v>5044</v>
      </c>
      <c r="B184" s="24" t="str">
        <f>"XOM"</f>
        <v>XOM</v>
      </c>
      <c r="C184" s="24" t="str">
        <f t="shared" si="2"/>
        <v>'XOM'</v>
      </c>
      <c r="D184" s="24" t="s">
        <v>5409</v>
      </c>
      <c r="E184" s="24">
        <v>2.4664000000000001</v>
      </c>
      <c r="F184" s="24">
        <v>1.3407</v>
      </c>
      <c r="G184" s="24">
        <v>449758824507.40997</v>
      </c>
      <c r="H184" s="24">
        <v>38</v>
      </c>
      <c r="I184" s="24" t="s">
        <v>5410</v>
      </c>
    </row>
    <row r="185" spans="1:9" x14ac:dyDescent="0.35">
      <c r="A185" s="24" t="s">
        <v>5044</v>
      </c>
      <c r="B185" s="24" t="str">
        <f>"CE"</f>
        <v>CE</v>
      </c>
      <c r="C185" s="24" t="str">
        <f t="shared" si="2"/>
        <v>'CE'</v>
      </c>
      <c r="D185" s="24" t="s">
        <v>5411</v>
      </c>
      <c r="E185" s="24">
        <v>2.4661</v>
      </c>
      <c r="F185" s="24">
        <v>4.7317</v>
      </c>
      <c r="G185" s="24">
        <v>12020335951.059999</v>
      </c>
      <c r="H185" s="24">
        <v>4</v>
      </c>
      <c r="I185" s="24" t="s">
        <v>5412</v>
      </c>
    </row>
    <row r="186" spans="1:9" x14ac:dyDescent="0.35">
      <c r="A186" s="24" t="s">
        <v>5044</v>
      </c>
      <c r="B186" s="24" t="str">
        <f>"TKR"</f>
        <v>TKR</v>
      </c>
      <c r="C186" s="24" t="str">
        <f t="shared" si="2"/>
        <v>'TKR'</v>
      </c>
      <c r="D186" s="24" t="s">
        <v>5413</v>
      </c>
      <c r="E186" s="24">
        <v>2.4597000000000002</v>
      </c>
      <c r="F186" s="24">
        <v>2.0293999999999999</v>
      </c>
      <c r="G186" s="24">
        <v>5094233747.7600002</v>
      </c>
      <c r="H186" s="24">
        <v>1</v>
      </c>
      <c r="I186" s="24" t="s">
        <v>5414</v>
      </c>
    </row>
    <row r="187" spans="1:9" x14ac:dyDescent="0.35">
      <c r="A187" s="24" t="s">
        <v>5044</v>
      </c>
      <c r="B187" s="24" t="str">
        <f>"ARCH"</f>
        <v>ARCH</v>
      </c>
      <c r="C187" s="24" t="str">
        <f t="shared" si="2"/>
        <v>'ARCH'</v>
      </c>
      <c r="D187" s="24" t="s">
        <v>5415</v>
      </c>
      <c r="E187" s="24">
        <v>2.4594999999999998</v>
      </c>
      <c r="F187" s="24">
        <v>2.4855</v>
      </c>
      <c r="G187" s="24">
        <v>2439008064</v>
      </c>
      <c r="H187" s="24">
        <v>3</v>
      </c>
      <c r="I187" s="24" t="s">
        <v>5416</v>
      </c>
    </row>
    <row r="188" spans="1:9" x14ac:dyDescent="0.35">
      <c r="A188" s="24" t="s">
        <v>5044</v>
      </c>
      <c r="B188" s="24" t="str">
        <f>"RBC"</f>
        <v>RBC</v>
      </c>
      <c r="C188" s="24" t="str">
        <f t="shared" si="2"/>
        <v>'RBC'</v>
      </c>
      <c r="D188" s="24" t="s">
        <v>5417</v>
      </c>
      <c r="E188" s="24">
        <v>2.4594</v>
      </c>
      <c r="F188" s="24">
        <v>2.9763999999999999</v>
      </c>
      <c r="G188" s="24">
        <v>6001367499.7200003</v>
      </c>
      <c r="H188" s="24">
        <v>2</v>
      </c>
      <c r="I188" s="24" t="s">
        <v>5418</v>
      </c>
    </row>
    <row r="189" spans="1:9" x14ac:dyDescent="0.35">
      <c r="A189" s="24" t="s">
        <v>5049</v>
      </c>
      <c r="B189" s="24" t="str">
        <f>"FRPT"</f>
        <v>FRPT</v>
      </c>
      <c r="C189" s="24" t="str">
        <f t="shared" si="2"/>
        <v>'FRPT'</v>
      </c>
      <c r="D189" s="24" t="s">
        <v>5419</v>
      </c>
      <c r="E189" s="24">
        <v>2.4580000000000002</v>
      </c>
      <c r="F189" s="24">
        <v>2.9279000000000002</v>
      </c>
      <c r="G189" s="24">
        <v>2531618090.4000001</v>
      </c>
      <c r="H189" s="24">
        <v>4</v>
      </c>
      <c r="I189" s="24" t="s">
        <v>5420</v>
      </c>
    </row>
    <row r="190" spans="1:9" x14ac:dyDescent="0.35">
      <c r="A190" s="24" t="s">
        <v>5049</v>
      </c>
      <c r="B190" s="24" t="str">
        <f>"DIOD"</f>
        <v>DIOD</v>
      </c>
      <c r="C190" s="24" t="str">
        <f t="shared" si="2"/>
        <v>'DIOD'</v>
      </c>
      <c r="D190" s="24" t="s">
        <v>5421</v>
      </c>
      <c r="E190" s="24">
        <v>2.4495</v>
      </c>
      <c r="F190" s="24">
        <v>2.4954999999999998</v>
      </c>
      <c r="G190" s="24">
        <v>3419322417.5999999</v>
      </c>
      <c r="H190" s="24">
        <v>5</v>
      </c>
      <c r="I190" s="24" t="s">
        <v>5422</v>
      </c>
    </row>
    <row r="191" spans="1:9" x14ac:dyDescent="0.35">
      <c r="A191" s="24" t="s">
        <v>5044</v>
      </c>
      <c r="B191" s="24" t="str">
        <f>"FLS"</f>
        <v>FLS</v>
      </c>
      <c r="C191" s="24" t="str">
        <f t="shared" si="2"/>
        <v>'FLS'</v>
      </c>
      <c r="D191" s="24" t="s">
        <v>5423</v>
      </c>
      <c r="E191" s="24">
        <v>2.4432999999999998</v>
      </c>
      <c r="F191" s="24">
        <v>2.0369999999999999</v>
      </c>
      <c r="G191" s="24">
        <v>3984916954.3400002</v>
      </c>
      <c r="H191" s="24">
        <v>0</v>
      </c>
      <c r="I191" s="24" t="s">
        <v>5424</v>
      </c>
    </row>
    <row r="192" spans="1:9" x14ac:dyDescent="0.35">
      <c r="A192" s="24" t="s">
        <v>5049</v>
      </c>
      <c r="B192" s="24" t="str">
        <f>"ACIW"</f>
        <v>ACIW</v>
      </c>
      <c r="C192" s="24" t="str">
        <f t="shared" si="2"/>
        <v>'ACIW'</v>
      </c>
      <c r="D192" s="24" t="s">
        <v>5425</v>
      </c>
      <c r="E192" s="24">
        <v>2.4346000000000001</v>
      </c>
      <c r="F192" s="24">
        <v>1.2134</v>
      </c>
      <c r="G192" s="24">
        <v>2917232492.6799998</v>
      </c>
      <c r="H192" s="24">
        <v>0</v>
      </c>
      <c r="I192" s="24" t="s">
        <v>5426</v>
      </c>
    </row>
    <row r="193" spans="1:9" x14ac:dyDescent="0.35">
      <c r="A193" s="24" t="s">
        <v>5049</v>
      </c>
      <c r="B193" s="24" t="str">
        <f>"CERT"</f>
        <v>CERT</v>
      </c>
      <c r="C193" s="24" t="str">
        <f t="shared" si="2"/>
        <v>'CERT'</v>
      </c>
      <c r="D193" s="24" t="s">
        <v>5427</v>
      </c>
      <c r="E193" s="24">
        <v>2.4319999999999999</v>
      </c>
      <c r="F193" s="24">
        <v>3.9866000000000001</v>
      </c>
      <c r="G193" s="24">
        <v>2564348331.8200002</v>
      </c>
      <c r="H193" s="24">
        <v>0</v>
      </c>
      <c r="I193" s="24" t="s">
        <v>5428</v>
      </c>
    </row>
    <row r="194" spans="1:9" x14ac:dyDescent="0.35">
      <c r="A194" s="24" t="s">
        <v>5044</v>
      </c>
      <c r="B194" s="24" t="str">
        <f>"TDY"</f>
        <v>TDY</v>
      </c>
      <c r="C194" s="24" t="str">
        <f t="shared" si="2"/>
        <v>'TDY'</v>
      </c>
      <c r="D194" s="24" t="s">
        <v>5429</v>
      </c>
      <c r="E194" s="24">
        <v>2.4289000000000001</v>
      </c>
      <c r="F194" s="24">
        <v>1.7761</v>
      </c>
      <c r="G194" s="24">
        <v>18674849583.990002</v>
      </c>
      <c r="H194" s="24">
        <v>3</v>
      </c>
      <c r="I194" s="24" t="s">
        <v>5430</v>
      </c>
    </row>
    <row r="195" spans="1:9" x14ac:dyDescent="0.35">
      <c r="A195" s="24" t="s">
        <v>5044</v>
      </c>
      <c r="B195" s="24" t="str">
        <f>"FTV"</f>
        <v>FTV</v>
      </c>
      <c r="C195" s="24" t="str">
        <f t="shared" ref="C195:C258" si="3">"'"&amp;B195&amp;"'"</f>
        <v>'FTV'</v>
      </c>
      <c r="D195" s="24" t="s">
        <v>5431</v>
      </c>
      <c r="E195" s="24">
        <v>2.415</v>
      </c>
      <c r="F195" s="24">
        <v>0.94440000000000002</v>
      </c>
      <c r="G195" s="24">
        <v>22618961614.290001</v>
      </c>
      <c r="H195" s="24">
        <v>3</v>
      </c>
      <c r="I195" s="24" t="s">
        <v>5432</v>
      </c>
    </row>
    <row r="196" spans="1:9" x14ac:dyDescent="0.35">
      <c r="A196" s="24" t="s">
        <v>5044</v>
      </c>
      <c r="B196" s="24" t="str">
        <f>"AN"</f>
        <v>AN</v>
      </c>
      <c r="C196" s="24" t="str">
        <f t="shared" si="3"/>
        <v>'AN'</v>
      </c>
      <c r="D196" s="24" t="s">
        <v>5433</v>
      </c>
      <c r="E196" s="24">
        <v>2.3984000000000001</v>
      </c>
      <c r="F196" s="24">
        <v>1.0476000000000001</v>
      </c>
      <c r="G196" s="24">
        <v>5408839326.7200003</v>
      </c>
      <c r="H196" s="24">
        <v>0</v>
      </c>
      <c r="I196" s="24" t="s">
        <v>5434</v>
      </c>
    </row>
    <row r="197" spans="1:9" x14ac:dyDescent="0.35">
      <c r="A197" s="24" t="s">
        <v>5044</v>
      </c>
      <c r="B197" s="24" t="str">
        <f>"LYB"</f>
        <v>LYB</v>
      </c>
      <c r="C197" s="24" t="str">
        <f t="shared" si="3"/>
        <v>'LYB'</v>
      </c>
      <c r="D197" s="24" t="s">
        <v>5435</v>
      </c>
      <c r="E197" s="24">
        <v>2.3980999999999999</v>
      </c>
      <c r="F197" s="24">
        <v>1.6149</v>
      </c>
      <c r="G197" s="24">
        <v>28306531960.689999</v>
      </c>
      <c r="H197" s="24">
        <v>7</v>
      </c>
      <c r="I197" s="24" t="s">
        <v>5436</v>
      </c>
    </row>
    <row r="198" spans="1:9" x14ac:dyDescent="0.35">
      <c r="A198" s="24" t="s">
        <v>5044</v>
      </c>
      <c r="B198" s="24" t="str">
        <f>"NVT"</f>
        <v>NVT</v>
      </c>
      <c r="C198" s="24" t="str">
        <f t="shared" si="3"/>
        <v>'NVT'</v>
      </c>
      <c r="D198" s="24" t="s">
        <v>5437</v>
      </c>
      <c r="E198" s="24">
        <v>2.3969999999999998</v>
      </c>
      <c r="F198" s="24">
        <v>1.8803000000000001</v>
      </c>
      <c r="G198" s="24">
        <v>6283668354.1599998</v>
      </c>
      <c r="H198" s="24">
        <v>1</v>
      </c>
      <c r="I198" s="24" t="s">
        <v>5438</v>
      </c>
    </row>
    <row r="199" spans="1:9" x14ac:dyDescent="0.35">
      <c r="A199" s="24" t="s">
        <v>5049</v>
      </c>
      <c r="B199" s="24" t="str">
        <f>"MRTX"</f>
        <v>MRTX</v>
      </c>
      <c r="C199" s="24" t="str">
        <f t="shared" si="3"/>
        <v>'MRTX'</v>
      </c>
      <c r="D199" s="24" t="s">
        <v>5439</v>
      </c>
      <c r="E199" s="24">
        <v>2.3957000000000002</v>
      </c>
      <c r="F199" s="24">
        <v>9.6529000000000007</v>
      </c>
      <c r="G199" s="24">
        <v>2704855800.5700002</v>
      </c>
      <c r="H199" s="24">
        <v>4</v>
      </c>
      <c r="I199" s="24" t="s">
        <v>5440</v>
      </c>
    </row>
    <row r="200" spans="1:9" x14ac:dyDescent="0.35">
      <c r="A200" s="24" t="s">
        <v>5044</v>
      </c>
      <c r="B200" s="24" t="str">
        <f>"BAK"</f>
        <v>BAK</v>
      </c>
      <c r="C200" s="24" t="str">
        <f t="shared" si="3"/>
        <v>'BAK'</v>
      </c>
      <c r="D200" s="24" t="s">
        <v>5441</v>
      </c>
      <c r="E200" s="24">
        <v>2.3938000000000001</v>
      </c>
      <c r="G200" s="24">
        <v>3455966599.1199999</v>
      </c>
      <c r="H200" s="24">
        <v>1</v>
      </c>
      <c r="I200" s="24" t="s">
        <v>5442</v>
      </c>
    </row>
    <row r="201" spans="1:9" x14ac:dyDescent="0.35">
      <c r="A201" s="24" t="s">
        <v>5044</v>
      </c>
      <c r="B201" s="24" t="str">
        <f>"FUL"</f>
        <v>FUL</v>
      </c>
      <c r="C201" s="24" t="str">
        <f t="shared" si="3"/>
        <v>'FUL'</v>
      </c>
      <c r="D201" s="24" t="s">
        <v>5443</v>
      </c>
      <c r="E201" s="24">
        <v>2.3889</v>
      </c>
      <c r="F201" s="24">
        <v>1.927</v>
      </c>
      <c r="G201" s="24">
        <v>3745767375.1799998</v>
      </c>
      <c r="H201" s="24">
        <v>1</v>
      </c>
      <c r="I201" s="24" t="s">
        <v>5444</v>
      </c>
    </row>
    <row r="202" spans="1:9" x14ac:dyDescent="0.35">
      <c r="A202" s="24" t="s">
        <v>5044</v>
      </c>
      <c r="B202" s="24" t="str">
        <f>"CCJ"</f>
        <v>CCJ</v>
      </c>
      <c r="C202" s="24" t="str">
        <f t="shared" si="3"/>
        <v>'CCJ'</v>
      </c>
      <c r="D202" s="24" t="s">
        <v>5445</v>
      </c>
      <c r="E202" s="24">
        <v>2.3881000000000001</v>
      </c>
      <c r="G202" s="24">
        <v>9099634797.8999996</v>
      </c>
      <c r="H202" s="24">
        <v>1</v>
      </c>
      <c r="I202" s="24" t="s">
        <v>5446</v>
      </c>
    </row>
    <row r="203" spans="1:9" x14ac:dyDescent="0.35">
      <c r="A203" s="24" t="s">
        <v>5044</v>
      </c>
      <c r="B203" s="24" t="str">
        <f>"BERY"</f>
        <v>BERY</v>
      </c>
      <c r="C203" s="24" t="str">
        <f t="shared" si="3"/>
        <v>'BERY'</v>
      </c>
      <c r="D203" s="24" t="s">
        <v>5447</v>
      </c>
      <c r="E203" s="24">
        <v>2.3834</v>
      </c>
      <c r="F203" s="24">
        <v>1.8158000000000001</v>
      </c>
      <c r="G203" s="24">
        <v>7542798000</v>
      </c>
      <c r="H203" s="24">
        <v>1</v>
      </c>
      <c r="I203" s="24" t="s">
        <v>5448</v>
      </c>
    </row>
    <row r="204" spans="1:9" x14ac:dyDescent="0.35">
      <c r="A204" s="24" t="s">
        <v>5044</v>
      </c>
      <c r="B204" s="24" t="str">
        <f>"CEIX"</f>
        <v>CEIX</v>
      </c>
      <c r="C204" s="24" t="str">
        <f t="shared" si="3"/>
        <v>'CEIX'</v>
      </c>
      <c r="D204" s="24" t="s">
        <v>5449</v>
      </c>
      <c r="E204" s="24">
        <v>2.3792</v>
      </c>
      <c r="F204" s="24">
        <v>1.0841000000000001</v>
      </c>
      <c r="G204" s="24">
        <v>2006149225.74</v>
      </c>
      <c r="H204" s="24">
        <v>1</v>
      </c>
      <c r="I204" s="24" t="s">
        <v>5450</v>
      </c>
    </row>
    <row r="205" spans="1:9" x14ac:dyDescent="0.35">
      <c r="A205" s="24" t="s">
        <v>5049</v>
      </c>
      <c r="B205" s="24" t="str">
        <f>"AY"</f>
        <v>AY</v>
      </c>
      <c r="C205" s="24" t="str">
        <f t="shared" si="3"/>
        <v>'AY'</v>
      </c>
      <c r="D205" s="24" t="s">
        <v>5451</v>
      </c>
      <c r="E205" s="24">
        <v>2.3774000000000002</v>
      </c>
      <c r="F205" s="24">
        <v>2.1656</v>
      </c>
      <c r="G205" s="24">
        <v>3651641350</v>
      </c>
      <c r="H205" s="24">
        <v>1</v>
      </c>
      <c r="I205" s="24" t="s">
        <v>5452</v>
      </c>
    </row>
    <row r="206" spans="1:9" x14ac:dyDescent="0.35">
      <c r="A206" s="24" t="s">
        <v>5049</v>
      </c>
      <c r="B206" s="24" t="str">
        <f>"LITE"</f>
        <v>LITE</v>
      </c>
      <c r="C206" s="24" t="str">
        <f t="shared" si="3"/>
        <v>'LITE'</v>
      </c>
      <c r="D206" s="24" t="s">
        <v>5453</v>
      </c>
      <c r="E206" s="24">
        <v>2.3774000000000002</v>
      </c>
      <c r="F206" s="24">
        <v>3.0373999999999999</v>
      </c>
      <c r="G206" s="24">
        <v>3628922000</v>
      </c>
      <c r="H206" s="24">
        <v>4</v>
      </c>
      <c r="I206" s="24" t="s">
        <v>5454</v>
      </c>
    </row>
    <row r="207" spans="1:9" x14ac:dyDescent="0.35">
      <c r="A207" s="24" t="s">
        <v>5044</v>
      </c>
      <c r="B207" s="24" t="str">
        <f>"ZWS"</f>
        <v>ZWS</v>
      </c>
      <c r="C207" s="24" t="str">
        <f t="shared" si="3"/>
        <v>'ZWS'</v>
      </c>
      <c r="D207" s="24" t="s">
        <v>5455</v>
      </c>
      <c r="E207" s="24">
        <v>2.3765999999999998</v>
      </c>
      <c r="F207" s="24">
        <v>2.4354</v>
      </c>
      <c r="G207" s="24">
        <v>3817250062</v>
      </c>
      <c r="H207" s="24">
        <v>0</v>
      </c>
      <c r="I207" s="24" t="s">
        <v>5456</v>
      </c>
    </row>
    <row r="208" spans="1:9" x14ac:dyDescent="0.35">
      <c r="A208" s="24" t="s">
        <v>5049</v>
      </c>
      <c r="B208" s="24" t="str">
        <f>"IOSP"</f>
        <v>IOSP</v>
      </c>
      <c r="C208" s="24" t="str">
        <f t="shared" si="3"/>
        <v>'IOSP'</v>
      </c>
      <c r="D208" s="24" t="s">
        <v>5457</v>
      </c>
      <c r="E208" s="24">
        <v>2.3719999999999999</v>
      </c>
      <c r="F208" s="24">
        <v>2.2191999999999998</v>
      </c>
      <c r="G208" s="24">
        <v>2545828841.5999999</v>
      </c>
      <c r="H208" s="24">
        <v>0</v>
      </c>
      <c r="I208" s="24" t="s">
        <v>5458</v>
      </c>
    </row>
    <row r="209" spans="1:9" x14ac:dyDescent="0.35">
      <c r="A209" s="24" t="s">
        <v>5049</v>
      </c>
      <c r="B209" s="24" t="str">
        <f>"SMPL"</f>
        <v>SMPL</v>
      </c>
      <c r="C209" s="24" t="str">
        <f t="shared" si="3"/>
        <v>'SMPL'</v>
      </c>
      <c r="D209" s="24" t="s">
        <v>5459</v>
      </c>
      <c r="E209" s="24">
        <v>2.3700999999999999</v>
      </c>
      <c r="F209" s="24">
        <v>4.4157999999999999</v>
      </c>
      <c r="G209" s="24">
        <v>3468268705.02</v>
      </c>
      <c r="H209" s="24">
        <v>1</v>
      </c>
      <c r="I209" s="24" t="s">
        <v>5460</v>
      </c>
    </row>
    <row r="210" spans="1:9" x14ac:dyDescent="0.35">
      <c r="A210" s="24" t="s">
        <v>5044</v>
      </c>
      <c r="B210" s="24" t="str">
        <f>"JNPR"</f>
        <v>JNPR</v>
      </c>
      <c r="C210" s="24" t="str">
        <f t="shared" si="3"/>
        <v>'JNPR'</v>
      </c>
      <c r="D210" s="24" t="s">
        <v>5461</v>
      </c>
      <c r="E210" s="24">
        <v>2.3692000000000002</v>
      </c>
      <c r="F210" s="24">
        <v>1.6917</v>
      </c>
      <c r="G210" s="24">
        <v>10116395651.91</v>
      </c>
      <c r="H210" s="24">
        <v>5</v>
      </c>
      <c r="I210" s="24" t="s">
        <v>5462</v>
      </c>
    </row>
    <row r="211" spans="1:9" x14ac:dyDescent="0.35">
      <c r="A211" s="24" t="s">
        <v>5044</v>
      </c>
      <c r="B211" s="24" t="str">
        <f>"SNN"</f>
        <v>SNN</v>
      </c>
      <c r="C211" s="24" t="str">
        <f t="shared" si="3"/>
        <v>'SNN'</v>
      </c>
      <c r="D211" s="24" t="s">
        <v>5463</v>
      </c>
      <c r="E211" s="24">
        <v>2.3685</v>
      </c>
      <c r="G211" s="24">
        <v>12401520614.219999</v>
      </c>
      <c r="H211" s="24">
        <v>1</v>
      </c>
      <c r="I211" s="24" t="s">
        <v>5464</v>
      </c>
    </row>
    <row r="212" spans="1:9" x14ac:dyDescent="0.35">
      <c r="A212" s="24" t="s">
        <v>5044</v>
      </c>
      <c r="B212" s="24" t="str">
        <f>"KWR"</f>
        <v>KWR</v>
      </c>
      <c r="C212" s="24" t="str">
        <f t="shared" si="3"/>
        <v>'KWR'</v>
      </c>
      <c r="D212" s="24" t="s">
        <v>5465</v>
      </c>
      <c r="E212" s="24">
        <v>2.3561000000000001</v>
      </c>
      <c r="F212" s="24">
        <v>2.6924000000000001</v>
      </c>
      <c r="G212" s="24">
        <v>2995125837.9200001</v>
      </c>
      <c r="H212" s="24">
        <v>1</v>
      </c>
      <c r="I212" s="24" t="s">
        <v>5466</v>
      </c>
    </row>
    <row r="213" spans="1:9" x14ac:dyDescent="0.35">
      <c r="A213" s="24" t="s">
        <v>5044</v>
      </c>
      <c r="B213" s="24" t="str">
        <f>"CHT"</f>
        <v>CHT</v>
      </c>
      <c r="C213" s="24" t="str">
        <f t="shared" si="3"/>
        <v>'CHT'</v>
      </c>
      <c r="D213" s="24" t="s">
        <v>5467</v>
      </c>
      <c r="E213" s="24">
        <v>2.3555000000000001</v>
      </c>
      <c r="F213" s="24">
        <v>1.5397000000000001</v>
      </c>
      <c r="G213" s="24">
        <v>28741339467.75</v>
      </c>
      <c r="H213" s="24">
        <v>2</v>
      </c>
      <c r="I213" s="24" t="s">
        <v>5468</v>
      </c>
    </row>
    <row r="214" spans="1:9" x14ac:dyDescent="0.35">
      <c r="A214" s="24" t="s">
        <v>5049</v>
      </c>
      <c r="B214" s="24" t="str">
        <f>"XEL"</f>
        <v>XEL</v>
      </c>
      <c r="C214" s="24" t="str">
        <f t="shared" si="3"/>
        <v>'XEL'</v>
      </c>
      <c r="D214" s="24" t="s">
        <v>5469</v>
      </c>
      <c r="E214" s="24">
        <v>2.351</v>
      </c>
      <c r="F214" s="24">
        <v>1.0381</v>
      </c>
      <c r="G214" s="24">
        <v>37891485863.040001</v>
      </c>
      <c r="H214" s="24">
        <v>8</v>
      </c>
      <c r="I214" s="24" t="s">
        <v>5470</v>
      </c>
    </row>
    <row r="215" spans="1:9" x14ac:dyDescent="0.35">
      <c r="A215" s="24" t="s">
        <v>5044</v>
      </c>
      <c r="B215" s="24" t="str">
        <f>"SQ"</f>
        <v>SQ</v>
      </c>
      <c r="C215" s="24" t="str">
        <f t="shared" si="3"/>
        <v>'SQ'</v>
      </c>
      <c r="D215" s="24" t="s">
        <v>5471</v>
      </c>
      <c r="E215" s="24">
        <v>2.3458999999999999</v>
      </c>
      <c r="F215" s="24">
        <v>1.8614999999999999</v>
      </c>
      <c r="G215" s="24">
        <v>38701180751.580002</v>
      </c>
      <c r="H215" s="24">
        <v>43</v>
      </c>
      <c r="I215" s="24" t="s">
        <v>5472</v>
      </c>
    </row>
    <row r="216" spans="1:9" x14ac:dyDescent="0.35">
      <c r="A216" s="24" t="s">
        <v>5049</v>
      </c>
      <c r="B216" s="24" t="str">
        <f>"NXST"</f>
        <v>NXST</v>
      </c>
      <c r="C216" s="24" t="str">
        <f t="shared" si="3"/>
        <v>'NXST'</v>
      </c>
      <c r="D216" s="24" t="s">
        <v>5473</v>
      </c>
      <c r="E216" s="24">
        <v>2.3445</v>
      </c>
      <c r="F216" s="24">
        <v>1.8209</v>
      </c>
      <c r="G216" s="24">
        <v>6778469713.6800003</v>
      </c>
      <c r="H216" s="24">
        <v>3</v>
      </c>
      <c r="I216" s="24" t="s">
        <v>5474</v>
      </c>
    </row>
    <row r="217" spans="1:9" x14ac:dyDescent="0.35">
      <c r="A217" s="24" t="s">
        <v>5049</v>
      </c>
      <c r="B217" s="24" t="str">
        <f>"FLEX"</f>
        <v>FLEX</v>
      </c>
      <c r="C217" s="24" t="str">
        <f t="shared" si="3"/>
        <v>'FLEX'</v>
      </c>
      <c r="D217" s="24" t="s">
        <v>5475</v>
      </c>
      <c r="E217" s="24">
        <v>2.3408000000000002</v>
      </c>
      <c r="F217" s="24">
        <v>1.2867999999999999</v>
      </c>
      <c r="G217" s="24">
        <v>9784661332.3799992</v>
      </c>
      <c r="H217" s="24">
        <v>6</v>
      </c>
      <c r="I217" s="24" t="s">
        <v>5476</v>
      </c>
    </row>
    <row r="218" spans="1:9" x14ac:dyDescent="0.35">
      <c r="A218" s="24" t="s">
        <v>5044</v>
      </c>
      <c r="B218" s="24" t="str">
        <f>"COO"</f>
        <v>COO</v>
      </c>
      <c r="C218" s="24" t="str">
        <f t="shared" si="3"/>
        <v>'COO'</v>
      </c>
      <c r="D218" s="24" t="s">
        <v>5477</v>
      </c>
      <c r="E218" s="24">
        <v>2.3344999999999998</v>
      </c>
      <c r="F218" s="24">
        <v>1.1979</v>
      </c>
      <c r="G218" s="24">
        <v>16748903754.24</v>
      </c>
      <c r="H218" s="24">
        <v>9</v>
      </c>
      <c r="I218" s="24" t="s">
        <v>5478</v>
      </c>
    </row>
    <row r="219" spans="1:9" x14ac:dyDescent="0.35">
      <c r="A219" s="24" t="s">
        <v>5049</v>
      </c>
      <c r="B219" s="24" t="str">
        <f>"CME"</f>
        <v>CME</v>
      </c>
      <c r="C219" s="24" t="str">
        <f t="shared" si="3"/>
        <v>'CME'</v>
      </c>
      <c r="D219" s="24" t="s">
        <v>5479</v>
      </c>
      <c r="E219" s="24">
        <v>2.3243</v>
      </c>
      <c r="F219" s="24">
        <v>1.0190999999999999</v>
      </c>
      <c r="G219" s="24">
        <v>61063533653.5</v>
      </c>
      <c r="H219" s="24">
        <v>19</v>
      </c>
      <c r="I219" s="24" t="s">
        <v>5480</v>
      </c>
    </row>
    <row r="220" spans="1:9" x14ac:dyDescent="0.35">
      <c r="A220" s="24" t="s">
        <v>5044</v>
      </c>
      <c r="B220" s="24" t="str">
        <f>"PSN"</f>
        <v>PSN</v>
      </c>
      <c r="C220" s="24" t="str">
        <f t="shared" si="3"/>
        <v>'PSN'</v>
      </c>
      <c r="D220" s="24" t="s">
        <v>5481</v>
      </c>
      <c r="E220" s="24">
        <v>2.3228</v>
      </c>
      <c r="F220" s="24">
        <v>1.4013</v>
      </c>
      <c r="G220" s="24">
        <v>4536532939.7700005</v>
      </c>
      <c r="H220" s="24">
        <v>0</v>
      </c>
      <c r="I220" s="24" t="s">
        <v>5482</v>
      </c>
    </row>
    <row r="221" spans="1:9" x14ac:dyDescent="0.35">
      <c r="A221" s="24" t="s">
        <v>5044</v>
      </c>
      <c r="B221" s="24" t="str">
        <f>"AGTI"</f>
        <v>AGTI</v>
      </c>
      <c r="C221" s="24" t="str">
        <f t="shared" si="3"/>
        <v>'AGTI'</v>
      </c>
      <c r="D221" s="24" t="s">
        <v>5483</v>
      </c>
      <c r="E221" s="24">
        <v>2.3126000000000002</v>
      </c>
      <c r="F221" s="24">
        <v>1.6464000000000001</v>
      </c>
      <c r="G221" s="24">
        <v>2165405758.3200002</v>
      </c>
      <c r="H221" s="24">
        <v>0</v>
      </c>
      <c r="I221" s="24" t="s">
        <v>5484</v>
      </c>
    </row>
    <row r="222" spans="1:9" x14ac:dyDescent="0.35">
      <c r="A222" s="24" t="s">
        <v>5049</v>
      </c>
      <c r="B222" s="24" t="str">
        <f>"OLLI"</f>
        <v>OLLI</v>
      </c>
      <c r="C222" s="24" t="str">
        <f t="shared" si="3"/>
        <v>'OLLI'</v>
      </c>
      <c r="D222" s="24" t="s">
        <v>5485</v>
      </c>
      <c r="E222" s="24">
        <v>2.3123</v>
      </c>
      <c r="F222" s="24">
        <v>2.8325999999999998</v>
      </c>
      <c r="G222" s="24">
        <v>3047844466.6100001</v>
      </c>
      <c r="H222" s="24">
        <v>0</v>
      </c>
      <c r="I222" s="24" t="s">
        <v>5486</v>
      </c>
    </row>
    <row r="223" spans="1:9" x14ac:dyDescent="0.35">
      <c r="A223" s="24" t="s">
        <v>5049</v>
      </c>
      <c r="B223" s="24" t="str">
        <f>"SSNC"</f>
        <v>SSNC</v>
      </c>
      <c r="C223" s="24" t="str">
        <f t="shared" si="3"/>
        <v>'SSNC'</v>
      </c>
      <c r="D223" s="24" t="s">
        <v>5487</v>
      </c>
      <c r="E223" s="24">
        <v>2.3119999999999998</v>
      </c>
      <c r="F223" s="24">
        <v>1.125</v>
      </c>
      <c r="G223" s="24">
        <v>13124553513.6</v>
      </c>
      <c r="H223" s="24">
        <v>1</v>
      </c>
      <c r="I223" s="24" t="s">
        <v>5488</v>
      </c>
    </row>
    <row r="224" spans="1:9" x14ac:dyDescent="0.35">
      <c r="A224" s="24" t="s">
        <v>5044</v>
      </c>
      <c r="B224" s="24" t="str">
        <f>"AU"</f>
        <v>AU</v>
      </c>
      <c r="C224" s="24" t="str">
        <f t="shared" si="3"/>
        <v>'AU'</v>
      </c>
      <c r="D224" s="24" t="s">
        <v>5489</v>
      </c>
      <c r="E224" s="24">
        <v>2.3046000000000002</v>
      </c>
      <c r="G224" s="24">
        <v>8817630666.2399998</v>
      </c>
      <c r="H224" s="24">
        <v>2</v>
      </c>
      <c r="I224" s="24" t="s">
        <v>5490</v>
      </c>
    </row>
    <row r="225" spans="1:9" x14ac:dyDescent="0.35">
      <c r="A225" s="24" t="s">
        <v>5044</v>
      </c>
      <c r="B225" s="24" t="str">
        <f>"CACI"</f>
        <v>CACI</v>
      </c>
      <c r="C225" s="24" t="str">
        <f t="shared" si="3"/>
        <v>'CACI'</v>
      </c>
      <c r="D225" s="24" t="s">
        <v>5491</v>
      </c>
      <c r="E225" s="24">
        <v>2.3012000000000001</v>
      </c>
      <c r="F225" s="24">
        <v>1.1657999999999999</v>
      </c>
      <c r="G225" s="24">
        <v>7245045246.2399998</v>
      </c>
      <c r="H225" s="24">
        <v>2</v>
      </c>
      <c r="I225" s="24" t="s">
        <v>5492</v>
      </c>
    </row>
    <row r="226" spans="1:9" x14ac:dyDescent="0.35">
      <c r="A226" s="24" t="s">
        <v>5044</v>
      </c>
      <c r="B226" s="24" t="str">
        <f>"CRM"</f>
        <v>CRM</v>
      </c>
      <c r="C226" s="24" t="str">
        <f t="shared" si="3"/>
        <v>'CRM'</v>
      </c>
      <c r="D226" s="24" t="s">
        <v>5493</v>
      </c>
      <c r="E226" s="24">
        <v>2.2972000000000001</v>
      </c>
      <c r="F226" s="24">
        <v>1.0539000000000001</v>
      </c>
      <c r="G226" s="24">
        <v>136340000000</v>
      </c>
      <c r="H226" s="24">
        <v>75</v>
      </c>
      <c r="I226" s="24" t="s">
        <v>5494</v>
      </c>
    </row>
    <row r="227" spans="1:9" x14ac:dyDescent="0.35">
      <c r="A227" s="24" t="s">
        <v>5049</v>
      </c>
      <c r="B227" s="24" t="str">
        <f>"RPRX"</f>
        <v>RPRX</v>
      </c>
      <c r="C227" s="24" t="str">
        <f t="shared" si="3"/>
        <v>'RPRX'</v>
      </c>
      <c r="D227" s="24" t="s">
        <v>5495</v>
      </c>
      <c r="E227" s="24">
        <v>2.2776999999999998</v>
      </c>
      <c r="F227" s="24">
        <v>2.0697000000000001</v>
      </c>
      <c r="G227" s="24">
        <v>23463050158.799999</v>
      </c>
      <c r="H227" s="24">
        <v>0</v>
      </c>
      <c r="I227" s="24" t="s">
        <v>5496</v>
      </c>
    </row>
    <row r="228" spans="1:9" x14ac:dyDescent="0.35">
      <c r="A228" s="24" t="s">
        <v>5049</v>
      </c>
      <c r="B228" s="24" t="str">
        <f>"FCFS"</f>
        <v>FCFS</v>
      </c>
      <c r="C228" s="24" t="str">
        <f t="shared" si="3"/>
        <v>'FCFS'</v>
      </c>
      <c r="D228" s="24" t="s">
        <v>5497</v>
      </c>
      <c r="E228" s="24">
        <v>2.2776000000000001</v>
      </c>
      <c r="F228" s="24">
        <v>3.4563000000000001</v>
      </c>
      <c r="G228" s="24">
        <v>4075989720</v>
      </c>
      <c r="H228" s="24">
        <v>2</v>
      </c>
      <c r="I228" s="24" t="s">
        <v>5498</v>
      </c>
    </row>
    <row r="229" spans="1:9" x14ac:dyDescent="0.35">
      <c r="A229" s="24" t="s">
        <v>5044</v>
      </c>
      <c r="B229" s="24" t="str">
        <f>"AZEK"</f>
        <v>AZEK</v>
      </c>
      <c r="C229" s="24" t="str">
        <f t="shared" si="3"/>
        <v>'AZEK'</v>
      </c>
      <c r="D229" s="24" t="s">
        <v>5499</v>
      </c>
      <c r="E229" s="24">
        <v>2.2764000000000002</v>
      </c>
      <c r="F229" s="24">
        <v>2.9075000000000002</v>
      </c>
      <c r="G229" s="24">
        <v>3288155538.29</v>
      </c>
      <c r="H229" s="24">
        <v>0</v>
      </c>
      <c r="I229" s="24" t="s">
        <v>5500</v>
      </c>
    </row>
    <row r="230" spans="1:9" x14ac:dyDescent="0.35">
      <c r="A230" s="24" t="s">
        <v>5044</v>
      </c>
      <c r="B230" s="24" t="str">
        <f>"NCR"</f>
        <v>NCR</v>
      </c>
      <c r="C230" s="24" t="str">
        <f t="shared" si="3"/>
        <v>'NCR'</v>
      </c>
      <c r="D230" s="24" t="s">
        <v>5501</v>
      </c>
      <c r="E230" s="24">
        <v>2.2745000000000002</v>
      </c>
      <c r="F230" s="24">
        <v>1.1519999999999999</v>
      </c>
      <c r="G230" s="24">
        <v>3286608000</v>
      </c>
      <c r="H230" s="24">
        <v>0</v>
      </c>
      <c r="I230" s="24" t="s">
        <v>5502</v>
      </c>
    </row>
    <row r="231" spans="1:9" x14ac:dyDescent="0.35">
      <c r="A231" s="24" t="s">
        <v>5044</v>
      </c>
      <c r="B231" s="24" t="str">
        <f>"VLO"</f>
        <v>VLO</v>
      </c>
      <c r="C231" s="24" t="str">
        <f t="shared" si="3"/>
        <v>'VLO'</v>
      </c>
      <c r="D231" s="24" t="s">
        <v>5503</v>
      </c>
      <c r="E231" s="24">
        <v>2.2663000000000002</v>
      </c>
      <c r="F231" s="24">
        <v>1.3167</v>
      </c>
      <c r="G231" s="24">
        <v>48803391762.019997</v>
      </c>
      <c r="H231" s="24">
        <v>8</v>
      </c>
      <c r="I231" s="24" t="s">
        <v>5504</v>
      </c>
    </row>
    <row r="232" spans="1:9" x14ac:dyDescent="0.35">
      <c r="A232" s="24" t="s">
        <v>5049</v>
      </c>
      <c r="B232" s="24" t="str">
        <f>"EVO"</f>
        <v>EVO</v>
      </c>
      <c r="C232" s="24" t="str">
        <f t="shared" si="3"/>
        <v>'EVO'</v>
      </c>
      <c r="D232" s="24" t="s">
        <v>5505</v>
      </c>
      <c r="E232" s="24">
        <v>2.2662</v>
      </c>
      <c r="F232" s="24">
        <v>3.2153999999999998</v>
      </c>
      <c r="G232" s="24">
        <v>2870172031.6599998</v>
      </c>
      <c r="H232" s="24">
        <v>0</v>
      </c>
      <c r="I232" s="24" t="s">
        <v>5506</v>
      </c>
    </row>
    <row r="233" spans="1:9" x14ac:dyDescent="0.35">
      <c r="A233" s="24" t="s">
        <v>5049</v>
      </c>
      <c r="B233" s="24" t="str">
        <f>"ADI"</f>
        <v>ADI</v>
      </c>
      <c r="C233" s="24" t="str">
        <f t="shared" si="3"/>
        <v>'ADI'</v>
      </c>
      <c r="D233" s="24" t="s">
        <v>5507</v>
      </c>
      <c r="E233" s="24">
        <v>2.2545000000000002</v>
      </c>
      <c r="F233" s="24">
        <v>2.0215999999999998</v>
      </c>
      <c r="G233" s="24">
        <v>81329468818.289993</v>
      </c>
      <c r="H233" s="24">
        <v>28</v>
      </c>
      <c r="I233" s="24" t="s">
        <v>5508</v>
      </c>
    </row>
    <row r="234" spans="1:9" x14ac:dyDescent="0.35">
      <c r="A234" s="24" t="s">
        <v>5044</v>
      </c>
      <c r="B234" s="24" t="str">
        <f>"CEQP"</f>
        <v>CEQP</v>
      </c>
      <c r="C234" s="24" t="str">
        <f t="shared" si="3"/>
        <v>'CEQP'</v>
      </c>
      <c r="D234" s="24" t="s">
        <v>5509</v>
      </c>
      <c r="E234" s="24">
        <v>2.2521</v>
      </c>
      <c r="F234" s="24">
        <v>1.5502</v>
      </c>
      <c r="G234" s="24">
        <v>2825614233</v>
      </c>
      <c r="H234" s="24">
        <v>0</v>
      </c>
      <c r="I234" s="24" t="s">
        <v>5510</v>
      </c>
    </row>
    <row r="235" spans="1:9" x14ac:dyDescent="0.35">
      <c r="A235" s="24" t="s">
        <v>5044</v>
      </c>
      <c r="B235" s="24" t="str">
        <f>"SIG"</f>
        <v>SIG</v>
      </c>
      <c r="C235" s="24" t="str">
        <f t="shared" si="3"/>
        <v>'SIG'</v>
      </c>
      <c r="D235" s="24" t="s">
        <v>5511</v>
      </c>
      <c r="E235" s="24">
        <v>2.2469000000000001</v>
      </c>
      <c r="F235" s="24">
        <v>1.5570999999999999</v>
      </c>
      <c r="G235" s="24">
        <v>3051559396.96</v>
      </c>
      <c r="H235" s="24">
        <v>1</v>
      </c>
      <c r="I235" s="24" t="s">
        <v>5512</v>
      </c>
    </row>
    <row r="236" spans="1:9" x14ac:dyDescent="0.35">
      <c r="A236" s="24" t="s">
        <v>5049</v>
      </c>
      <c r="B236" s="24" t="str">
        <f>"PTEN"</f>
        <v>PTEN</v>
      </c>
      <c r="C236" s="24" t="str">
        <f t="shared" si="3"/>
        <v>'PTEN'</v>
      </c>
      <c r="D236" s="24" t="s">
        <v>5513</v>
      </c>
      <c r="E236" s="24">
        <v>2.2406000000000001</v>
      </c>
      <c r="F236" s="24">
        <v>1.5499000000000001</v>
      </c>
      <c r="G236" s="24">
        <v>3623091108.3000002</v>
      </c>
      <c r="H236" s="24">
        <v>2</v>
      </c>
      <c r="I236" s="24" t="s">
        <v>5514</v>
      </c>
    </row>
    <row r="237" spans="1:9" x14ac:dyDescent="0.35">
      <c r="A237" s="24" t="s">
        <v>5044</v>
      </c>
      <c r="B237" s="24" t="str">
        <f>"S"</f>
        <v>S</v>
      </c>
      <c r="C237" s="24" t="str">
        <f t="shared" si="3"/>
        <v>'S'</v>
      </c>
      <c r="D237" s="24" t="s">
        <v>5515</v>
      </c>
      <c r="E237" s="24">
        <v>2.2282000000000002</v>
      </c>
      <c r="F237" s="24">
        <v>2.3527999999999998</v>
      </c>
      <c r="G237" s="24">
        <v>3748306156.1399999</v>
      </c>
      <c r="H237" s="24">
        <v>7</v>
      </c>
      <c r="I237" s="24" t="s">
        <v>5516</v>
      </c>
    </row>
    <row r="238" spans="1:9" x14ac:dyDescent="0.35">
      <c r="A238" s="24" t="s">
        <v>5049</v>
      </c>
      <c r="B238" s="24" t="str">
        <f>"CVCO"</f>
        <v>CVCO</v>
      </c>
      <c r="C238" s="24" t="str">
        <f t="shared" si="3"/>
        <v>'CVCO'</v>
      </c>
      <c r="D238" s="24" t="s">
        <v>5517</v>
      </c>
      <c r="E238" s="24">
        <v>2.2239</v>
      </c>
      <c r="F238" s="24">
        <v>2.6785999999999999</v>
      </c>
      <c r="G238" s="24">
        <v>2065897527.3199999</v>
      </c>
      <c r="H238" s="24">
        <v>0</v>
      </c>
      <c r="I238" s="24" t="s">
        <v>5518</v>
      </c>
    </row>
    <row r="239" spans="1:9" x14ac:dyDescent="0.35">
      <c r="A239" s="24" t="s">
        <v>5044</v>
      </c>
      <c r="B239" s="24" t="str">
        <f>"MTDR"</f>
        <v>MTDR</v>
      </c>
      <c r="C239" s="24" t="str">
        <f t="shared" si="3"/>
        <v>'MTDR'</v>
      </c>
      <c r="D239" s="24" t="s">
        <v>5519</v>
      </c>
      <c r="E239" s="24">
        <v>2.2138</v>
      </c>
      <c r="F239" s="24">
        <v>1.4825999999999999</v>
      </c>
      <c r="G239" s="24">
        <v>6302735476.8000002</v>
      </c>
      <c r="H239" s="24">
        <v>2</v>
      </c>
      <c r="I239" s="24" t="s">
        <v>5520</v>
      </c>
    </row>
    <row r="240" spans="1:9" x14ac:dyDescent="0.35">
      <c r="A240" s="24" t="s">
        <v>5049</v>
      </c>
      <c r="B240" s="24" t="str">
        <f>"ABCL"</f>
        <v>ABCL</v>
      </c>
      <c r="C240" s="24" t="str">
        <f t="shared" si="3"/>
        <v>'ABCL'</v>
      </c>
      <c r="D240" s="24" t="s">
        <v>5521</v>
      </c>
      <c r="E240" s="24">
        <v>2.2084000000000001</v>
      </c>
      <c r="F240" s="24">
        <v>9.86</v>
      </c>
      <c r="G240" s="24">
        <v>2760869120.5500002</v>
      </c>
      <c r="H240" s="24">
        <v>0</v>
      </c>
      <c r="I240" s="24" t="s">
        <v>5522</v>
      </c>
    </row>
    <row r="241" spans="1:9" x14ac:dyDescent="0.35">
      <c r="A241" s="24" t="s">
        <v>5044</v>
      </c>
      <c r="B241" s="24" t="str">
        <f>"SO"</f>
        <v>SO</v>
      </c>
      <c r="C241" s="24" t="str">
        <f t="shared" si="3"/>
        <v>'SO'</v>
      </c>
      <c r="D241" s="24" t="s">
        <v>5523</v>
      </c>
      <c r="E241" s="24">
        <v>2.2058</v>
      </c>
      <c r="F241" s="24">
        <v>0.8095</v>
      </c>
      <c r="G241" s="24">
        <v>76620793634.639999</v>
      </c>
      <c r="H241" s="24">
        <v>6</v>
      </c>
      <c r="I241" s="24" t="s">
        <v>5524</v>
      </c>
    </row>
    <row r="242" spans="1:9" x14ac:dyDescent="0.35">
      <c r="A242" s="24" t="s">
        <v>5044</v>
      </c>
      <c r="B242" s="24" t="str">
        <f>"BEKE"</f>
        <v>BEKE</v>
      </c>
      <c r="C242" s="24" t="str">
        <f t="shared" si="3"/>
        <v>'BEKE'</v>
      </c>
      <c r="D242" s="24" t="s">
        <v>5525</v>
      </c>
      <c r="E242" s="24">
        <v>2.2002000000000002</v>
      </c>
      <c r="F242" s="24">
        <v>2.0788000000000002</v>
      </c>
      <c r="G242" s="24">
        <v>22130257073.040001</v>
      </c>
      <c r="H242" s="24">
        <v>130</v>
      </c>
      <c r="I242" s="24" t="s">
        <v>5526</v>
      </c>
    </row>
    <row r="243" spans="1:9" x14ac:dyDescent="0.35">
      <c r="A243" s="24" t="s">
        <v>5044</v>
      </c>
      <c r="B243" s="24" t="str">
        <f>"HOG"</f>
        <v>HOG</v>
      </c>
      <c r="C243" s="24" t="str">
        <f t="shared" si="3"/>
        <v>'HOG'</v>
      </c>
      <c r="D243" s="24" t="s">
        <v>5527</v>
      </c>
      <c r="E243" s="24">
        <v>2.1964999999999999</v>
      </c>
      <c r="F243" s="24">
        <v>1.3620000000000001</v>
      </c>
      <c r="G243" s="24">
        <v>6187969312.6199999</v>
      </c>
      <c r="H243" s="24">
        <v>3</v>
      </c>
      <c r="I243" s="24" t="s">
        <v>5528</v>
      </c>
    </row>
    <row r="244" spans="1:9" x14ac:dyDescent="0.35">
      <c r="A244" s="24" t="s">
        <v>5044</v>
      </c>
      <c r="B244" s="24" t="str">
        <f>"XPO"</f>
        <v>XPO</v>
      </c>
      <c r="C244" s="24" t="str">
        <f t="shared" si="3"/>
        <v>'XPO'</v>
      </c>
      <c r="D244" s="24" t="s">
        <v>5529</v>
      </c>
      <c r="E244" s="24">
        <v>2.1930000000000001</v>
      </c>
      <c r="F244" s="24">
        <v>1.1593</v>
      </c>
      <c r="G244" s="24">
        <v>3916678495.5500002</v>
      </c>
      <c r="H244" s="24">
        <v>3</v>
      </c>
      <c r="I244" s="24" t="s">
        <v>5530</v>
      </c>
    </row>
    <row r="245" spans="1:9" x14ac:dyDescent="0.35">
      <c r="A245" s="24" t="s">
        <v>5049</v>
      </c>
      <c r="B245" s="24" t="str">
        <f>"STLD"</f>
        <v>STLD</v>
      </c>
      <c r="C245" s="24" t="str">
        <f t="shared" si="3"/>
        <v>'STLD'</v>
      </c>
      <c r="D245" s="24" t="s">
        <v>5531</v>
      </c>
      <c r="E245" s="24">
        <v>2.1924000000000001</v>
      </c>
      <c r="F245" s="24">
        <v>3.6659000000000002</v>
      </c>
      <c r="G245" s="24">
        <v>17344699495.110001</v>
      </c>
      <c r="H245" s="24">
        <v>2</v>
      </c>
      <c r="I245" s="24" t="s">
        <v>5532</v>
      </c>
    </row>
    <row r="246" spans="1:9" x14ac:dyDescent="0.35">
      <c r="A246" s="24" t="s">
        <v>5044</v>
      </c>
      <c r="B246" s="24" t="str">
        <f>"ONTO"</f>
        <v>ONTO</v>
      </c>
      <c r="C246" s="24" t="str">
        <f t="shared" si="3"/>
        <v>'ONTO'</v>
      </c>
      <c r="D246" s="24" t="s">
        <v>5533</v>
      </c>
      <c r="E246" s="24">
        <v>2.1919</v>
      </c>
      <c r="F246" s="24">
        <v>6.6212</v>
      </c>
      <c r="G246" s="24">
        <v>3439941057.6300001</v>
      </c>
      <c r="H246" s="24">
        <v>2</v>
      </c>
      <c r="I246" s="24" t="s">
        <v>5534</v>
      </c>
    </row>
    <row r="247" spans="1:9" x14ac:dyDescent="0.35">
      <c r="A247" s="24" t="s">
        <v>5049</v>
      </c>
      <c r="B247" s="24" t="str">
        <f>"NSIT"</f>
        <v>NSIT</v>
      </c>
      <c r="C247" s="24" t="str">
        <f t="shared" si="3"/>
        <v>'NSIT'</v>
      </c>
      <c r="D247" s="24" t="s">
        <v>5535</v>
      </c>
      <c r="E247" s="24">
        <v>2.1905000000000001</v>
      </c>
      <c r="F247" s="24">
        <v>1.665</v>
      </c>
      <c r="G247" s="24">
        <v>3550339629.1500001</v>
      </c>
      <c r="H247" s="24">
        <v>0</v>
      </c>
      <c r="I247" s="24" t="s">
        <v>5536</v>
      </c>
    </row>
    <row r="248" spans="1:9" x14ac:dyDescent="0.35">
      <c r="A248" s="24" t="s">
        <v>5044</v>
      </c>
      <c r="B248" s="24" t="str">
        <f>"CABO"</f>
        <v>CABO</v>
      </c>
      <c r="C248" s="24" t="str">
        <f t="shared" si="3"/>
        <v>'CABO'</v>
      </c>
      <c r="D248" s="24" t="s">
        <v>5537</v>
      </c>
      <c r="E248" s="24">
        <v>2.1808000000000001</v>
      </c>
      <c r="F248" s="24">
        <v>1.4197</v>
      </c>
      <c r="G248" s="24">
        <v>4101213201.48</v>
      </c>
      <c r="H248" s="24">
        <v>4</v>
      </c>
      <c r="I248" s="24" t="s">
        <v>5538</v>
      </c>
    </row>
    <row r="249" spans="1:9" x14ac:dyDescent="0.35">
      <c r="A249" s="24" t="s">
        <v>5049</v>
      </c>
      <c r="B249" s="24" t="str">
        <f>"BMBL"</f>
        <v>BMBL</v>
      </c>
      <c r="C249" s="24" t="str">
        <f t="shared" si="3"/>
        <v>'BMBL'</v>
      </c>
      <c r="D249" s="24" t="s">
        <v>5539</v>
      </c>
      <c r="E249" s="24">
        <v>2.1785999999999999</v>
      </c>
      <c r="F249" s="24">
        <v>3.2372000000000001</v>
      </c>
      <c r="G249" s="24">
        <v>3693834785.0999999</v>
      </c>
      <c r="H249" s="24">
        <v>0</v>
      </c>
      <c r="I249" s="24" t="s">
        <v>5540</v>
      </c>
    </row>
    <row r="250" spans="1:9" x14ac:dyDescent="0.35">
      <c r="A250" s="24" t="s">
        <v>5044</v>
      </c>
      <c r="B250" s="24" t="str">
        <f>"INFA"</f>
        <v>INFA</v>
      </c>
      <c r="C250" s="24" t="str">
        <f t="shared" si="3"/>
        <v>'INFA'</v>
      </c>
      <c r="D250" s="24" t="s">
        <v>5541</v>
      </c>
      <c r="E250" s="24">
        <v>2.1764999999999999</v>
      </c>
      <c r="F250" s="24">
        <v>1.5373000000000001</v>
      </c>
      <c r="G250" s="24">
        <v>4288103071.0500002</v>
      </c>
      <c r="H250" s="24">
        <v>1</v>
      </c>
      <c r="I250" s="24" t="s">
        <v>5542</v>
      </c>
    </row>
    <row r="251" spans="1:9" x14ac:dyDescent="0.35">
      <c r="A251" s="24" t="s">
        <v>5044</v>
      </c>
      <c r="B251" s="24" t="str">
        <f>"CVX"</f>
        <v>CVX</v>
      </c>
      <c r="C251" s="24" t="str">
        <f t="shared" si="3"/>
        <v>'CVX'</v>
      </c>
      <c r="D251" s="24" t="s">
        <v>5543</v>
      </c>
      <c r="E251" s="24">
        <v>2.173</v>
      </c>
      <c r="F251" s="24">
        <v>1.3964000000000001</v>
      </c>
      <c r="G251" s="24">
        <v>338850818801.03998</v>
      </c>
      <c r="H251" s="24">
        <v>32</v>
      </c>
      <c r="I251" s="24" t="s">
        <v>5544</v>
      </c>
    </row>
    <row r="252" spans="1:9" x14ac:dyDescent="0.35">
      <c r="A252" s="24" t="s">
        <v>5049</v>
      </c>
      <c r="B252" s="24" t="str">
        <f>"ONEM"</f>
        <v>ONEM</v>
      </c>
      <c r="C252" s="24" t="str">
        <f t="shared" si="3"/>
        <v>'ONEM'</v>
      </c>
      <c r="D252" s="24" t="s">
        <v>5545</v>
      </c>
      <c r="E252" s="24">
        <v>2.1715</v>
      </c>
      <c r="F252" s="24">
        <v>2.0945999999999998</v>
      </c>
      <c r="G252" s="24">
        <v>3379955169.4200001</v>
      </c>
      <c r="H252" s="24">
        <v>0</v>
      </c>
      <c r="I252" s="24" t="s">
        <v>5546</v>
      </c>
    </row>
    <row r="253" spans="1:9" x14ac:dyDescent="0.35">
      <c r="A253" s="24" t="s">
        <v>5044</v>
      </c>
      <c r="B253" s="24" t="str">
        <f>"ASGN"</f>
        <v>ASGN</v>
      </c>
      <c r="C253" s="24" t="str">
        <f t="shared" si="3"/>
        <v>'ASGN'</v>
      </c>
      <c r="D253" s="24" t="s">
        <v>5547</v>
      </c>
      <c r="E253" s="24">
        <v>2.1697000000000002</v>
      </c>
      <c r="F253" s="24">
        <v>2.2749999999999999</v>
      </c>
      <c r="G253" s="24">
        <v>4098786000</v>
      </c>
      <c r="H253" s="24">
        <v>0</v>
      </c>
      <c r="I253" s="24" t="s">
        <v>5548</v>
      </c>
    </row>
    <row r="254" spans="1:9" x14ac:dyDescent="0.35">
      <c r="A254" s="24" t="s">
        <v>5044</v>
      </c>
      <c r="B254" s="24" t="str">
        <f>"ZBH"</f>
        <v>ZBH</v>
      </c>
      <c r="C254" s="24" t="str">
        <f t="shared" si="3"/>
        <v>'ZBH'</v>
      </c>
      <c r="D254" s="24" t="s">
        <v>5549</v>
      </c>
      <c r="E254" s="24">
        <v>2.1697000000000002</v>
      </c>
      <c r="F254" s="24">
        <v>1.9752000000000001</v>
      </c>
      <c r="G254" s="24">
        <v>26458189583.360001</v>
      </c>
      <c r="H254" s="24">
        <v>7</v>
      </c>
      <c r="I254" s="24" t="s">
        <v>5550</v>
      </c>
    </row>
    <row r="255" spans="1:9" x14ac:dyDescent="0.35">
      <c r="A255" s="24" t="s">
        <v>5044</v>
      </c>
      <c r="B255" s="24" t="str">
        <f>"LHX"</f>
        <v>LHX</v>
      </c>
      <c r="C255" s="24" t="str">
        <f t="shared" si="3"/>
        <v>'LHX'</v>
      </c>
      <c r="D255" s="24" t="s">
        <v>5551</v>
      </c>
      <c r="E255" s="24">
        <v>2.1655000000000002</v>
      </c>
      <c r="F255" s="24">
        <v>1.0988</v>
      </c>
      <c r="G255" s="24">
        <v>39247728133.349998</v>
      </c>
      <c r="H255" s="24">
        <v>3</v>
      </c>
      <c r="I255" s="24" t="s">
        <v>5552</v>
      </c>
    </row>
    <row r="256" spans="1:9" x14ac:dyDescent="0.35">
      <c r="A256" s="24" t="s">
        <v>5044</v>
      </c>
      <c r="B256" s="24" t="str">
        <f>"TXT"</f>
        <v>TXT</v>
      </c>
      <c r="C256" s="24" t="str">
        <f t="shared" si="3"/>
        <v>'TXT'</v>
      </c>
      <c r="D256" s="24" t="s">
        <v>5553</v>
      </c>
      <c r="E256" s="24">
        <v>2.1646999999999998</v>
      </c>
      <c r="F256" s="24">
        <v>2.0438000000000001</v>
      </c>
      <c r="G256" s="24">
        <v>14628617043.040001</v>
      </c>
      <c r="H256" s="24">
        <v>2</v>
      </c>
      <c r="I256" s="24" t="s">
        <v>5554</v>
      </c>
    </row>
    <row r="257" spans="1:9" x14ac:dyDescent="0.35">
      <c r="A257" s="24" t="s">
        <v>5049</v>
      </c>
      <c r="B257" s="24" t="str">
        <f>"PPC"</f>
        <v>PPC</v>
      </c>
      <c r="C257" s="24" t="str">
        <f t="shared" si="3"/>
        <v>'PPC'</v>
      </c>
      <c r="D257" s="24" t="s">
        <v>5555</v>
      </c>
      <c r="E257" s="24">
        <v>2.1577000000000002</v>
      </c>
      <c r="F257" s="24">
        <v>1.5465</v>
      </c>
      <c r="G257" s="24">
        <v>5885722494.8500004</v>
      </c>
      <c r="H257" s="24">
        <v>0</v>
      </c>
      <c r="I257" s="24" t="s">
        <v>5556</v>
      </c>
    </row>
    <row r="258" spans="1:9" x14ac:dyDescent="0.35">
      <c r="A258" s="24" t="s">
        <v>5044</v>
      </c>
      <c r="B258" s="24" t="str">
        <f>"OUT"</f>
        <v>OUT</v>
      </c>
      <c r="C258" s="24" t="str">
        <f t="shared" si="3"/>
        <v>'OUT'</v>
      </c>
      <c r="D258" s="24" t="s">
        <v>5557</v>
      </c>
      <c r="E258" s="24">
        <v>2.1564999999999999</v>
      </c>
      <c r="F258" s="24">
        <v>0.82150000000000001</v>
      </c>
      <c r="G258" s="24">
        <v>2752855469.52</v>
      </c>
      <c r="H258" s="24">
        <v>0</v>
      </c>
      <c r="I258" s="24" t="s">
        <v>5558</v>
      </c>
    </row>
    <row r="259" spans="1:9" x14ac:dyDescent="0.35">
      <c r="A259" s="24" t="s">
        <v>5049</v>
      </c>
      <c r="B259" s="24" t="str">
        <f>"KLIC"</f>
        <v>KLIC</v>
      </c>
      <c r="C259" s="24" t="str">
        <f t="shared" ref="C259:C322" si="4">"'"&amp;B259&amp;"'"</f>
        <v>'KLIC'</v>
      </c>
      <c r="D259" s="24" t="s">
        <v>5559</v>
      </c>
      <c r="E259" s="24">
        <v>2.1514000000000002</v>
      </c>
      <c r="F259" s="24">
        <v>5.3563999999999998</v>
      </c>
      <c r="G259" s="24">
        <v>2546468004.0799999</v>
      </c>
      <c r="H259" s="24">
        <v>3</v>
      </c>
      <c r="I259" s="24" t="s">
        <v>5560</v>
      </c>
    </row>
    <row r="260" spans="1:9" x14ac:dyDescent="0.35">
      <c r="A260" s="24" t="s">
        <v>5049</v>
      </c>
      <c r="B260" s="24" t="str">
        <f>"EXEL"</f>
        <v>EXEL</v>
      </c>
      <c r="C260" s="24" t="str">
        <f t="shared" si="4"/>
        <v>'EXEL'</v>
      </c>
      <c r="D260" s="24" t="s">
        <v>5561</v>
      </c>
      <c r="E260" s="24">
        <v>2.1478999999999999</v>
      </c>
      <c r="F260" s="24">
        <v>6.1035000000000004</v>
      </c>
      <c r="G260" s="24">
        <v>5351293924.6199999</v>
      </c>
      <c r="H260" s="24">
        <v>5</v>
      </c>
      <c r="I260" s="24" t="s">
        <v>5562</v>
      </c>
    </row>
    <row r="261" spans="1:9" x14ac:dyDescent="0.35">
      <c r="A261" s="24" t="s">
        <v>5049</v>
      </c>
      <c r="B261" s="24" t="str">
        <f>"OTEX"</f>
        <v>OTEX</v>
      </c>
      <c r="C261" s="24" t="str">
        <f t="shared" si="4"/>
        <v>'OTEX'</v>
      </c>
      <c r="D261" s="24" t="s">
        <v>5563</v>
      </c>
      <c r="E261" s="24">
        <v>2.1478000000000002</v>
      </c>
      <c r="F261" s="24">
        <v>1.4225000000000001</v>
      </c>
      <c r="G261" s="24">
        <v>8125973486.3800001</v>
      </c>
      <c r="H261" s="24">
        <v>0</v>
      </c>
      <c r="I261" s="24" t="s">
        <v>5564</v>
      </c>
    </row>
    <row r="262" spans="1:9" x14ac:dyDescent="0.35">
      <c r="A262" s="24" t="s">
        <v>5044</v>
      </c>
      <c r="B262" s="24" t="str">
        <f>"ESE"</f>
        <v>ESE</v>
      </c>
      <c r="C262" s="24" t="str">
        <f t="shared" si="4"/>
        <v>'ESE'</v>
      </c>
      <c r="D262" s="24" t="s">
        <v>5565</v>
      </c>
      <c r="E262" s="24">
        <v>2.1457000000000002</v>
      </c>
      <c r="F262" s="24">
        <v>1.8</v>
      </c>
      <c r="G262" s="24">
        <v>2240133593.1199999</v>
      </c>
      <c r="H262" s="24">
        <v>1</v>
      </c>
      <c r="I262" s="24" t="s">
        <v>5566</v>
      </c>
    </row>
    <row r="263" spans="1:9" x14ac:dyDescent="0.35">
      <c r="A263" s="24" t="s">
        <v>5049</v>
      </c>
      <c r="B263" s="24" t="str">
        <f>"ROKU"</f>
        <v>ROKU</v>
      </c>
      <c r="C263" s="24" t="str">
        <f t="shared" si="4"/>
        <v>'ROKU'</v>
      </c>
      <c r="D263" s="24" t="s">
        <v>5567</v>
      </c>
      <c r="E263" s="24">
        <v>2.1436999999999999</v>
      </c>
      <c r="F263" s="24">
        <v>3.1490999999999998</v>
      </c>
      <c r="G263" s="24">
        <v>5955164504.1599998</v>
      </c>
      <c r="H263" s="24">
        <v>22</v>
      </c>
      <c r="I263" s="24" t="s">
        <v>5568</v>
      </c>
    </row>
    <row r="264" spans="1:9" x14ac:dyDescent="0.35">
      <c r="A264" s="24" t="s">
        <v>5049</v>
      </c>
      <c r="B264" s="24" t="str">
        <f>"ITRI"</f>
        <v>ITRI</v>
      </c>
      <c r="C264" s="24" t="str">
        <f t="shared" si="4"/>
        <v>'ITRI'</v>
      </c>
      <c r="D264" s="24" t="s">
        <v>5569</v>
      </c>
      <c r="E264" s="24">
        <v>2.1395</v>
      </c>
      <c r="F264" s="24">
        <v>1.6105</v>
      </c>
      <c r="G264" s="24">
        <v>2340220037.4000001</v>
      </c>
      <c r="H264" s="24">
        <v>1</v>
      </c>
      <c r="I264" s="24" t="s">
        <v>5570</v>
      </c>
    </row>
    <row r="265" spans="1:9" x14ac:dyDescent="0.35">
      <c r="A265" s="24" t="s">
        <v>5044</v>
      </c>
      <c r="B265" s="24" t="str">
        <f>"INGR"</f>
        <v>INGR</v>
      </c>
      <c r="C265" s="24" t="str">
        <f t="shared" si="4"/>
        <v>'INGR'</v>
      </c>
      <c r="D265" s="24" t="s">
        <v>5571</v>
      </c>
      <c r="E265" s="24">
        <v>2.1385000000000001</v>
      </c>
      <c r="F265" s="24">
        <v>1.6768000000000001</v>
      </c>
      <c r="G265" s="24">
        <v>6357554642.6599998</v>
      </c>
      <c r="H265" s="24">
        <v>0</v>
      </c>
      <c r="I265" s="24" t="s">
        <v>5572</v>
      </c>
    </row>
    <row r="266" spans="1:9" x14ac:dyDescent="0.35">
      <c r="A266" s="24" t="s">
        <v>5044</v>
      </c>
      <c r="B266" s="24" t="str">
        <f>"RTX"</f>
        <v>RTX</v>
      </c>
      <c r="C266" s="24" t="str">
        <f t="shared" si="4"/>
        <v>'RTX'</v>
      </c>
      <c r="D266" s="24" t="s">
        <v>5573</v>
      </c>
      <c r="E266" s="24">
        <v>2.1375000000000002</v>
      </c>
      <c r="F266" s="24">
        <v>1.0899000000000001</v>
      </c>
      <c r="G266" s="24">
        <v>148299730982</v>
      </c>
      <c r="H266" s="24">
        <v>11</v>
      </c>
      <c r="I266" s="24" t="s">
        <v>5574</v>
      </c>
    </row>
    <row r="267" spans="1:9" x14ac:dyDescent="0.35">
      <c r="A267" s="24" t="s">
        <v>5044</v>
      </c>
      <c r="B267" s="24" t="str">
        <f>"SJM"</f>
        <v>SJM</v>
      </c>
      <c r="C267" s="24" t="str">
        <f t="shared" si="4"/>
        <v>'SJM'</v>
      </c>
      <c r="D267" s="24" t="s">
        <v>5575</v>
      </c>
      <c r="E267" s="24">
        <v>2.1246999999999998</v>
      </c>
      <c r="F267" s="24">
        <v>1.0928</v>
      </c>
      <c r="G267" s="24">
        <v>16997191963.290001</v>
      </c>
      <c r="H267" s="24">
        <v>6</v>
      </c>
      <c r="I267" s="24" t="s">
        <v>5576</v>
      </c>
    </row>
    <row r="268" spans="1:9" x14ac:dyDescent="0.35">
      <c r="A268" s="24" t="s">
        <v>5044</v>
      </c>
      <c r="B268" s="24" t="str">
        <f>"DNA"</f>
        <v>DNA</v>
      </c>
      <c r="C268" s="24" t="str">
        <f t="shared" si="4"/>
        <v>'DNA'</v>
      </c>
      <c r="D268" s="24" t="s">
        <v>5577</v>
      </c>
      <c r="E268" s="24">
        <v>2.1229</v>
      </c>
      <c r="F268" s="24">
        <v>11.713100000000001</v>
      </c>
      <c r="G268" s="24">
        <v>3045768388.0500002</v>
      </c>
      <c r="H268" s="24">
        <v>2</v>
      </c>
      <c r="I268" s="24" t="s">
        <v>5578</v>
      </c>
    </row>
    <row r="269" spans="1:9" x14ac:dyDescent="0.35">
      <c r="A269" s="24" t="s">
        <v>5044</v>
      </c>
      <c r="B269" s="24" t="str">
        <f>"LH"</f>
        <v>LH</v>
      </c>
      <c r="C269" s="24" t="str">
        <f t="shared" si="4"/>
        <v>'LH'</v>
      </c>
      <c r="D269" s="24" t="s">
        <v>5579</v>
      </c>
      <c r="E269" s="24">
        <v>2.1200999999999999</v>
      </c>
      <c r="F269" s="24">
        <v>1.7333000000000001</v>
      </c>
      <c r="G269" s="24">
        <v>21261342000</v>
      </c>
      <c r="H269" s="24">
        <v>8</v>
      </c>
      <c r="I269" s="24" t="s">
        <v>5580</v>
      </c>
    </row>
    <row r="270" spans="1:9" x14ac:dyDescent="0.35">
      <c r="A270" s="24" t="s">
        <v>5049</v>
      </c>
      <c r="B270" s="24" t="str">
        <f>"MQ"</f>
        <v>MQ</v>
      </c>
      <c r="C270" s="24" t="str">
        <f t="shared" si="4"/>
        <v>'MQ'</v>
      </c>
      <c r="D270" s="24" t="s">
        <v>5581</v>
      </c>
      <c r="E270" s="24">
        <v>2.1194000000000002</v>
      </c>
      <c r="F270" s="24">
        <v>6.9652000000000003</v>
      </c>
      <c r="G270" s="24">
        <v>3205203376.1999998</v>
      </c>
      <c r="H270" s="24">
        <v>1</v>
      </c>
      <c r="I270" s="24" t="s">
        <v>5582</v>
      </c>
    </row>
    <row r="271" spans="1:9" x14ac:dyDescent="0.35">
      <c r="A271" s="24" t="s">
        <v>5044</v>
      </c>
      <c r="B271" s="24" t="str">
        <f>"ENS"</f>
        <v>ENS</v>
      </c>
      <c r="C271" s="24" t="str">
        <f t="shared" si="4"/>
        <v>'ENS'</v>
      </c>
      <c r="D271" s="24" t="s">
        <v>5583</v>
      </c>
      <c r="E271" s="24">
        <v>2.1191</v>
      </c>
      <c r="F271" s="24">
        <v>2.9155000000000002</v>
      </c>
      <c r="G271" s="24">
        <v>2974841523.02</v>
      </c>
      <c r="H271" s="24">
        <v>1</v>
      </c>
      <c r="I271" s="24" t="s">
        <v>5584</v>
      </c>
    </row>
    <row r="272" spans="1:9" x14ac:dyDescent="0.35">
      <c r="A272" s="24" t="s">
        <v>5049</v>
      </c>
      <c r="B272" s="24" t="str">
        <f>"QRVO"</f>
        <v>QRVO</v>
      </c>
      <c r="C272" s="24" t="str">
        <f t="shared" si="4"/>
        <v>'QRVO'</v>
      </c>
      <c r="D272" s="24" t="s">
        <v>5585</v>
      </c>
      <c r="E272" s="24">
        <v>2.1179999999999999</v>
      </c>
      <c r="F272" s="24">
        <v>3.2995999999999999</v>
      </c>
      <c r="G272" s="24">
        <v>9154455517.1700001</v>
      </c>
      <c r="H272" s="24">
        <v>15</v>
      </c>
      <c r="I272" s="24" t="s">
        <v>5586</v>
      </c>
    </row>
    <row r="273" spans="1:9" x14ac:dyDescent="0.35">
      <c r="A273" s="24" t="s">
        <v>5044</v>
      </c>
      <c r="B273" s="24" t="str">
        <f>"EPD"</f>
        <v>EPD</v>
      </c>
      <c r="C273" s="24" t="str">
        <f t="shared" si="4"/>
        <v>'EPD'</v>
      </c>
      <c r="D273" s="24" t="s">
        <v>5587</v>
      </c>
      <c r="E273" s="24">
        <v>2.1168999999999998</v>
      </c>
      <c r="F273" s="24">
        <v>0.85929999999999995</v>
      </c>
      <c r="G273" s="24">
        <v>53584281464.699997</v>
      </c>
      <c r="H273" s="24">
        <v>6</v>
      </c>
      <c r="I273" s="24" t="s">
        <v>5588</v>
      </c>
    </row>
    <row r="274" spans="1:9" x14ac:dyDescent="0.35">
      <c r="A274" s="24" t="s">
        <v>5044</v>
      </c>
      <c r="B274" s="24" t="str">
        <f>"DOW"</f>
        <v>DOW</v>
      </c>
      <c r="C274" s="24" t="str">
        <f t="shared" si="4"/>
        <v>'DOW'</v>
      </c>
      <c r="D274" s="24" t="s">
        <v>5589</v>
      </c>
      <c r="E274" s="24">
        <v>2.1128</v>
      </c>
      <c r="F274" s="24">
        <v>1.6059000000000001</v>
      </c>
      <c r="G274" s="24">
        <v>37235902922.790001</v>
      </c>
      <c r="H274" s="24">
        <v>12</v>
      </c>
      <c r="I274" s="24" t="s">
        <v>5590</v>
      </c>
    </row>
    <row r="275" spans="1:9" x14ac:dyDescent="0.35">
      <c r="A275" s="24" t="s">
        <v>5044</v>
      </c>
      <c r="B275" s="24" t="str">
        <f>"ST"</f>
        <v>ST</v>
      </c>
      <c r="C275" s="24" t="str">
        <f t="shared" si="4"/>
        <v>'ST'</v>
      </c>
      <c r="D275" s="24" t="s">
        <v>5591</v>
      </c>
      <c r="E275" s="24">
        <v>2.0991</v>
      </c>
      <c r="F275" s="24">
        <v>2.9803999999999999</v>
      </c>
      <c r="G275" s="24">
        <v>6407559413.2799997</v>
      </c>
      <c r="H275" s="24">
        <v>294</v>
      </c>
      <c r="I275" s="24" t="s">
        <v>5592</v>
      </c>
    </row>
    <row r="276" spans="1:9" x14ac:dyDescent="0.35">
      <c r="A276" s="24" t="s">
        <v>5044</v>
      </c>
      <c r="B276" s="24" t="str">
        <f>"OSK"</f>
        <v>OSK</v>
      </c>
      <c r="C276" s="24" t="str">
        <f t="shared" si="4"/>
        <v>'OSK'</v>
      </c>
      <c r="D276" s="24" t="s">
        <v>5593</v>
      </c>
      <c r="E276" s="24">
        <v>2.0951</v>
      </c>
      <c r="F276" s="24">
        <v>1.7331000000000001</v>
      </c>
      <c r="G276" s="24">
        <v>5875632750.3000002</v>
      </c>
      <c r="H276" s="24">
        <v>0</v>
      </c>
      <c r="I276" s="24" t="s">
        <v>5594</v>
      </c>
    </row>
    <row r="277" spans="1:9" x14ac:dyDescent="0.35">
      <c r="A277" s="24" t="s">
        <v>5044</v>
      </c>
      <c r="B277" s="24" t="str">
        <f>"SPB"</f>
        <v>SPB</v>
      </c>
      <c r="C277" s="24" t="str">
        <f t="shared" si="4"/>
        <v>'SPB'</v>
      </c>
      <c r="D277" s="24" t="s">
        <v>5595</v>
      </c>
      <c r="E277" s="24">
        <v>2.0909</v>
      </c>
      <c r="F277" s="24">
        <v>2.7231000000000001</v>
      </c>
      <c r="G277" s="24">
        <v>2569609728</v>
      </c>
      <c r="H277" s="24">
        <v>0</v>
      </c>
      <c r="I277" s="24" t="s">
        <v>5596</v>
      </c>
    </row>
    <row r="278" spans="1:9" x14ac:dyDescent="0.35">
      <c r="A278" s="24" t="s">
        <v>5044</v>
      </c>
      <c r="B278" s="24" t="str">
        <f>"MPC"</f>
        <v>MPC</v>
      </c>
      <c r="C278" s="24" t="str">
        <f t="shared" si="4"/>
        <v>'MPC'</v>
      </c>
      <c r="D278" s="24" t="s">
        <v>5597</v>
      </c>
      <c r="E278" s="24">
        <v>2.0899000000000001</v>
      </c>
      <c r="F278" s="24">
        <v>1.6555</v>
      </c>
      <c r="G278" s="24">
        <v>54238118203.089996</v>
      </c>
      <c r="H278" s="24">
        <v>8</v>
      </c>
      <c r="I278" s="24" t="s">
        <v>5598</v>
      </c>
    </row>
    <row r="279" spans="1:9" x14ac:dyDescent="0.35">
      <c r="A279" s="24" t="s">
        <v>5044</v>
      </c>
      <c r="B279" s="24" t="str">
        <f>"MDT"</f>
        <v>MDT</v>
      </c>
      <c r="C279" s="24" t="str">
        <f t="shared" si="4"/>
        <v>'MDT'</v>
      </c>
      <c r="D279" s="24" t="s">
        <v>5599</v>
      </c>
      <c r="E279" s="24">
        <v>2.0882999999999998</v>
      </c>
      <c r="F279" s="24">
        <v>1.7558</v>
      </c>
      <c r="G279" s="24">
        <v>106454303639.34</v>
      </c>
      <c r="H279" s="24">
        <v>47</v>
      </c>
      <c r="I279" s="24" t="s">
        <v>5600</v>
      </c>
    </row>
    <row r="280" spans="1:9" x14ac:dyDescent="0.35">
      <c r="A280" s="24" t="s">
        <v>5049</v>
      </c>
      <c r="B280" s="24" t="str">
        <f>"OTTR"</f>
        <v>OTTR</v>
      </c>
      <c r="C280" s="24" t="str">
        <f t="shared" si="4"/>
        <v>'OTTR'</v>
      </c>
      <c r="D280" s="24" t="s">
        <v>5601</v>
      </c>
      <c r="E280" s="24">
        <v>2.0882000000000001</v>
      </c>
      <c r="F280" s="24">
        <v>1.9039999999999999</v>
      </c>
      <c r="G280" s="24">
        <v>2436659620.5599999</v>
      </c>
      <c r="H280" s="24">
        <v>3</v>
      </c>
      <c r="I280" s="24" t="s">
        <v>5602</v>
      </c>
    </row>
    <row r="281" spans="1:9" x14ac:dyDescent="0.35">
      <c r="A281" s="24" t="s">
        <v>5049</v>
      </c>
      <c r="B281" s="24" t="str">
        <f>"ZD"</f>
        <v>ZD</v>
      </c>
      <c r="C281" s="24" t="str">
        <f t="shared" si="4"/>
        <v>'ZD'</v>
      </c>
      <c r="D281" s="24" t="s">
        <v>5603</v>
      </c>
      <c r="E281" s="24">
        <v>2.0842999999999998</v>
      </c>
      <c r="F281" s="24">
        <v>2.3418999999999999</v>
      </c>
      <c r="G281" s="24">
        <v>3738515700.0799999</v>
      </c>
      <c r="H281" s="24">
        <v>1</v>
      </c>
      <c r="I281" s="24" t="s">
        <v>5604</v>
      </c>
    </row>
    <row r="282" spans="1:9" x14ac:dyDescent="0.35">
      <c r="A282" s="24" t="s">
        <v>5044</v>
      </c>
      <c r="B282" s="24" t="str">
        <f>"WY"</f>
        <v>WY</v>
      </c>
      <c r="C282" s="24" t="str">
        <f t="shared" si="4"/>
        <v>'WY'</v>
      </c>
      <c r="D282" s="24" t="s">
        <v>5605</v>
      </c>
      <c r="E282" s="24">
        <v>2.0829</v>
      </c>
      <c r="F282" s="24">
        <v>2.8917999999999999</v>
      </c>
      <c r="G282" s="24">
        <v>22298285100</v>
      </c>
      <c r="H282" s="24">
        <v>6</v>
      </c>
      <c r="I282" s="24" t="s">
        <v>5606</v>
      </c>
    </row>
    <row r="283" spans="1:9" x14ac:dyDescent="0.35">
      <c r="A283" s="24" t="s">
        <v>5049</v>
      </c>
      <c r="B283" s="24" t="str">
        <f>"BKR"</f>
        <v>BKR</v>
      </c>
      <c r="C283" s="24" t="str">
        <f t="shared" si="4"/>
        <v>'BKR'</v>
      </c>
      <c r="D283" s="24" t="s">
        <v>5607</v>
      </c>
      <c r="E283" s="24">
        <v>2.0815999999999999</v>
      </c>
      <c r="F283" s="24">
        <v>1.5145</v>
      </c>
      <c r="G283" s="24">
        <v>29043865411.200001</v>
      </c>
      <c r="H283" s="24">
        <v>3</v>
      </c>
      <c r="I283" s="24" t="s">
        <v>5608</v>
      </c>
    </row>
    <row r="284" spans="1:9" x14ac:dyDescent="0.35">
      <c r="A284" s="24" t="s">
        <v>5049</v>
      </c>
      <c r="B284" s="24" t="str">
        <f>"FISV"</f>
        <v>FISV</v>
      </c>
      <c r="C284" s="24" t="str">
        <f t="shared" si="4"/>
        <v>'FISV'</v>
      </c>
      <c r="D284" s="24" t="s">
        <v>5609</v>
      </c>
      <c r="E284" s="24">
        <v>2.0813999999999999</v>
      </c>
      <c r="F284" s="24">
        <v>1.0615000000000001</v>
      </c>
      <c r="G284" s="24">
        <v>63121790754.400002</v>
      </c>
      <c r="H284" s="24">
        <v>19</v>
      </c>
      <c r="I284" s="24" t="s">
        <v>5610</v>
      </c>
    </row>
    <row r="285" spans="1:9" x14ac:dyDescent="0.35">
      <c r="A285" s="24" t="s">
        <v>5044</v>
      </c>
      <c r="B285" s="24" t="str">
        <f>"MLI"</f>
        <v>MLI</v>
      </c>
      <c r="C285" s="24" t="str">
        <f t="shared" si="4"/>
        <v>'MLI'</v>
      </c>
      <c r="D285" s="24" t="s">
        <v>5611</v>
      </c>
      <c r="E285" s="24">
        <v>2.0748000000000002</v>
      </c>
      <c r="F285" s="24">
        <v>3.7896999999999998</v>
      </c>
      <c r="G285" s="24">
        <v>3342506360.6399999</v>
      </c>
      <c r="H285" s="24">
        <v>1</v>
      </c>
      <c r="I285" s="24" t="s">
        <v>5612</v>
      </c>
    </row>
    <row r="286" spans="1:9" x14ac:dyDescent="0.35">
      <c r="A286" s="24" t="s">
        <v>5044</v>
      </c>
      <c r="B286" s="24" t="str">
        <f>"OI"</f>
        <v>OI</v>
      </c>
      <c r="C286" s="24" t="str">
        <f t="shared" si="4"/>
        <v>'OI'</v>
      </c>
      <c r="D286" s="24" t="s">
        <v>5613</v>
      </c>
      <c r="E286" s="24">
        <v>2.0741999999999998</v>
      </c>
      <c r="F286" s="24">
        <v>1.1594</v>
      </c>
      <c r="G286" s="24">
        <v>3009669847.4000001</v>
      </c>
      <c r="H286" s="24">
        <v>1</v>
      </c>
      <c r="I286" s="24" t="s">
        <v>5614</v>
      </c>
    </row>
    <row r="287" spans="1:9" x14ac:dyDescent="0.35">
      <c r="A287" s="24" t="s">
        <v>5049</v>
      </c>
      <c r="B287" s="24" t="str">
        <f>"CALM"</f>
        <v>CALM</v>
      </c>
      <c r="C287" s="24" t="str">
        <f t="shared" si="4"/>
        <v>'CALM'</v>
      </c>
      <c r="D287" s="24" t="s">
        <v>5615</v>
      </c>
      <c r="E287" s="24">
        <v>2.0691000000000002</v>
      </c>
      <c r="F287" s="24">
        <v>3.1772999999999998</v>
      </c>
      <c r="G287" s="24">
        <v>2733238123.1399999</v>
      </c>
      <c r="H287" s="24">
        <v>0</v>
      </c>
      <c r="I287" s="24" t="s">
        <v>5616</v>
      </c>
    </row>
    <row r="288" spans="1:9" x14ac:dyDescent="0.35">
      <c r="A288" s="24" t="s">
        <v>5044</v>
      </c>
      <c r="B288" s="24" t="str">
        <f>"YMM"</f>
        <v>YMM</v>
      </c>
      <c r="C288" s="24" t="str">
        <f t="shared" si="4"/>
        <v>'YMM'</v>
      </c>
      <c r="D288" s="24" t="s">
        <v>5617</v>
      </c>
      <c r="E288" s="24">
        <v>2.0585</v>
      </c>
      <c r="F288" s="24">
        <v>11.4331</v>
      </c>
      <c r="G288" s="24">
        <v>10060767722.639999</v>
      </c>
      <c r="H288" s="24">
        <v>13</v>
      </c>
      <c r="I288" s="24" t="s">
        <v>5618</v>
      </c>
    </row>
    <row r="289" spans="1:9" x14ac:dyDescent="0.35">
      <c r="A289" s="24" t="s">
        <v>5044</v>
      </c>
      <c r="B289" s="24" t="str">
        <f>"SCL"</f>
        <v>SCL</v>
      </c>
      <c r="C289" s="24" t="str">
        <f t="shared" si="4"/>
        <v>'SCL'</v>
      </c>
      <c r="D289" s="24" t="s">
        <v>5619</v>
      </c>
      <c r="E289" s="24">
        <v>2.056</v>
      </c>
      <c r="F289" s="24">
        <v>1.7783</v>
      </c>
      <c r="G289" s="24">
        <v>2307076294.9000001</v>
      </c>
      <c r="H289" s="24">
        <v>1</v>
      </c>
      <c r="I289" s="24" t="s">
        <v>5620</v>
      </c>
    </row>
    <row r="290" spans="1:9" x14ac:dyDescent="0.35">
      <c r="A290" s="24" t="s">
        <v>5044</v>
      </c>
      <c r="B290" s="24" t="str">
        <f>"GXO"</f>
        <v>GXO</v>
      </c>
      <c r="C290" s="24" t="str">
        <f t="shared" si="4"/>
        <v>'GXO'</v>
      </c>
      <c r="D290" s="24" t="s">
        <v>5621</v>
      </c>
      <c r="E290" s="24">
        <v>2.0546000000000002</v>
      </c>
      <c r="F290" s="24">
        <v>0.98550000000000004</v>
      </c>
      <c r="G290" s="24">
        <v>5278237498.1099997</v>
      </c>
      <c r="H290" s="24">
        <v>0</v>
      </c>
      <c r="I290" s="24" t="s">
        <v>5622</v>
      </c>
    </row>
    <row r="291" spans="1:9" x14ac:dyDescent="0.35">
      <c r="A291" s="24" t="s">
        <v>5049</v>
      </c>
      <c r="B291" s="24" t="str">
        <f>"CMCSA"</f>
        <v>CMCSA</v>
      </c>
      <c r="C291" s="24" t="str">
        <f t="shared" si="4"/>
        <v>'CMCSA'</v>
      </c>
      <c r="D291" s="24" t="s">
        <v>5623</v>
      </c>
      <c r="E291" s="24">
        <v>2.0525000000000002</v>
      </c>
      <c r="F291" s="24">
        <v>0.83630000000000004</v>
      </c>
      <c r="G291" s="24">
        <v>159879653504.12</v>
      </c>
      <c r="H291" s="24">
        <v>21</v>
      </c>
      <c r="I291" s="24" t="s">
        <v>5624</v>
      </c>
    </row>
    <row r="292" spans="1:9" x14ac:dyDescent="0.35">
      <c r="A292" s="24" t="s">
        <v>5049</v>
      </c>
      <c r="B292" s="24" t="str">
        <f>"AIMC"</f>
        <v>AIMC</v>
      </c>
      <c r="C292" s="24" t="str">
        <f t="shared" si="4"/>
        <v>'AIMC'</v>
      </c>
      <c r="D292" s="24" t="s">
        <v>5625</v>
      </c>
      <c r="E292" s="24">
        <v>2.0514999999999999</v>
      </c>
      <c r="F292" s="24">
        <v>2.2913000000000001</v>
      </c>
      <c r="G292" s="24">
        <v>3897132153.1999998</v>
      </c>
      <c r="H292" s="24">
        <v>1</v>
      </c>
      <c r="I292" s="24" t="s">
        <v>5626</v>
      </c>
    </row>
    <row r="293" spans="1:9" x14ac:dyDescent="0.35">
      <c r="A293" s="24" t="s">
        <v>5049</v>
      </c>
      <c r="B293" s="24" t="str">
        <f>"SGRY"</f>
        <v>SGRY</v>
      </c>
      <c r="C293" s="24" t="str">
        <f t="shared" si="4"/>
        <v>'SGRY'</v>
      </c>
      <c r="D293" s="24" t="s">
        <v>5627</v>
      </c>
      <c r="E293" s="24">
        <v>2.0484</v>
      </c>
      <c r="F293" s="24">
        <v>1.1826000000000001</v>
      </c>
      <c r="G293" s="24">
        <v>2402581434.1399999</v>
      </c>
      <c r="H293" s="24">
        <v>1</v>
      </c>
      <c r="I293" s="24" t="s">
        <v>5628</v>
      </c>
    </row>
    <row r="294" spans="1:9" x14ac:dyDescent="0.35">
      <c r="A294" s="24" t="s">
        <v>5044</v>
      </c>
      <c r="B294" s="24" t="str">
        <f>"ROG"</f>
        <v>ROG</v>
      </c>
      <c r="C294" s="24" t="str">
        <f t="shared" si="4"/>
        <v>'ROG'</v>
      </c>
      <c r="D294" s="24" t="s">
        <v>5629</v>
      </c>
      <c r="E294" s="24">
        <v>2.0466000000000002</v>
      </c>
      <c r="F294" s="24">
        <v>4.6237000000000004</v>
      </c>
      <c r="G294" s="24">
        <v>2230523900.1799998</v>
      </c>
      <c r="H294" s="24">
        <v>4</v>
      </c>
      <c r="I294" s="24" t="s">
        <v>5630</v>
      </c>
    </row>
    <row r="295" spans="1:9" x14ac:dyDescent="0.35">
      <c r="A295" s="24" t="s">
        <v>5044</v>
      </c>
      <c r="B295" s="24" t="str">
        <f>"USFD"</f>
        <v>USFD</v>
      </c>
      <c r="C295" s="24" t="str">
        <f t="shared" si="4"/>
        <v>'USFD'</v>
      </c>
      <c r="D295" s="24" t="s">
        <v>5631</v>
      </c>
      <c r="E295" s="24">
        <v>2.0432999999999999</v>
      </c>
      <c r="F295" s="24">
        <v>1.3557999999999999</v>
      </c>
      <c r="G295" s="24">
        <v>8024097500</v>
      </c>
      <c r="H295" s="24">
        <v>0</v>
      </c>
      <c r="I295" s="24" t="s">
        <v>5632</v>
      </c>
    </row>
    <row r="296" spans="1:9" x14ac:dyDescent="0.35">
      <c r="A296" s="24" t="s">
        <v>5044</v>
      </c>
      <c r="B296" s="24" t="str">
        <f>"TAC"</f>
        <v>TAC</v>
      </c>
      <c r="C296" s="24" t="str">
        <f t="shared" si="4"/>
        <v>'TAC'</v>
      </c>
      <c r="D296" s="24" t="s">
        <v>5633</v>
      </c>
      <c r="E296" s="24">
        <v>2.0427</v>
      </c>
      <c r="F296" s="24">
        <v>1.0865</v>
      </c>
      <c r="G296" s="24">
        <v>2357250000</v>
      </c>
      <c r="H296" s="24">
        <v>0</v>
      </c>
      <c r="I296" s="24" t="s">
        <v>5634</v>
      </c>
    </row>
    <row r="297" spans="1:9" x14ac:dyDescent="0.35">
      <c r="A297" s="24" t="s">
        <v>5049</v>
      </c>
      <c r="B297" s="24" t="str">
        <f>"OMCL"</f>
        <v>OMCL</v>
      </c>
      <c r="C297" s="24" t="str">
        <f t="shared" si="4"/>
        <v>'OMCL'</v>
      </c>
      <c r="D297" s="24" t="s">
        <v>5635</v>
      </c>
      <c r="E297" s="24">
        <v>2.0406</v>
      </c>
      <c r="F297" s="24">
        <v>2.2542</v>
      </c>
      <c r="G297" s="24">
        <v>2316880301.3800001</v>
      </c>
      <c r="H297" s="24">
        <v>1</v>
      </c>
      <c r="I297" s="24" t="s">
        <v>5636</v>
      </c>
    </row>
    <row r="298" spans="1:9" x14ac:dyDescent="0.35">
      <c r="A298" s="24" t="s">
        <v>5044</v>
      </c>
      <c r="B298" s="24" t="str">
        <f>"BABA"</f>
        <v>BABA</v>
      </c>
      <c r="C298" s="24" t="str">
        <f t="shared" si="4"/>
        <v>'BABA'</v>
      </c>
      <c r="D298" s="24" t="s">
        <v>5637</v>
      </c>
      <c r="E298" s="24">
        <v>2.0339999999999998</v>
      </c>
      <c r="F298" s="24">
        <v>1.7701</v>
      </c>
      <c r="G298" s="24">
        <v>276666390000</v>
      </c>
      <c r="H298" s="24">
        <v>1066</v>
      </c>
      <c r="I298" s="24" t="s">
        <v>5638</v>
      </c>
    </row>
    <row r="299" spans="1:9" x14ac:dyDescent="0.35">
      <c r="A299" s="24" t="s">
        <v>5044</v>
      </c>
      <c r="B299" s="24" t="str">
        <f>"PAG"</f>
        <v>PAG</v>
      </c>
      <c r="C299" s="24" t="str">
        <f t="shared" si="4"/>
        <v>'PAG'</v>
      </c>
      <c r="D299" s="24" t="s">
        <v>5639</v>
      </c>
      <c r="E299" s="24">
        <v>2.0308999999999999</v>
      </c>
      <c r="F299" s="24">
        <v>0.97609999999999997</v>
      </c>
      <c r="G299" s="24">
        <v>8169949988.4799995</v>
      </c>
      <c r="H299" s="24">
        <v>1</v>
      </c>
      <c r="I299" s="24" t="s">
        <v>5640</v>
      </c>
    </row>
    <row r="300" spans="1:9" x14ac:dyDescent="0.35">
      <c r="A300" s="24" t="s">
        <v>5049</v>
      </c>
      <c r="B300" s="24" t="str">
        <f>"UFPI"</f>
        <v>UFPI</v>
      </c>
      <c r="C300" s="24" t="str">
        <f t="shared" si="4"/>
        <v>'UFPI'</v>
      </c>
      <c r="D300" s="24" t="s">
        <v>5641</v>
      </c>
      <c r="E300" s="24">
        <v>2.0211999999999999</v>
      </c>
      <c r="F300" s="24">
        <v>3.0346000000000002</v>
      </c>
      <c r="G300" s="24">
        <v>4894634986.7399998</v>
      </c>
      <c r="H300" s="24">
        <v>1</v>
      </c>
      <c r="I300" s="24" t="s">
        <v>5642</v>
      </c>
    </row>
    <row r="301" spans="1:9" x14ac:dyDescent="0.35">
      <c r="A301" s="24" t="s">
        <v>5044</v>
      </c>
      <c r="B301" s="24" t="str">
        <f>"APG"</f>
        <v>APG</v>
      </c>
      <c r="C301" s="24" t="str">
        <f t="shared" si="4"/>
        <v>'APG'</v>
      </c>
      <c r="D301" s="24" t="s">
        <v>5643</v>
      </c>
      <c r="E301" s="24">
        <v>2.0072000000000001</v>
      </c>
      <c r="F301" s="24">
        <v>1.6231</v>
      </c>
      <c r="G301" s="24">
        <v>4315582674</v>
      </c>
      <c r="H301" s="24">
        <v>0</v>
      </c>
      <c r="I301" s="24" t="s">
        <v>5644</v>
      </c>
    </row>
    <row r="302" spans="1:9" x14ac:dyDescent="0.35">
      <c r="A302" s="24" t="s">
        <v>5044</v>
      </c>
      <c r="B302" s="24" t="str">
        <f>"UNVR"</f>
        <v>UNVR</v>
      </c>
      <c r="C302" s="24" t="str">
        <f t="shared" si="4"/>
        <v>'UNVR'</v>
      </c>
      <c r="D302" s="24" t="s">
        <v>5645</v>
      </c>
      <c r="E302" s="24">
        <v>2.0030000000000001</v>
      </c>
      <c r="F302" s="24">
        <v>2.0693000000000001</v>
      </c>
      <c r="G302" s="24">
        <v>5136481514.4399996</v>
      </c>
      <c r="H302" s="24">
        <v>0</v>
      </c>
      <c r="I302" s="24" t="s">
        <v>5646</v>
      </c>
    </row>
    <row r="303" spans="1:9" x14ac:dyDescent="0.35">
      <c r="A303" s="24" t="s">
        <v>5049</v>
      </c>
      <c r="B303" s="24" t="str">
        <f>"SRCL"</f>
        <v>SRCL</v>
      </c>
      <c r="C303" s="24" t="str">
        <f t="shared" si="4"/>
        <v>'SRCL'</v>
      </c>
      <c r="D303" s="24" t="s">
        <v>5647</v>
      </c>
      <c r="E303" s="24">
        <v>2.0024999999999999</v>
      </c>
      <c r="F303" s="24">
        <v>1.0185999999999999</v>
      </c>
      <c r="G303" s="24">
        <v>4650693848.5500002</v>
      </c>
      <c r="H303" s="24">
        <v>3</v>
      </c>
      <c r="I303" s="24" t="s">
        <v>5648</v>
      </c>
    </row>
    <row r="304" spans="1:9" x14ac:dyDescent="0.35">
      <c r="A304" s="24" t="s">
        <v>5049</v>
      </c>
      <c r="B304" s="24" t="str">
        <f>"BECN"</f>
        <v>BECN</v>
      </c>
      <c r="C304" s="24" t="str">
        <f t="shared" si="4"/>
        <v>'BECN'</v>
      </c>
      <c r="D304" s="24" t="s">
        <v>5649</v>
      </c>
      <c r="E304" s="24">
        <v>2.0019999999999998</v>
      </c>
      <c r="F304" s="24">
        <v>1.9064000000000001</v>
      </c>
      <c r="G304" s="24">
        <v>3355895071.52</v>
      </c>
      <c r="H304" s="24">
        <v>0</v>
      </c>
      <c r="I304" s="24" t="s">
        <v>5650</v>
      </c>
    </row>
    <row r="305" spans="1:9" x14ac:dyDescent="0.35">
      <c r="A305" s="24" t="s">
        <v>5044</v>
      </c>
      <c r="B305" s="24" t="str">
        <f>"NUE"</f>
        <v>NUE</v>
      </c>
      <c r="C305" s="24" t="str">
        <f t="shared" si="4"/>
        <v>'NUE'</v>
      </c>
      <c r="D305" s="24" t="s">
        <v>5651</v>
      </c>
      <c r="E305" s="24">
        <v>2.0002</v>
      </c>
      <c r="F305" s="24">
        <v>3.0992999999999999</v>
      </c>
      <c r="G305" s="24">
        <v>35159315455.5</v>
      </c>
      <c r="H305" s="24">
        <v>6</v>
      </c>
      <c r="I305" s="24" t="s">
        <v>5652</v>
      </c>
    </row>
    <row r="306" spans="1:9" x14ac:dyDescent="0.35">
      <c r="A306" s="24" t="s">
        <v>5044</v>
      </c>
      <c r="B306" s="24" t="str">
        <f>"WHR"</f>
        <v>WHR</v>
      </c>
      <c r="C306" s="24" t="str">
        <f t="shared" si="4"/>
        <v>'WHR'</v>
      </c>
      <c r="D306" s="24" t="s">
        <v>5653</v>
      </c>
      <c r="E306" s="24">
        <v>1.9984</v>
      </c>
      <c r="F306" s="24">
        <v>1.163</v>
      </c>
      <c r="G306" s="24">
        <v>8158678295.04</v>
      </c>
      <c r="H306" s="24">
        <v>7</v>
      </c>
      <c r="I306" s="24" t="s">
        <v>5654</v>
      </c>
    </row>
    <row r="307" spans="1:9" x14ac:dyDescent="0.35">
      <c r="A307" s="24" t="s">
        <v>5044</v>
      </c>
      <c r="B307" s="24" t="str">
        <f>"PBH"</f>
        <v>PBH</v>
      </c>
      <c r="C307" s="24" t="str">
        <f t="shared" si="4"/>
        <v>'PBH'</v>
      </c>
      <c r="D307" s="24" t="s">
        <v>5655</v>
      </c>
      <c r="E307" s="24">
        <v>1.9849000000000001</v>
      </c>
      <c r="F307" s="24">
        <v>2.2103000000000002</v>
      </c>
      <c r="G307" s="24">
        <v>3215224803.8400002</v>
      </c>
      <c r="H307" s="24">
        <v>0</v>
      </c>
      <c r="I307" s="24" t="s">
        <v>5656</v>
      </c>
    </row>
    <row r="308" spans="1:9" x14ac:dyDescent="0.35">
      <c r="A308" s="24" t="s">
        <v>5049</v>
      </c>
      <c r="B308" s="24" t="str">
        <f>"OKTA"</f>
        <v>OKTA</v>
      </c>
      <c r="C308" s="24" t="str">
        <f t="shared" si="4"/>
        <v>'OKTA'</v>
      </c>
      <c r="D308" s="24" t="s">
        <v>5657</v>
      </c>
      <c r="E308" s="24">
        <v>1.9776</v>
      </c>
      <c r="F308" s="24">
        <v>2.2963</v>
      </c>
      <c r="G308" s="24">
        <v>10693828162.16</v>
      </c>
      <c r="H308" s="24">
        <v>15</v>
      </c>
      <c r="I308" s="24" t="s">
        <v>5658</v>
      </c>
    </row>
    <row r="309" spans="1:9" x14ac:dyDescent="0.35">
      <c r="A309" s="24" t="s">
        <v>5044</v>
      </c>
      <c r="B309" s="24" t="str">
        <f>"OXY"</f>
        <v>OXY</v>
      </c>
      <c r="C309" s="24" t="str">
        <f t="shared" si="4"/>
        <v>'OXY'</v>
      </c>
      <c r="D309" s="24" t="s">
        <v>5659</v>
      </c>
      <c r="E309" s="24">
        <v>1.9772000000000001</v>
      </c>
      <c r="F309" s="24">
        <v>1.1026</v>
      </c>
      <c r="G309" s="24">
        <v>56552638350.779999</v>
      </c>
      <c r="H309" s="24">
        <v>34</v>
      </c>
      <c r="I309" s="24" t="s">
        <v>5660</v>
      </c>
    </row>
    <row r="310" spans="1:9" x14ac:dyDescent="0.35">
      <c r="A310" s="24" t="s">
        <v>5044</v>
      </c>
      <c r="B310" s="24" t="str">
        <f>"LBRT"</f>
        <v>LBRT</v>
      </c>
      <c r="C310" s="24" t="str">
        <f t="shared" si="4"/>
        <v>'LBRT'</v>
      </c>
      <c r="D310" s="24" t="s">
        <v>5661</v>
      </c>
      <c r="E310" s="24">
        <v>1.9718</v>
      </c>
      <c r="F310" s="24">
        <v>1.4131</v>
      </c>
      <c r="G310" s="24">
        <v>2751869607.7600002</v>
      </c>
      <c r="H310" s="24">
        <v>0</v>
      </c>
      <c r="I310" s="24" t="s">
        <v>5662</v>
      </c>
    </row>
    <row r="311" spans="1:9" x14ac:dyDescent="0.35">
      <c r="A311" s="24" t="s">
        <v>5049</v>
      </c>
      <c r="B311" s="24" t="str">
        <f>"ICLR"</f>
        <v>ICLR</v>
      </c>
      <c r="C311" s="24" t="str">
        <f t="shared" si="4"/>
        <v>'ICLR'</v>
      </c>
      <c r="D311" s="24" t="s">
        <v>5663</v>
      </c>
      <c r="E311" s="24">
        <v>1.9716</v>
      </c>
      <c r="F311" s="24">
        <v>1.1614</v>
      </c>
      <c r="G311" s="24">
        <v>16243866686.25</v>
      </c>
      <c r="H311" s="24">
        <v>5</v>
      </c>
      <c r="I311" s="24" t="s">
        <v>5664</v>
      </c>
    </row>
    <row r="312" spans="1:9" x14ac:dyDescent="0.35">
      <c r="A312" s="24" t="s">
        <v>5049</v>
      </c>
      <c r="B312" s="24" t="str">
        <f>"ICUI"</f>
        <v>ICUI</v>
      </c>
      <c r="C312" s="24" t="str">
        <f t="shared" si="4"/>
        <v>'ICUI'</v>
      </c>
      <c r="D312" s="24" t="s">
        <v>5665</v>
      </c>
      <c r="E312" s="24">
        <v>1.9674</v>
      </c>
      <c r="F312" s="24">
        <v>2.4525000000000001</v>
      </c>
      <c r="G312" s="24">
        <v>3960079626.4400001</v>
      </c>
      <c r="H312" s="24">
        <v>1</v>
      </c>
      <c r="I312" s="24" t="s">
        <v>5666</v>
      </c>
    </row>
    <row r="313" spans="1:9" x14ac:dyDescent="0.35">
      <c r="A313" s="24" t="s">
        <v>5044</v>
      </c>
      <c r="B313" s="24" t="str">
        <f>"UNF"</f>
        <v>UNF</v>
      </c>
      <c r="C313" s="24" t="str">
        <f t="shared" si="4"/>
        <v>'UNF'</v>
      </c>
      <c r="D313" s="24" t="s">
        <v>5667</v>
      </c>
      <c r="E313" s="24">
        <v>1.9603999999999999</v>
      </c>
      <c r="F313" s="24">
        <v>4.3647999999999998</v>
      </c>
      <c r="G313" s="24">
        <v>3733588400</v>
      </c>
      <c r="H313" s="24">
        <v>1</v>
      </c>
      <c r="I313" s="24" t="s">
        <v>5668</v>
      </c>
    </row>
    <row r="314" spans="1:9" x14ac:dyDescent="0.35">
      <c r="A314" s="24" t="s">
        <v>5044</v>
      </c>
      <c r="B314" s="24" t="str">
        <f>"IDA"</f>
        <v>IDA</v>
      </c>
      <c r="C314" s="24" t="str">
        <f t="shared" si="4"/>
        <v>'IDA'</v>
      </c>
      <c r="D314" s="24" t="s">
        <v>5669</v>
      </c>
      <c r="E314" s="24">
        <v>1.96</v>
      </c>
      <c r="F314" s="24">
        <v>1.3875</v>
      </c>
      <c r="G314" s="24">
        <v>5367144835.8000002</v>
      </c>
      <c r="H314" s="24">
        <v>2</v>
      </c>
      <c r="I314" s="24" t="s">
        <v>5670</v>
      </c>
    </row>
    <row r="315" spans="1:9" x14ac:dyDescent="0.35">
      <c r="A315" s="24" t="s">
        <v>5044</v>
      </c>
      <c r="B315" s="24" t="str">
        <f>"NEM"</f>
        <v>NEM</v>
      </c>
      <c r="C315" s="24" t="str">
        <f t="shared" si="4"/>
        <v>'NEM'</v>
      </c>
      <c r="D315" s="24" t="s">
        <v>5671</v>
      </c>
      <c r="E315" s="24">
        <v>1.9559</v>
      </c>
      <c r="F315" s="24">
        <v>2.7193999999999998</v>
      </c>
      <c r="G315" s="24">
        <v>40647360414.510002</v>
      </c>
      <c r="H315" s="24">
        <v>13</v>
      </c>
      <c r="I315" s="24" t="s">
        <v>5672</v>
      </c>
    </row>
    <row r="316" spans="1:9" x14ac:dyDescent="0.35">
      <c r="A316" s="24" t="s">
        <v>5049</v>
      </c>
      <c r="B316" s="24" t="str">
        <f>"GRAB"</f>
        <v>GRAB</v>
      </c>
      <c r="C316" s="24" t="str">
        <f t="shared" si="4"/>
        <v>'GRAB'</v>
      </c>
      <c r="D316" s="24" t="s">
        <v>5673</v>
      </c>
      <c r="E316" s="24">
        <v>1.9518</v>
      </c>
      <c r="F316" s="24">
        <v>7.1218000000000004</v>
      </c>
      <c r="G316" s="24">
        <v>13361824610.040001</v>
      </c>
      <c r="H316" s="24">
        <v>5</v>
      </c>
      <c r="I316" s="24" t="s">
        <v>5674</v>
      </c>
    </row>
    <row r="317" spans="1:9" x14ac:dyDescent="0.35">
      <c r="A317" s="24" t="s">
        <v>5044</v>
      </c>
      <c r="B317" s="24" t="str">
        <f>"CAE"</f>
        <v>CAE</v>
      </c>
      <c r="C317" s="24" t="str">
        <f t="shared" si="4"/>
        <v>'CAE'</v>
      </c>
      <c r="D317" s="24" t="s">
        <v>5675</v>
      </c>
      <c r="E317" s="24">
        <v>1.9499</v>
      </c>
      <c r="F317" s="24">
        <v>1.0274000000000001</v>
      </c>
      <c r="G317" s="24">
        <v>6213613464</v>
      </c>
      <c r="H317" s="24">
        <v>1</v>
      </c>
      <c r="I317" s="24" t="s">
        <v>5676</v>
      </c>
    </row>
    <row r="318" spans="1:9" x14ac:dyDescent="0.35">
      <c r="A318" s="24" t="s">
        <v>5044</v>
      </c>
      <c r="B318" s="24" t="str">
        <f>"MOG.A"</f>
        <v>MOG.A</v>
      </c>
      <c r="C318" s="24" t="str">
        <f t="shared" si="4"/>
        <v>'MOG.A'</v>
      </c>
      <c r="D318" s="24" t="s">
        <v>5677</v>
      </c>
      <c r="E318" s="24">
        <v>1.9473</v>
      </c>
      <c r="F318" s="24">
        <v>2.0971000000000002</v>
      </c>
      <c r="G318" s="24">
        <v>2797911542.6399999</v>
      </c>
      <c r="H318" s="24">
        <v>1</v>
      </c>
      <c r="I318" s="24" t="s">
        <v>5678</v>
      </c>
    </row>
    <row r="319" spans="1:9" x14ac:dyDescent="0.35">
      <c r="A319" s="24" t="s">
        <v>5049</v>
      </c>
      <c r="B319" s="24" t="str">
        <f>"APP"</f>
        <v>APP</v>
      </c>
      <c r="C319" s="24" t="str">
        <f t="shared" si="4"/>
        <v>'APP'</v>
      </c>
      <c r="D319" s="24" t="s">
        <v>5679</v>
      </c>
      <c r="E319" s="24">
        <v>1.9454</v>
      </c>
      <c r="F319" s="24">
        <v>3.3557000000000001</v>
      </c>
      <c r="G319" s="24">
        <v>3661143062.3499999</v>
      </c>
      <c r="H319" s="24">
        <v>3</v>
      </c>
      <c r="I319" s="24" t="s">
        <v>5680</v>
      </c>
    </row>
    <row r="320" spans="1:9" x14ac:dyDescent="0.35">
      <c r="A320" s="24" t="s">
        <v>5044</v>
      </c>
      <c r="B320" s="24" t="str">
        <f>"EMN"</f>
        <v>EMN</v>
      </c>
      <c r="C320" s="24" t="str">
        <f t="shared" si="4"/>
        <v>'EMN'</v>
      </c>
      <c r="D320" s="24" t="s">
        <v>5681</v>
      </c>
      <c r="E320" s="24">
        <v>1.944</v>
      </c>
      <c r="F320" s="24">
        <v>1.28</v>
      </c>
      <c r="G320" s="24">
        <v>10281974291.16</v>
      </c>
      <c r="H320" s="24">
        <v>4</v>
      </c>
      <c r="I320" s="24" t="s">
        <v>5682</v>
      </c>
    </row>
    <row r="321" spans="1:9" x14ac:dyDescent="0.35">
      <c r="A321" s="24" t="s">
        <v>5044</v>
      </c>
      <c r="B321" s="24" t="str">
        <f>"ADM"</f>
        <v>ADM</v>
      </c>
      <c r="C321" s="24" t="str">
        <f t="shared" si="4"/>
        <v>'ADM'</v>
      </c>
      <c r="D321" s="24" t="s">
        <v>5683</v>
      </c>
      <c r="E321" s="24">
        <v>1.9434</v>
      </c>
      <c r="F321" s="24">
        <v>1.5072000000000001</v>
      </c>
      <c r="G321" s="24">
        <v>46270421940.209999</v>
      </c>
      <c r="H321" s="24">
        <v>6</v>
      </c>
      <c r="I321" s="24" t="s">
        <v>5684</v>
      </c>
    </row>
    <row r="322" spans="1:9" x14ac:dyDescent="0.35">
      <c r="A322" s="24" t="s">
        <v>5049</v>
      </c>
      <c r="B322" s="24" t="str">
        <f>"NVEI"</f>
        <v>NVEI</v>
      </c>
      <c r="C322" s="24" t="str">
        <f t="shared" si="4"/>
        <v>'NVEI'</v>
      </c>
      <c r="D322" s="24" t="s">
        <v>5685</v>
      </c>
      <c r="E322" s="24">
        <v>1.9389000000000001</v>
      </c>
      <c r="F322" s="24">
        <v>1.8833</v>
      </c>
      <c r="G322" s="24">
        <v>3776981583.8699999</v>
      </c>
      <c r="H322" s="24">
        <v>0</v>
      </c>
      <c r="I322" s="24" t="s">
        <v>5686</v>
      </c>
    </row>
    <row r="323" spans="1:9" x14ac:dyDescent="0.35">
      <c r="A323" s="24" t="s">
        <v>5044</v>
      </c>
      <c r="B323" s="24" t="str">
        <f>"SKX"</f>
        <v>SKX</v>
      </c>
      <c r="C323" s="24" t="str">
        <f t="shared" ref="C323:C386" si="5">"'"&amp;B323&amp;"'"</f>
        <v>'SKX'</v>
      </c>
      <c r="D323" s="24" t="s">
        <v>5687</v>
      </c>
      <c r="E323" s="24">
        <v>1.9380999999999999</v>
      </c>
      <c r="F323" s="24">
        <v>2.2715999999999998</v>
      </c>
      <c r="G323" s="24">
        <v>6703456964.9799995</v>
      </c>
      <c r="H323" s="24">
        <v>6</v>
      </c>
      <c r="I323" s="24" t="s">
        <v>5688</v>
      </c>
    </row>
    <row r="324" spans="1:9" x14ac:dyDescent="0.35">
      <c r="A324" s="24" t="s">
        <v>5044</v>
      </c>
      <c r="B324" s="24" t="str">
        <f>"HAYW"</f>
        <v>HAYW</v>
      </c>
      <c r="C324" s="24" t="str">
        <f t="shared" si="5"/>
        <v>'HAYW'</v>
      </c>
      <c r="D324" s="24" t="s">
        <v>5689</v>
      </c>
      <c r="E324" s="24">
        <v>1.9357</v>
      </c>
      <c r="F324" s="24">
        <v>2.4518</v>
      </c>
      <c r="G324" s="24">
        <v>2315591075.6799998</v>
      </c>
      <c r="H324" s="24">
        <v>0</v>
      </c>
      <c r="I324" s="24" t="s">
        <v>5690</v>
      </c>
    </row>
    <row r="325" spans="1:9" x14ac:dyDescent="0.35">
      <c r="A325" s="24" t="s">
        <v>5044</v>
      </c>
      <c r="B325" s="24" t="str">
        <f>"AVNT"</f>
        <v>AVNT</v>
      </c>
      <c r="C325" s="24" t="str">
        <f t="shared" si="5"/>
        <v>'AVNT'</v>
      </c>
      <c r="D325" s="24" t="s">
        <v>5691</v>
      </c>
      <c r="E325" s="24">
        <v>1.9256</v>
      </c>
      <c r="F325" s="24">
        <v>1.2782</v>
      </c>
      <c r="G325" s="24">
        <v>3269419939.4499998</v>
      </c>
      <c r="H325" s="24">
        <v>1</v>
      </c>
      <c r="I325" s="24" t="s">
        <v>5692</v>
      </c>
    </row>
    <row r="326" spans="1:9" x14ac:dyDescent="0.35">
      <c r="A326" s="24" t="s">
        <v>5044</v>
      </c>
      <c r="B326" s="24" t="str">
        <f>"FDX"</f>
        <v>FDX</v>
      </c>
      <c r="C326" s="24" t="str">
        <f t="shared" si="5"/>
        <v>'FDX'</v>
      </c>
      <c r="D326" s="24" t="s">
        <v>5693</v>
      </c>
      <c r="E326" s="24">
        <v>1.9212</v>
      </c>
      <c r="F326" s="24">
        <v>1.2976000000000001</v>
      </c>
      <c r="G326" s="24">
        <v>45754553539.199997</v>
      </c>
      <c r="H326" s="24">
        <v>19</v>
      </c>
      <c r="I326" s="24" t="s">
        <v>5694</v>
      </c>
    </row>
    <row r="327" spans="1:9" x14ac:dyDescent="0.35">
      <c r="A327" s="24" t="s">
        <v>5044</v>
      </c>
      <c r="B327" s="24" t="str">
        <f>"VIPS"</f>
        <v>VIPS</v>
      </c>
      <c r="C327" s="24" t="str">
        <f t="shared" si="5"/>
        <v>'VIPS'</v>
      </c>
      <c r="D327" s="24" t="s">
        <v>5695</v>
      </c>
      <c r="E327" s="24">
        <v>1.9212</v>
      </c>
      <c r="F327" s="24">
        <v>1.2977000000000001</v>
      </c>
      <c r="G327" s="24">
        <v>9513374777.1499996</v>
      </c>
      <c r="H327" s="24">
        <v>66</v>
      </c>
      <c r="I327" s="24" t="s">
        <v>5696</v>
      </c>
    </row>
    <row r="328" spans="1:9" x14ac:dyDescent="0.35">
      <c r="A328" s="24" t="s">
        <v>5044</v>
      </c>
      <c r="B328" s="24" t="str">
        <f>"ESI"</f>
        <v>ESI</v>
      </c>
      <c r="C328" s="24" t="str">
        <f t="shared" si="5"/>
        <v>'ESI'</v>
      </c>
      <c r="D328" s="24" t="s">
        <v>5697</v>
      </c>
      <c r="E328" s="24">
        <v>1.909</v>
      </c>
      <c r="F328" s="24">
        <v>3.3294000000000001</v>
      </c>
      <c r="G328" s="24">
        <v>4330910525.2799997</v>
      </c>
      <c r="H328" s="24">
        <v>2</v>
      </c>
      <c r="I328" s="24" t="s">
        <v>5698</v>
      </c>
    </row>
    <row r="329" spans="1:9" x14ac:dyDescent="0.35">
      <c r="A329" s="24" t="s">
        <v>5049</v>
      </c>
      <c r="B329" s="24" t="str">
        <f>"HELE"</f>
        <v>HELE</v>
      </c>
      <c r="C329" s="24" t="str">
        <f t="shared" si="5"/>
        <v>'HELE'</v>
      </c>
      <c r="D329" s="24" t="s">
        <v>5699</v>
      </c>
      <c r="E329" s="24">
        <v>1.9037999999999999</v>
      </c>
      <c r="F329" s="24">
        <v>2.1227999999999998</v>
      </c>
      <c r="G329" s="24">
        <v>2662178511.7800002</v>
      </c>
      <c r="H329" s="24">
        <v>2</v>
      </c>
      <c r="I329" s="24" t="s">
        <v>5700</v>
      </c>
    </row>
    <row r="330" spans="1:9" x14ac:dyDescent="0.35">
      <c r="A330" s="24" t="s">
        <v>5049</v>
      </c>
      <c r="B330" s="24" t="str">
        <f>"WERN"</f>
        <v>WERN</v>
      </c>
      <c r="C330" s="24" t="str">
        <f t="shared" si="5"/>
        <v>'WERN'</v>
      </c>
      <c r="D330" s="24" t="s">
        <v>5701</v>
      </c>
      <c r="E330" s="24">
        <v>1.9034</v>
      </c>
      <c r="F330" s="24">
        <v>2.4138000000000002</v>
      </c>
      <c r="G330" s="24">
        <v>2623517220.0300002</v>
      </c>
      <c r="H330" s="24">
        <v>0</v>
      </c>
      <c r="I330" s="24" t="s">
        <v>5702</v>
      </c>
    </row>
    <row r="331" spans="1:9" x14ac:dyDescent="0.35">
      <c r="A331" s="24" t="s">
        <v>5049</v>
      </c>
      <c r="B331" s="24" t="str">
        <f>"MRVL"</f>
        <v>MRVL</v>
      </c>
      <c r="C331" s="24" t="str">
        <f t="shared" si="5"/>
        <v>'MRVL'</v>
      </c>
      <c r="D331" s="24" t="s">
        <v>5703</v>
      </c>
      <c r="E331" s="24">
        <v>1.9016999999999999</v>
      </c>
      <c r="F331" s="24">
        <v>1.3137000000000001</v>
      </c>
      <c r="G331" s="24">
        <v>29588976000</v>
      </c>
      <c r="H331" s="24">
        <v>7</v>
      </c>
      <c r="I331" s="24" t="s">
        <v>5704</v>
      </c>
    </row>
    <row r="332" spans="1:9" x14ac:dyDescent="0.35">
      <c r="A332" s="24" t="s">
        <v>5049</v>
      </c>
      <c r="B332" s="24" t="str">
        <f>"CRSP"</f>
        <v>CRSP</v>
      </c>
      <c r="C332" s="24" t="str">
        <f t="shared" si="5"/>
        <v>'CRSP'</v>
      </c>
      <c r="D332" s="24" t="s">
        <v>5705</v>
      </c>
      <c r="E332" s="24">
        <v>1.9013</v>
      </c>
      <c r="F332" s="24">
        <v>12.8104</v>
      </c>
      <c r="G332" s="24">
        <v>3715056895.5500002</v>
      </c>
      <c r="H332" s="24">
        <v>10</v>
      </c>
      <c r="I332" s="24" t="s">
        <v>5706</v>
      </c>
    </row>
    <row r="333" spans="1:9" x14ac:dyDescent="0.35">
      <c r="A333" s="24" t="s">
        <v>5044</v>
      </c>
      <c r="B333" s="24" t="str">
        <f>"AEO"</f>
        <v>AEO</v>
      </c>
      <c r="C333" s="24" t="str">
        <f t="shared" si="5"/>
        <v>'AEO'</v>
      </c>
      <c r="D333" s="24" t="s">
        <v>5707</v>
      </c>
      <c r="E333" s="24">
        <v>1.8952</v>
      </c>
      <c r="F333" s="24">
        <v>1.8632</v>
      </c>
      <c r="G333" s="24">
        <v>2771738230.4400001</v>
      </c>
      <c r="H333" s="24">
        <v>1</v>
      </c>
      <c r="I333" s="24" t="s">
        <v>5708</v>
      </c>
    </row>
    <row r="334" spans="1:9" x14ac:dyDescent="0.35">
      <c r="A334" s="24" t="s">
        <v>5049</v>
      </c>
      <c r="B334" s="24" t="str">
        <f>"IPGP"</f>
        <v>IPGP</v>
      </c>
      <c r="C334" s="24" t="str">
        <f t="shared" si="5"/>
        <v>'IPGP'</v>
      </c>
      <c r="D334" s="24" t="s">
        <v>5709</v>
      </c>
      <c r="E334" s="24">
        <v>1.8875999999999999</v>
      </c>
      <c r="F334" s="24">
        <v>7.1642000000000001</v>
      </c>
      <c r="G334" s="24">
        <v>4870948756.4099998</v>
      </c>
      <c r="H334" s="24">
        <v>7</v>
      </c>
      <c r="I334" s="24" t="s">
        <v>5710</v>
      </c>
    </row>
    <row r="335" spans="1:9" x14ac:dyDescent="0.35">
      <c r="A335" s="24" t="s">
        <v>5049</v>
      </c>
      <c r="B335" s="24" t="str">
        <f>"TTWO"</f>
        <v>TTWO</v>
      </c>
      <c r="C335" s="24" t="str">
        <f t="shared" si="5"/>
        <v>'TTWO'</v>
      </c>
      <c r="D335" s="24" t="s">
        <v>5711</v>
      </c>
      <c r="E335" s="24">
        <v>1.885</v>
      </c>
      <c r="F335" s="24">
        <v>0.93769999999999998</v>
      </c>
      <c r="G335" s="24">
        <v>17782114590.959999</v>
      </c>
      <c r="H335" s="24">
        <v>22</v>
      </c>
      <c r="I335" s="24" t="s">
        <v>5712</v>
      </c>
    </row>
    <row r="336" spans="1:9" x14ac:dyDescent="0.35">
      <c r="A336" s="24" t="s">
        <v>5044</v>
      </c>
      <c r="B336" s="24" t="str">
        <f>"BP"</f>
        <v>BP</v>
      </c>
      <c r="C336" s="24" t="str">
        <f t="shared" si="5"/>
        <v>'BP'</v>
      </c>
      <c r="D336" s="24" t="s">
        <v>5713</v>
      </c>
      <c r="E336" s="24">
        <v>1.8823000000000001</v>
      </c>
      <c r="F336" s="24">
        <v>1.0325</v>
      </c>
      <c r="G336" s="24">
        <v>105297633465.89999</v>
      </c>
      <c r="H336" s="24">
        <v>9</v>
      </c>
      <c r="I336" s="24" t="s">
        <v>5714</v>
      </c>
    </row>
    <row r="337" spans="1:9" x14ac:dyDescent="0.35">
      <c r="A337" s="24" t="s">
        <v>5044</v>
      </c>
      <c r="B337" s="24" t="str">
        <f>"BLDR"</f>
        <v>BLDR</v>
      </c>
      <c r="C337" s="24" t="str">
        <f t="shared" si="5"/>
        <v>'BLDR'</v>
      </c>
      <c r="D337" s="24" t="s">
        <v>5715</v>
      </c>
      <c r="E337" s="24">
        <v>1.8735999999999999</v>
      </c>
      <c r="F337" s="24">
        <v>1.9271</v>
      </c>
      <c r="G337" s="24">
        <v>9788656073.0400009</v>
      </c>
      <c r="H337" s="24">
        <v>1</v>
      </c>
      <c r="I337" s="24" t="s">
        <v>5716</v>
      </c>
    </row>
    <row r="338" spans="1:9" x14ac:dyDescent="0.35">
      <c r="A338" s="24" t="s">
        <v>5044</v>
      </c>
      <c r="B338" s="24" t="str">
        <f>"MAN"</f>
        <v>MAN</v>
      </c>
      <c r="C338" s="24" t="str">
        <f t="shared" si="5"/>
        <v>'MAN'</v>
      </c>
      <c r="D338" s="24" t="s">
        <v>2953</v>
      </c>
      <c r="E338" s="24">
        <v>1.8721000000000001</v>
      </c>
      <c r="F338" s="24">
        <v>1.2183999999999999</v>
      </c>
      <c r="G338" s="24">
        <v>4375719861.1499996</v>
      </c>
      <c r="H338" s="24">
        <v>1</v>
      </c>
      <c r="I338" s="24" t="s">
        <v>5717</v>
      </c>
    </row>
    <row r="339" spans="1:9" x14ac:dyDescent="0.35">
      <c r="A339" s="24" t="s">
        <v>5044</v>
      </c>
      <c r="B339" s="24" t="str">
        <f>"ICL"</f>
        <v>ICL</v>
      </c>
      <c r="C339" s="24" t="str">
        <f t="shared" si="5"/>
        <v>'ICL'</v>
      </c>
      <c r="D339" s="24" t="s">
        <v>5718</v>
      </c>
      <c r="E339" s="24">
        <v>1.8696999999999999</v>
      </c>
      <c r="F339" s="24">
        <v>1.7496</v>
      </c>
      <c r="G339" s="24">
        <v>9340548440</v>
      </c>
      <c r="H339" s="24">
        <v>0</v>
      </c>
      <c r="I339" s="24" t="s">
        <v>5719</v>
      </c>
    </row>
    <row r="340" spans="1:9" x14ac:dyDescent="0.35">
      <c r="A340" s="24" t="s">
        <v>5049</v>
      </c>
      <c r="B340" s="24" t="str">
        <f>"BNTX"</f>
        <v>BNTX</v>
      </c>
      <c r="C340" s="24" t="str">
        <f t="shared" si="5"/>
        <v>'BNTX'</v>
      </c>
      <c r="D340" s="24" t="s">
        <v>5720</v>
      </c>
      <c r="E340" s="24">
        <v>1.8694999999999999</v>
      </c>
      <c r="F340" s="24">
        <v>5.3739999999999997</v>
      </c>
      <c r="G340" s="24">
        <v>35400609194.720001</v>
      </c>
      <c r="H340" s="24">
        <v>20</v>
      </c>
      <c r="I340" s="24" t="s">
        <v>5721</v>
      </c>
    </row>
    <row r="341" spans="1:9" x14ac:dyDescent="0.35">
      <c r="A341" s="24" t="s">
        <v>5049</v>
      </c>
      <c r="B341" s="24" t="str">
        <f>"PINC"</f>
        <v>PINC</v>
      </c>
      <c r="C341" s="24" t="str">
        <f t="shared" si="5"/>
        <v>'PINC'</v>
      </c>
      <c r="D341" s="24" t="s">
        <v>5722</v>
      </c>
      <c r="E341" s="24">
        <v>1.8531</v>
      </c>
      <c r="F341" s="24">
        <v>0.88180000000000003</v>
      </c>
      <c r="G341" s="24">
        <v>4144797918.1999998</v>
      </c>
      <c r="H341" s="24">
        <v>0</v>
      </c>
      <c r="I341" s="24" t="s">
        <v>5723</v>
      </c>
    </row>
    <row r="342" spans="1:9" x14ac:dyDescent="0.35">
      <c r="A342" s="24" t="s">
        <v>5044</v>
      </c>
      <c r="B342" s="24" t="str">
        <f>"KMX"</f>
        <v>KMX</v>
      </c>
      <c r="C342" s="24" t="str">
        <f t="shared" si="5"/>
        <v>'KMX'</v>
      </c>
      <c r="D342" s="24" t="s">
        <v>5724</v>
      </c>
      <c r="E342" s="24">
        <v>1.8486</v>
      </c>
      <c r="F342" s="24">
        <v>2.7542</v>
      </c>
      <c r="G342" s="24">
        <v>10008701199.940001</v>
      </c>
      <c r="H342" s="24">
        <v>13</v>
      </c>
      <c r="I342" s="24" t="s">
        <v>5725</v>
      </c>
    </row>
    <row r="343" spans="1:9" x14ac:dyDescent="0.35">
      <c r="A343" s="24" t="s">
        <v>5044</v>
      </c>
      <c r="B343" s="24" t="str">
        <f>"WAB"</f>
        <v>WAB</v>
      </c>
      <c r="C343" s="24" t="str">
        <f t="shared" si="5"/>
        <v>'WAB'</v>
      </c>
      <c r="D343" s="24" t="s">
        <v>5726</v>
      </c>
      <c r="E343" s="24">
        <v>1.8486</v>
      </c>
      <c r="F343" s="24">
        <v>1.2617</v>
      </c>
      <c r="G343" s="24">
        <v>18164962256.32</v>
      </c>
      <c r="H343" s="24">
        <v>3</v>
      </c>
      <c r="I343" s="24" t="s">
        <v>5727</v>
      </c>
    </row>
    <row r="344" spans="1:9" x14ac:dyDescent="0.35">
      <c r="A344" s="24" t="s">
        <v>5044</v>
      </c>
      <c r="B344" s="24" t="str">
        <f>"CNP"</f>
        <v>CNP</v>
      </c>
      <c r="C344" s="24" t="str">
        <f t="shared" si="5"/>
        <v>'CNP'</v>
      </c>
      <c r="D344" s="24" t="s">
        <v>5728</v>
      </c>
      <c r="E344" s="24">
        <v>1.8473999999999999</v>
      </c>
      <c r="F344" s="24">
        <v>0.88549999999999995</v>
      </c>
      <c r="G344" s="24">
        <v>18243942586.380001</v>
      </c>
      <c r="H344" s="24">
        <v>4</v>
      </c>
      <c r="I344" s="24" t="s">
        <v>5729</v>
      </c>
    </row>
    <row r="345" spans="1:9" x14ac:dyDescent="0.35">
      <c r="A345" s="24" t="s">
        <v>5049</v>
      </c>
      <c r="B345" s="24" t="str">
        <f>"AMD"</f>
        <v>AMD</v>
      </c>
      <c r="C345" s="24" t="str">
        <f t="shared" si="5"/>
        <v>'AMD'</v>
      </c>
      <c r="D345" s="24" t="s">
        <v>5730</v>
      </c>
      <c r="E345" s="24">
        <v>1.8426</v>
      </c>
      <c r="F345" s="24">
        <v>2.1551</v>
      </c>
      <c r="G345" s="24">
        <v>100498159577.46001</v>
      </c>
      <c r="H345" s="24">
        <v>156</v>
      </c>
      <c r="I345" s="24" t="s">
        <v>5731</v>
      </c>
    </row>
    <row r="346" spans="1:9" x14ac:dyDescent="0.35">
      <c r="A346" s="24" t="s">
        <v>5044</v>
      </c>
      <c r="B346" s="24" t="str">
        <f>"CIG"</f>
        <v>CIG</v>
      </c>
      <c r="C346" s="24" t="str">
        <f t="shared" si="5"/>
        <v>'CIG'</v>
      </c>
      <c r="D346" s="24" t="s">
        <v>5732</v>
      </c>
      <c r="E346" s="24">
        <v>1.839</v>
      </c>
      <c r="G346" s="24">
        <v>5723563788</v>
      </c>
      <c r="H346" s="24">
        <v>0</v>
      </c>
      <c r="I346" s="24" t="s">
        <v>5733</v>
      </c>
    </row>
    <row r="347" spans="1:9" x14ac:dyDescent="0.35">
      <c r="A347" s="24" t="s">
        <v>5044</v>
      </c>
      <c r="B347" s="24" t="str">
        <f>"CWK"</f>
        <v>CWK</v>
      </c>
      <c r="C347" s="24" t="str">
        <f t="shared" si="5"/>
        <v>'CWK'</v>
      </c>
      <c r="D347" s="24" t="s">
        <v>5734</v>
      </c>
      <c r="E347" s="24">
        <v>1.8333999999999999</v>
      </c>
      <c r="F347" s="24">
        <v>1.0810999999999999</v>
      </c>
      <c r="G347" s="24">
        <v>2891942763.3600001</v>
      </c>
      <c r="H347" s="24">
        <v>0</v>
      </c>
      <c r="I347" s="24" t="s">
        <v>5735</v>
      </c>
    </row>
    <row r="348" spans="1:9" x14ac:dyDescent="0.35">
      <c r="A348" s="24" t="s">
        <v>5044</v>
      </c>
      <c r="B348" s="24" t="str">
        <f>"NEP"</f>
        <v>NEP</v>
      </c>
      <c r="C348" s="24" t="str">
        <f t="shared" si="5"/>
        <v>'NEP'</v>
      </c>
      <c r="D348" s="24" t="s">
        <v>5736</v>
      </c>
      <c r="E348" s="24">
        <v>1.8333999999999999</v>
      </c>
      <c r="F348" s="24">
        <v>1.9069</v>
      </c>
      <c r="G348" s="24">
        <v>6134486282.7600002</v>
      </c>
      <c r="H348" s="24">
        <v>0</v>
      </c>
      <c r="I348" s="24" t="s">
        <v>5737</v>
      </c>
    </row>
    <row r="349" spans="1:9" x14ac:dyDescent="0.35">
      <c r="A349" s="24" t="s">
        <v>5044</v>
      </c>
      <c r="B349" s="24" t="str">
        <f>"GEF"</f>
        <v>GEF</v>
      </c>
      <c r="C349" s="24" t="str">
        <f t="shared" si="5"/>
        <v>'GEF'</v>
      </c>
      <c r="D349" s="24" t="s">
        <v>5738</v>
      </c>
      <c r="E349" s="24">
        <v>1.8305</v>
      </c>
      <c r="F349" s="24">
        <v>1.4309000000000001</v>
      </c>
      <c r="G349" s="24">
        <v>3180532164.8400002</v>
      </c>
      <c r="H349" s="24">
        <v>1</v>
      </c>
      <c r="I349" s="24" t="s">
        <v>5739</v>
      </c>
    </row>
    <row r="350" spans="1:9" x14ac:dyDescent="0.35">
      <c r="A350" s="24" t="s">
        <v>5049</v>
      </c>
      <c r="B350" s="24" t="str">
        <f>"AMKR"</f>
        <v>AMKR</v>
      </c>
      <c r="C350" s="24" t="str">
        <f t="shared" si="5"/>
        <v>'AMKR'</v>
      </c>
      <c r="D350" s="24" t="s">
        <v>5740</v>
      </c>
      <c r="E350" s="24">
        <v>1.8248</v>
      </c>
      <c r="F350" s="24">
        <v>1.7891999999999999</v>
      </c>
      <c r="G350" s="24">
        <v>6330145059.3599997</v>
      </c>
      <c r="H350" s="24">
        <v>6</v>
      </c>
      <c r="I350" s="24" t="s">
        <v>5741</v>
      </c>
    </row>
    <row r="351" spans="1:9" x14ac:dyDescent="0.35">
      <c r="A351" s="24" t="s">
        <v>5044</v>
      </c>
      <c r="B351" s="24" t="str">
        <f>"LUV"</f>
        <v>LUV</v>
      </c>
      <c r="C351" s="24" t="str">
        <f t="shared" si="5"/>
        <v>'LUV'</v>
      </c>
      <c r="D351" s="24" t="s">
        <v>5742</v>
      </c>
      <c r="E351" s="24">
        <v>1.8225</v>
      </c>
      <c r="F351" s="24">
        <v>1.5762</v>
      </c>
      <c r="G351" s="24">
        <v>19908504694.119999</v>
      </c>
      <c r="H351" s="24">
        <v>26</v>
      </c>
      <c r="I351" s="24" t="s">
        <v>5743</v>
      </c>
    </row>
    <row r="352" spans="1:9" x14ac:dyDescent="0.35">
      <c r="A352" s="24" t="s">
        <v>5044</v>
      </c>
      <c r="B352" s="24" t="str">
        <f>"UHS"</f>
        <v>UHS</v>
      </c>
      <c r="C352" s="24" t="str">
        <f t="shared" si="5"/>
        <v>'UHS'</v>
      </c>
      <c r="D352" s="24" t="s">
        <v>5744</v>
      </c>
      <c r="E352" s="24">
        <v>1.8211999999999999</v>
      </c>
      <c r="F352" s="24">
        <v>1.2667999999999999</v>
      </c>
      <c r="G352" s="24">
        <v>10638012055.040001</v>
      </c>
      <c r="H352" s="24">
        <v>7</v>
      </c>
      <c r="I352" s="24" t="s">
        <v>5745</v>
      </c>
    </row>
    <row r="353" spans="1:9" x14ac:dyDescent="0.35">
      <c r="A353" s="24" t="s">
        <v>5044</v>
      </c>
      <c r="B353" s="24" t="str">
        <f>"CSAN"</f>
        <v>CSAN</v>
      </c>
      <c r="C353" s="24" t="str">
        <f t="shared" si="5"/>
        <v>'CSAN'</v>
      </c>
      <c r="D353" s="24" t="s">
        <v>5746</v>
      </c>
      <c r="E353" s="24">
        <v>1.8143</v>
      </c>
      <c r="F353" s="24">
        <v>1.5081</v>
      </c>
      <c r="G353" s="24">
        <v>5582532603</v>
      </c>
      <c r="H353" s="24">
        <v>0</v>
      </c>
      <c r="I353" s="24" t="s">
        <v>5747</v>
      </c>
    </row>
    <row r="354" spans="1:9" x14ac:dyDescent="0.35">
      <c r="A354" s="24" t="s">
        <v>5049</v>
      </c>
      <c r="B354" s="24" t="str">
        <f>"CD"</f>
        <v>CD</v>
      </c>
      <c r="C354" s="24" t="str">
        <f t="shared" si="5"/>
        <v>'CD'</v>
      </c>
      <c r="D354" s="24" t="s">
        <v>5748</v>
      </c>
      <c r="E354" s="24">
        <v>1.8121</v>
      </c>
      <c r="F354" s="24">
        <v>2.1798000000000002</v>
      </c>
      <c r="G354" s="24">
        <v>2805702433.0599999</v>
      </c>
      <c r="H354" s="24">
        <v>7</v>
      </c>
      <c r="I354" s="24" t="s">
        <v>5749</v>
      </c>
    </row>
    <row r="355" spans="1:9" x14ac:dyDescent="0.35">
      <c r="A355" s="24" t="s">
        <v>5044</v>
      </c>
      <c r="B355" s="24" t="str">
        <f>"OC"</f>
        <v>OC</v>
      </c>
      <c r="C355" s="24" t="str">
        <f t="shared" si="5"/>
        <v>'OC'</v>
      </c>
      <c r="D355" s="24" t="s">
        <v>5750</v>
      </c>
      <c r="E355" s="24">
        <v>1.8118000000000001</v>
      </c>
      <c r="F355" s="24">
        <v>1.7710999999999999</v>
      </c>
      <c r="G355" s="24">
        <v>8257799021.4399996</v>
      </c>
      <c r="H355" s="24">
        <v>4</v>
      </c>
      <c r="I355" s="24" t="s">
        <v>5751</v>
      </c>
    </row>
    <row r="356" spans="1:9" x14ac:dyDescent="0.35">
      <c r="A356" s="24" t="s">
        <v>5044</v>
      </c>
      <c r="B356" s="24" t="str">
        <f>"ETR"</f>
        <v>ETR</v>
      </c>
      <c r="C356" s="24" t="str">
        <f t="shared" si="5"/>
        <v>'ETR'</v>
      </c>
      <c r="D356" s="24" t="s">
        <v>5752</v>
      </c>
      <c r="E356" s="24">
        <v>1.8089</v>
      </c>
      <c r="F356" s="24">
        <v>0.8952</v>
      </c>
      <c r="G356" s="24">
        <v>21093116195.599998</v>
      </c>
      <c r="H356" s="24">
        <v>3</v>
      </c>
      <c r="I356" s="24" t="s">
        <v>5753</v>
      </c>
    </row>
    <row r="357" spans="1:9" x14ac:dyDescent="0.35">
      <c r="A357" s="24" t="s">
        <v>5044</v>
      </c>
      <c r="B357" s="24" t="str">
        <f>"HP"</f>
        <v>HP</v>
      </c>
      <c r="C357" s="24" t="str">
        <f t="shared" si="5"/>
        <v>'HP'</v>
      </c>
      <c r="D357" s="24" t="s">
        <v>5754</v>
      </c>
      <c r="E357" s="24">
        <v>1.8082</v>
      </c>
      <c r="F357" s="24">
        <v>2.5402999999999998</v>
      </c>
      <c r="G357" s="24">
        <v>4908212457.8599997</v>
      </c>
      <c r="H357" s="24">
        <v>3</v>
      </c>
      <c r="I357" s="24" t="s">
        <v>5755</v>
      </c>
    </row>
    <row r="358" spans="1:9" x14ac:dyDescent="0.35">
      <c r="A358" s="24" t="s">
        <v>5044</v>
      </c>
      <c r="B358" s="24" t="str">
        <f>"NPO"</f>
        <v>NPO</v>
      </c>
      <c r="C358" s="24" t="str">
        <f t="shared" si="5"/>
        <v>'NPO'</v>
      </c>
      <c r="D358" s="24" t="s">
        <v>5756</v>
      </c>
      <c r="E358" s="24">
        <v>1.7927999999999999</v>
      </c>
      <c r="F358" s="24">
        <v>2.5684999999999998</v>
      </c>
      <c r="G358" s="24">
        <v>2262515464.52</v>
      </c>
      <c r="H358" s="24">
        <v>1</v>
      </c>
      <c r="I358" s="24" t="s">
        <v>5757</v>
      </c>
    </row>
    <row r="359" spans="1:9" x14ac:dyDescent="0.35">
      <c r="A359" s="24" t="s">
        <v>5044</v>
      </c>
      <c r="B359" s="24" t="str">
        <f>"RS"</f>
        <v>RS</v>
      </c>
      <c r="C359" s="24" t="str">
        <f t="shared" si="5"/>
        <v>'RS'</v>
      </c>
      <c r="D359" s="24" t="s">
        <v>5758</v>
      </c>
      <c r="E359" s="24">
        <v>1.7877000000000001</v>
      </c>
      <c r="F359" s="24">
        <v>3.2526000000000002</v>
      </c>
      <c r="G359" s="24">
        <v>12147843102.940001</v>
      </c>
      <c r="H359" s="24">
        <v>0</v>
      </c>
      <c r="I359" s="24" t="s">
        <v>5759</v>
      </c>
    </row>
    <row r="360" spans="1:9" x14ac:dyDescent="0.35">
      <c r="A360" s="24" t="s">
        <v>5049</v>
      </c>
      <c r="B360" s="24" t="str">
        <f>"ARLP"</f>
        <v>ARLP</v>
      </c>
      <c r="C360" s="24" t="str">
        <f t="shared" si="5"/>
        <v>'ARLP'</v>
      </c>
      <c r="D360" s="24" t="s">
        <v>5760</v>
      </c>
      <c r="E360" s="24">
        <v>1.7811999999999999</v>
      </c>
      <c r="F360" s="24">
        <v>2.3382999999999998</v>
      </c>
      <c r="G360" s="24">
        <v>2481578722.6900001</v>
      </c>
      <c r="H360" s="24">
        <v>6</v>
      </c>
      <c r="I360" s="24" t="s">
        <v>5761</v>
      </c>
    </row>
    <row r="361" spans="1:9" x14ac:dyDescent="0.35">
      <c r="A361" s="24" t="s">
        <v>5044</v>
      </c>
      <c r="B361" s="24" t="str">
        <f>"LEA"</f>
        <v>LEA</v>
      </c>
      <c r="C361" s="24" t="str">
        <f t="shared" si="5"/>
        <v>'LEA'</v>
      </c>
      <c r="D361" s="24" t="s">
        <v>5762</v>
      </c>
      <c r="E361" s="24">
        <v>1.7808999999999999</v>
      </c>
      <c r="F361" s="24">
        <v>1.3343</v>
      </c>
      <c r="G361" s="24">
        <v>7582666917.46</v>
      </c>
      <c r="H361" s="24">
        <v>0</v>
      </c>
      <c r="I361" s="24" t="s">
        <v>5763</v>
      </c>
    </row>
    <row r="362" spans="1:9" x14ac:dyDescent="0.35">
      <c r="A362" s="24" t="s">
        <v>5044</v>
      </c>
      <c r="B362" s="24" t="str">
        <f>"OGE"</f>
        <v>OGE</v>
      </c>
      <c r="C362" s="24" t="str">
        <f t="shared" si="5"/>
        <v>'OGE'</v>
      </c>
      <c r="D362" s="24" t="s">
        <v>5764</v>
      </c>
      <c r="E362" s="24">
        <v>1.7787999999999999</v>
      </c>
      <c r="F362" s="24">
        <v>0.91300000000000003</v>
      </c>
      <c r="G362" s="24">
        <v>7751847459.8400002</v>
      </c>
      <c r="H362" s="24">
        <v>1</v>
      </c>
      <c r="I362" s="24" t="s">
        <v>5765</v>
      </c>
    </row>
    <row r="363" spans="1:9" x14ac:dyDescent="0.35">
      <c r="A363" s="24" t="s">
        <v>5044</v>
      </c>
      <c r="B363" s="24" t="str">
        <f>"MDU"</f>
        <v>MDU</v>
      </c>
      <c r="C363" s="24" t="str">
        <f t="shared" si="5"/>
        <v>'MDU'</v>
      </c>
      <c r="D363" s="24" t="s">
        <v>5766</v>
      </c>
      <c r="E363" s="24">
        <v>1.7753000000000001</v>
      </c>
      <c r="F363" s="24">
        <v>1.3787</v>
      </c>
      <c r="G363" s="24">
        <v>6118823766.6000004</v>
      </c>
      <c r="H363" s="24">
        <v>0</v>
      </c>
      <c r="I363" s="24" t="s">
        <v>5767</v>
      </c>
    </row>
    <row r="364" spans="1:9" x14ac:dyDescent="0.35">
      <c r="A364" s="24" t="s">
        <v>5044</v>
      </c>
      <c r="B364" s="24" t="str">
        <f>"SUM"</f>
        <v>SUM</v>
      </c>
      <c r="C364" s="24" t="str">
        <f t="shared" si="5"/>
        <v>'SUM'</v>
      </c>
      <c r="D364" s="24" t="s">
        <v>5768</v>
      </c>
      <c r="E364" s="24">
        <v>1.7743</v>
      </c>
      <c r="F364" s="24">
        <v>3.3873000000000002</v>
      </c>
      <c r="G364" s="24">
        <v>3475166293.0500002</v>
      </c>
      <c r="H364" s="24">
        <v>0</v>
      </c>
      <c r="I364" s="24" t="s">
        <v>5769</v>
      </c>
    </row>
    <row r="365" spans="1:9" x14ac:dyDescent="0.35">
      <c r="A365" s="24" t="s">
        <v>5044</v>
      </c>
      <c r="B365" s="24" t="str">
        <f>"JOBY"</f>
        <v>JOBY</v>
      </c>
      <c r="C365" s="24" t="str">
        <f t="shared" si="5"/>
        <v>'JOBY'</v>
      </c>
      <c r="D365" s="24" t="s">
        <v>5770</v>
      </c>
      <c r="E365" s="24">
        <v>1.7738</v>
      </c>
      <c r="F365" s="24">
        <v>38.331899999999997</v>
      </c>
      <c r="G365" s="24">
        <v>2057930861.1800001</v>
      </c>
      <c r="H365" s="24">
        <v>0</v>
      </c>
      <c r="I365" s="24" t="s">
        <v>5771</v>
      </c>
    </row>
    <row r="366" spans="1:9" x14ac:dyDescent="0.35">
      <c r="A366" s="24" t="s">
        <v>5044</v>
      </c>
      <c r="B366" s="24" t="str">
        <f>"XPEV"</f>
        <v>XPEV</v>
      </c>
      <c r="C366" s="24" t="str">
        <f t="shared" si="5"/>
        <v>'XPEV'</v>
      </c>
      <c r="D366" s="24" t="s">
        <v>5772</v>
      </c>
      <c r="E366" s="24">
        <v>1.7726</v>
      </c>
      <c r="F366" s="24">
        <v>1.8873</v>
      </c>
      <c r="G366" s="24">
        <v>10223069040.799999</v>
      </c>
      <c r="H366" s="24">
        <v>151</v>
      </c>
      <c r="I366" s="24" t="s">
        <v>5773</v>
      </c>
    </row>
    <row r="367" spans="1:9" x14ac:dyDescent="0.35">
      <c r="A367" s="24" t="s">
        <v>5049</v>
      </c>
      <c r="B367" s="24" t="str">
        <f>"ZG"</f>
        <v>ZG</v>
      </c>
      <c r="C367" s="24" t="str">
        <f t="shared" si="5"/>
        <v>'ZG'</v>
      </c>
      <c r="D367" s="24" t="s">
        <v>5774</v>
      </c>
      <c r="E367" s="24">
        <v>1.772</v>
      </c>
      <c r="F367" s="24">
        <v>12.086499999999999</v>
      </c>
      <c r="G367" s="24">
        <v>8142134269</v>
      </c>
      <c r="H367" s="24">
        <v>6</v>
      </c>
      <c r="I367" s="24" t="s">
        <v>5775</v>
      </c>
    </row>
    <row r="368" spans="1:9" x14ac:dyDescent="0.35">
      <c r="A368" s="24" t="s">
        <v>5049</v>
      </c>
      <c r="B368" s="24" t="str">
        <f>"ZG"</f>
        <v>ZG</v>
      </c>
      <c r="C368" s="24" t="str">
        <f t="shared" si="5"/>
        <v>'ZG'</v>
      </c>
      <c r="D368" s="24" t="s">
        <v>5776</v>
      </c>
      <c r="E368" s="24">
        <v>1.772</v>
      </c>
      <c r="F368" s="24">
        <v>12.086499999999999</v>
      </c>
      <c r="G368" s="24">
        <v>8142134269</v>
      </c>
      <c r="H368" s="24">
        <v>2</v>
      </c>
      <c r="I368" s="24" t="s">
        <v>5777</v>
      </c>
    </row>
    <row r="369" spans="1:9" x14ac:dyDescent="0.35">
      <c r="A369" s="24" t="s">
        <v>5044</v>
      </c>
      <c r="B369" s="24" t="str">
        <f>"OR"</f>
        <v>OR</v>
      </c>
      <c r="C369" s="24" t="str">
        <f t="shared" si="5"/>
        <v>'OR'</v>
      </c>
      <c r="D369" s="24" t="s">
        <v>5778</v>
      </c>
      <c r="E369" s="24">
        <v>1.7686999999999999</v>
      </c>
      <c r="F369" s="24">
        <v>0.98209999999999997</v>
      </c>
      <c r="G369" s="24">
        <v>2319420133.0799999</v>
      </c>
      <c r="H369" s="24">
        <v>1</v>
      </c>
      <c r="I369" s="24" t="s">
        <v>5779</v>
      </c>
    </row>
    <row r="370" spans="1:9" x14ac:dyDescent="0.35">
      <c r="A370" s="24" t="s">
        <v>5044</v>
      </c>
      <c r="B370" s="24" t="str">
        <f>"CTLT"</f>
        <v>CTLT</v>
      </c>
      <c r="C370" s="24" t="str">
        <f t="shared" si="5"/>
        <v>'CTLT'</v>
      </c>
      <c r="D370" s="24" t="s">
        <v>5780</v>
      </c>
      <c r="E370" s="24">
        <v>1.7679</v>
      </c>
      <c r="F370" s="24">
        <v>2.8611</v>
      </c>
      <c r="G370" s="24">
        <v>8308918904.1300001</v>
      </c>
      <c r="H370" s="24">
        <v>11</v>
      </c>
      <c r="I370" s="24" t="s">
        <v>5781</v>
      </c>
    </row>
    <row r="371" spans="1:9" x14ac:dyDescent="0.35">
      <c r="A371" s="24" t="s">
        <v>5044</v>
      </c>
      <c r="B371" s="24" t="str">
        <f>"EURN"</f>
        <v>EURN</v>
      </c>
      <c r="C371" s="24" t="str">
        <f t="shared" si="5"/>
        <v>'EURN'</v>
      </c>
      <c r="D371" s="24" t="s">
        <v>5782</v>
      </c>
      <c r="E371" s="24">
        <v>1.7673000000000001</v>
      </c>
      <c r="F371" s="24">
        <v>2.0518999999999998</v>
      </c>
      <c r="G371" s="24">
        <v>3436786017.0599999</v>
      </c>
      <c r="H371" s="24">
        <v>0</v>
      </c>
      <c r="I371" s="24" t="s">
        <v>5783</v>
      </c>
    </row>
    <row r="372" spans="1:9" x14ac:dyDescent="0.35">
      <c r="A372" s="24" t="s">
        <v>5044</v>
      </c>
      <c r="B372" s="24" t="str">
        <f>"CMC"</f>
        <v>CMC</v>
      </c>
      <c r="C372" s="24" t="str">
        <f t="shared" si="5"/>
        <v>'CMC'</v>
      </c>
      <c r="D372" s="24" t="s">
        <v>5784</v>
      </c>
      <c r="E372" s="24">
        <v>1.7655000000000001</v>
      </c>
      <c r="F372" s="24">
        <v>2.5360999999999998</v>
      </c>
      <c r="G372" s="24">
        <v>5768567033.6800003</v>
      </c>
      <c r="H372" s="24">
        <v>2</v>
      </c>
      <c r="I372" s="24" t="s">
        <v>5785</v>
      </c>
    </row>
    <row r="373" spans="1:9" x14ac:dyDescent="0.35">
      <c r="A373" s="24" t="s">
        <v>5044</v>
      </c>
      <c r="B373" s="24" t="str">
        <f>"DIS"</f>
        <v>DIS</v>
      </c>
      <c r="C373" s="24" t="str">
        <f t="shared" si="5"/>
        <v>'DIS'</v>
      </c>
      <c r="D373" s="24" t="s">
        <v>5786</v>
      </c>
      <c r="E373" s="24">
        <v>1.7643</v>
      </c>
      <c r="F373" s="24">
        <v>1.0008999999999999</v>
      </c>
      <c r="G373" s="24">
        <v>167624575536.95999</v>
      </c>
      <c r="H373" s="24">
        <v>128</v>
      </c>
      <c r="I373" s="24" t="s">
        <v>5787</v>
      </c>
    </row>
    <row r="374" spans="1:9" x14ac:dyDescent="0.35">
      <c r="A374" s="24" t="s">
        <v>5044</v>
      </c>
      <c r="B374" s="24" t="str">
        <f>"HL"</f>
        <v>HL</v>
      </c>
      <c r="C374" s="24" t="str">
        <f t="shared" si="5"/>
        <v>'HL'</v>
      </c>
      <c r="D374" s="24" t="s">
        <v>5788</v>
      </c>
      <c r="E374" s="24">
        <v>1.7605999999999999</v>
      </c>
      <c r="F374" s="24">
        <v>1.7593000000000001</v>
      </c>
      <c r="G374" s="24">
        <v>3437554404.0599999</v>
      </c>
      <c r="H374" s="24">
        <v>0</v>
      </c>
      <c r="I374" s="24" t="s">
        <v>5789</v>
      </c>
    </row>
    <row r="375" spans="1:9" x14ac:dyDescent="0.35">
      <c r="A375" s="24" t="s">
        <v>5044</v>
      </c>
      <c r="B375" s="24" t="str">
        <f>"ABM"</f>
        <v>ABM</v>
      </c>
      <c r="C375" s="24" t="str">
        <f t="shared" si="5"/>
        <v>'ABM'</v>
      </c>
      <c r="D375" s="24" t="s">
        <v>5790</v>
      </c>
      <c r="E375" s="24">
        <v>1.7577</v>
      </c>
      <c r="F375" s="24">
        <v>1.1536999999999999</v>
      </c>
      <c r="G375" s="24">
        <v>2992703204.0799999</v>
      </c>
      <c r="H375" s="24">
        <v>0</v>
      </c>
      <c r="I375" s="24" t="s">
        <v>5791</v>
      </c>
    </row>
    <row r="376" spans="1:9" x14ac:dyDescent="0.35">
      <c r="A376" s="24" t="s">
        <v>5044</v>
      </c>
      <c r="B376" s="24" t="str">
        <f>"GMS"</f>
        <v>GMS</v>
      </c>
      <c r="C376" s="24" t="str">
        <f t="shared" si="5"/>
        <v>'GMS'</v>
      </c>
      <c r="D376" s="24" t="s">
        <v>5792</v>
      </c>
      <c r="E376" s="24">
        <v>1.7571000000000001</v>
      </c>
      <c r="F376" s="24">
        <v>2.3454000000000002</v>
      </c>
      <c r="G376" s="24">
        <v>2080270059</v>
      </c>
      <c r="H376" s="24">
        <v>0</v>
      </c>
      <c r="I376" s="24" t="s">
        <v>5793</v>
      </c>
    </row>
    <row r="377" spans="1:9" x14ac:dyDescent="0.35">
      <c r="A377" s="24" t="s">
        <v>5044</v>
      </c>
      <c r="B377" s="24" t="str">
        <f>"ALC"</f>
        <v>ALC</v>
      </c>
      <c r="C377" s="24" t="str">
        <f t="shared" si="5"/>
        <v>'ALC'</v>
      </c>
      <c r="D377" s="24" t="s">
        <v>5794</v>
      </c>
      <c r="E377" s="24">
        <v>1.7545999999999999</v>
      </c>
      <c r="F377" s="24">
        <v>2.2121</v>
      </c>
      <c r="G377" s="24">
        <v>34473087000</v>
      </c>
      <c r="H377" s="24">
        <v>4</v>
      </c>
      <c r="I377" s="24" t="s">
        <v>5795</v>
      </c>
    </row>
    <row r="378" spans="1:9" x14ac:dyDescent="0.35">
      <c r="A378" s="24" t="s">
        <v>5044</v>
      </c>
      <c r="B378" s="24" t="str">
        <f>"AKO.B"</f>
        <v>AKO.B</v>
      </c>
      <c r="C378" s="24" t="str">
        <f t="shared" si="5"/>
        <v>'AKO.B'</v>
      </c>
      <c r="D378" s="24" t="s">
        <v>5796</v>
      </c>
      <c r="E378" s="24">
        <v>1.7538</v>
      </c>
      <c r="G378" s="24">
        <v>2202016663.6300001</v>
      </c>
      <c r="H378" s="24">
        <v>2</v>
      </c>
      <c r="I378" s="24" t="s">
        <v>5797</v>
      </c>
    </row>
    <row r="379" spans="1:9" x14ac:dyDescent="0.35">
      <c r="A379" s="24" t="s">
        <v>5044</v>
      </c>
      <c r="B379" s="24" t="str">
        <f>"PSX"</f>
        <v>PSX</v>
      </c>
      <c r="C379" s="24" t="str">
        <f t="shared" si="5"/>
        <v>'PSX'</v>
      </c>
      <c r="D379" s="24" t="s">
        <v>5798</v>
      </c>
      <c r="E379" s="24">
        <v>1.7531000000000001</v>
      </c>
      <c r="F379" s="24">
        <v>1.3012999999999999</v>
      </c>
      <c r="G379" s="24">
        <v>48690570583.260002</v>
      </c>
      <c r="H379" s="24">
        <v>6</v>
      </c>
      <c r="I379" s="24" t="s">
        <v>5799</v>
      </c>
    </row>
    <row r="380" spans="1:9" x14ac:dyDescent="0.35">
      <c r="A380" s="24" t="s">
        <v>5049</v>
      </c>
      <c r="B380" s="24" t="str">
        <f>"EXC"</f>
        <v>EXC</v>
      </c>
      <c r="C380" s="24" t="str">
        <f t="shared" si="5"/>
        <v>'EXC'</v>
      </c>
      <c r="D380" s="24" t="s">
        <v>5800</v>
      </c>
      <c r="E380" s="24">
        <v>1.7529999999999999</v>
      </c>
      <c r="F380" s="24">
        <v>0.80930000000000002</v>
      </c>
      <c r="G380" s="24">
        <v>42512284043.400002</v>
      </c>
      <c r="H380" s="24">
        <v>10</v>
      </c>
      <c r="I380" s="24" t="s">
        <v>5801</v>
      </c>
    </row>
    <row r="381" spans="1:9" x14ac:dyDescent="0.35">
      <c r="A381" s="24" t="s">
        <v>5044</v>
      </c>
      <c r="B381" s="24" t="str">
        <f>"ASH"</f>
        <v>ASH</v>
      </c>
      <c r="C381" s="24" t="str">
        <f t="shared" si="5"/>
        <v>'ASH'</v>
      </c>
      <c r="D381" s="24" t="s">
        <v>5802</v>
      </c>
      <c r="E381" s="24">
        <v>1.7518</v>
      </c>
      <c r="F381" s="24">
        <v>3.1970999999999998</v>
      </c>
      <c r="G381" s="24">
        <v>5609142425.5200005</v>
      </c>
      <c r="H381" s="24">
        <v>2</v>
      </c>
      <c r="I381" s="24" t="s">
        <v>5803</v>
      </c>
    </row>
    <row r="382" spans="1:9" x14ac:dyDescent="0.35">
      <c r="A382" s="24" t="s">
        <v>5044</v>
      </c>
      <c r="B382" s="24" t="str">
        <f>"AMR"</f>
        <v>AMR</v>
      </c>
      <c r="C382" s="24" t="str">
        <f t="shared" si="5"/>
        <v>'AMR'</v>
      </c>
      <c r="D382" s="24" t="s">
        <v>5804</v>
      </c>
      <c r="E382" s="24">
        <v>1.7499</v>
      </c>
      <c r="F382" s="24">
        <v>3.3614000000000002</v>
      </c>
      <c r="G382" s="24">
        <v>2249170564.4299998</v>
      </c>
      <c r="H382" s="24">
        <v>0</v>
      </c>
      <c r="I382" s="24" t="s">
        <v>5805</v>
      </c>
    </row>
    <row r="383" spans="1:9" x14ac:dyDescent="0.35">
      <c r="A383" s="24" t="s">
        <v>5049</v>
      </c>
      <c r="B383" s="24" t="str">
        <f>"MRCY"</f>
        <v>MRCY</v>
      </c>
      <c r="C383" s="24" t="str">
        <f t="shared" si="5"/>
        <v>'MRCY'</v>
      </c>
      <c r="D383" s="24" t="s">
        <v>5806</v>
      </c>
      <c r="E383" s="24">
        <v>1.7485999999999999</v>
      </c>
      <c r="F383" s="24">
        <v>4.8284000000000002</v>
      </c>
      <c r="G383" s="24">
        <v>2690964576.3000002</v>
      </c>
      <c r="H383" s="24">
        <v>1</v>
      </c>
      <c r="I383" s="24" t="s">
        <v>5807</v>
      </c>
    </row>
    <row r="384" spans="1:9" x14ac:dyDescent="0.35">
      <c r="A384" s="24" t="s">
        <v>5049</v>
      </c>
      <c r="B384" s="24" t="str">
        <f>"PLUG"</f>
        <v>PLUG</v>
      </c>
      <c r="C384" s="24" t="str">
        <f t="shared" si="5"/>
        <v>'PLUG'</v>
      </c>
      <c r="D384" s="24" t="s">
        <v>5808</v>
      </c>
      <c r="E384" s="24">
        <v>1.7472000000000001</v>
      </c>
      <c r="F384" s="24">
        <v>6.0922999999999998</v>
      </c>
      <c r="G384" s="24">
        <v>7379569969.8599997</v>
      </c>
      <c r="H384" s="24">
        <v>4</v>
      </c>
      <c r="I384" s="24" t="s">
        <v>5809</v>
      </c>
    </row>
    <row r="385" spans="1:9" x14ac:dyDescent="0.35">
      <c r="A385" s="24" t="s">
        <v>5044</v>
      </c>
      <c r="B385" s="24" t="str">
        <f>"LCII"</f>
        <v>LCII</v>
      </c>
      <c r="C385" s="24" t="str">
        <f t="shared" si="5"/>
        <v>'LCII'</v>
      </c>
      <c r="D385" s="24" t="s">
        <v>5810</v>
      </c>
      <c r="E385" s="24">
        <v>1.7454000000000001</v>
      </c>
      <c r="F385" s="24">
        <v>3.0102000000000002</v>
      </c>
      <c r="G385" s="24">
        <v>2438002189.9099998</v>
      </c>
      <c r="H385" s="24">
        <v>0</v>
      </c>
      <c r="I385" s="24" t="s">
        <v>5811</v>
      </c>
    </row>
    <row r="386" spans="1:9" x14ac:dyDescent="0.35">
      <c r="A386" s="24" t="s">
        <v>5044</v>
      </c>
      <c r="B386" s="24" t="str">
        <f>"WMK"</f>
        <v>WMK</v>
      </c>
      <c r="C386" s="24" t="str">
        <f t="shared" si="5"/>
        <v>'WMK'</v>
      </c>
      <c r="D386" s="24" t="s">
        <v>5812</v>
      </c>
      <c r="E386" s="24">
        <v>1.7448999999999999</v>
      </c>
      <c r="F386" s="24">
        <v>2.1011000000000002</v>
      </c>
      <c r="G386" s="24">
        <v>2219390531.9299998</v>
      </c>
      <c r="H386" s="24">
        <v>3</v>
      </c>
      <c r="I386" s="24" t="s">
        <v>5813</v>
      </c>
    </row>
    <row r="387" spans="1:9" x14ac:dyDescent="0.35">
      <c r="A387" s="24" t="s">
        <v>5044</v>
      </c>
      <c r="B387" s="24" t="str">
        <f>"PCG"</f>
        <v>PCG</v>
      </c>
      <c r="C387" s="24" t="str">
        <f t="shared" ref="C387:C450" si="6">"'"&amp;B387&amp;"'"</f>
        <v>'PCG'</v>
      </c>
      <c r="D387" s="24" t="s">
        <v>5814</v>
      </c>
      <c r="E387" s="24">
        <v>1.7364999999999999</v>
      </c>
      <c r="F387" s="24">
        <v>0.87050000000000005</v>
      </c>
      <c r="G387" s="24">
        <v>38608847950.5</v>
      </c>
      <c r="H387" s="24">
        <v>1</v>
      </c>
      <c r="I387" s="24" t="s">
        <v>5815</v>
      </c>
    </row>
    <row r="388" spans="1:9" x14ac:dyDescent="0.35">
      <c r="A388" s="24" t="s">
        <v>5044</v>
      </c>
      <c r="B388" s="24" t="str">
        <f>"SBSW"</f>
        <v>SBSW</v>
      </c>
      <c r="C388" s="24" t="str">
        <f t="shared" si="6"/>
        <v>'SBSW'</v>
      </c>
      <c r="D388" s="24" t="s">
        <v>5816</v>
      </c>
      <c r="E388" s="24">
        <v>1.7330000000000001</v>
      </c>
      <c r="G388" s="24">
        <v>7933747707.1000004</v>
      </c>
      <c r="H388" s="24">
        <v>0</v>
      </c>
      <c r="I388" s="24" t="s">
        <v>5817</v>
      </c>
    </row>
    <row r="389" spans="1:9" x14ac:dyDescent="0.35">
      <c r="A389" s="24" t="s">
        <v>5044</v>
      </c>
      <c r="B389" s="24" t="str">
        <f>"CCU"</f>
        <v>CCU</v>
      </c>
      <c r="C389" s="24" t="str">
        <f t="shared" si="6"/>
        <v>'CCU'</v>
      </c>
      <c r="D389" s="24" t="s">
        <v>5818</v>
      </c>
      <c r="E389" s="24">
        <v>1.7329000000000001</v>
      </c>
      <c r="G389" s="24">
        <v>2386988553.1199999</v>
      </c>
      <c r="H389" s="24">
        <v>1</v>
      </c>
      <c r="I389" s="24" t="s">
        <v>5819</v>
      </c>
    </row>
    <row r="390" spans="1:9" x14ac:dyDescent="0.35">
      <c r="A390" s="24" t="s">
        <v>5044</v>
      </c>
      <c r="B390" s="24" t="str">
        <f>"CNC"</f>
        <v>CNC</v>
      </c>
      <c r="C390" s="24" t="str">
        <f t="shared" si="6"/>
        <v>'CNC'</v>
      </c>
      <c r="D390" s="24" t="s">
        <v>5820</v>
      </c>
      <c r="E390" s="24">
        <v>1.7239</v>
      </c>
      <c r="F390" s="24">
        <v>1.0621</v>
      </c>
      <c r="G390" s="24">
        <v>43749223881.18</v>
      </c>
      <c r="H390" s="24">
        <v>8</v>
      </c>
      <c r="I390" s="24" t="s">
        <v>5821</v>
      </c>
    </row>
    <row r="391" spans="1:9" x14ac:dyDescent="0.35">
      <c r="A391" s="24" t="s">
        <v>5044</v>
      </c>
      <c r="B391" s="24" t="str">
        <f>"KMT"</f>
        <v>KMT</v>
      </c>
      <c r="C391" s="24" t="str">
        <f t="shared" si="6"/>
        <v>'KMT'</v>
      </c>
      <c r="D391" s="24" t="s">
        <v>5822</v>
      </c>
      <c r="E391" s="24">
        <v>1.7233000000000001</v>
      </c>
      <c r="F391" s="24">
        <v>2.0331999999999999</v>
      </c>
      <c r="G391" s="24">
        <v>2042611410.45</v>
      </c>
      <c r="H391" s="24">
        <v>1</v>
      </c>
      <c r="I391" s="24" t="s">
        <v>5823</v>
      </c>
    </row>
    <row r="392" spans="1:9" x14ac:dyDescent="0.35">
      <c r="A392" s="24" t="s">
        <v>5044</v>
      </c>
      <c r="B392" s="24" t="str">
        <f>"OGS"</f>
        <v>OGS</v>
      </c>
      <c r="C392" s="24" t="str">
        <f t="shared" si="6"/>
        <v>'OGS'</v>
      </c>
      <c r="D392" s="24" t="s">
        <v>5824</v>
      </c>
      <c r="E392" s="24">
        <v>1.7155</v>
      </c>
      <c r="F392" s="24">
        <v>0.86760000000000004</v>
      </c>
      <c r="G392" s="24">
        <v>4139082202.1999998</v>
      </c>
      <c r="H392" s="24">
        <v>1</v>
      </c>
      <c r="I392" s="24" t="s">
        <v>5825</v>
      </c>
    </row>
    <row r="393" spans="1:9" x14ac:dyDescent="0.35">
      <c r="A393" s="24" t="s">
        <v>5044</v>
      </c>
      <c r="B393" s="24" t="str">
        <f>"CTVA"</f>
        <v>CTVA</v>
      </c>
      <c r="C393" s="24" t="str">
        <f t="shared" si="6"/>
        <v>'CTVA'</v>
      </c>
      <c r="D393" s="24" t="s">
        <v>5826</v>
      </c>
      <c r="E393" s="24">
        <v>1.7126999999999999</v>
      </c>
      <c r="F393" s="24">
        <v>1.6870000000000001</v>
      </c>
      <c r="G393" s="24">
        <v>42183607680</v>
      </c>
      <c r="H393" s="24">
        <v>3</v>
      </c>
      <c r="I393" s="24" t="s">
        <v>5827</v>
      </c>
    </row>
    <row r="394" spans="1:9" x14ac:dyDescent="0.35">
      <c r="A394" s="24" t="s">
        <v>5044</v>
      </c>
      <c r="B394" s="24" t="str">
        <f>"ADNT"</f>
        <v>ADNT</v>
      </c>
      <c r="C394" s="24" t="str">
        <f t="shared" si="6"/>
        <v>'ADNT'</v>
      </c>
      <c r="D394" s="24" t="s">
        <v>5828</v>
      </c>
      <c r="E394" s="24">
        <v>1.7104999999999999</v>
      </c>
      <c r="F394" s="24">
        <v>1.1891</v>
      </c>
      <c r="G394" s="24">
        <v>3545797871.2800002</v>
      </c>
      <c r="H394" s="24">
        <v>1</v>
      </c>
      <c r="I394" s="24" t="s">
        <v>5829</v>
      </c>
    </row>
    <row r="395" spans="1:9" x14ac:dyDescent="0.35">
      <c r="A395" s="24" t="s">
        <v>5049</v>
      </c>
      <c r="B395" s="24" t="str">
        <f>"ERIC"</f>
        <v>ERIC</v>
      </c>
      <c r="C395" s="24" t="str">
        <f t="shared" si="6"/>
        <v>'ERIC'</v>
      </c>
      <c r="D395" s="24" t="s">
        <v>5830</v>
      </c>
      <c r="E395" s="24">
        <v>1.7103999999999999</v>
      </c>
      <c r="G395" s="24">
        <v>18434374512</v>
      </c>
      <c r="H395" s="24">
        <v>9</v>
      </c>
      <c r="I395" s="24" t="s">
        <v>5831</v>
      </c>
    </row>
    <row r="396" spans="1:9" x14ac:dyDescent="0.35">
      <c r="A396" s="24" t="s">
        <v>5049</v>
      </c>
      <c r="B396" s="24" t="str">
        <f>"SANM"</f>
        <v>SANM</v>
      </c>
      <c r="C396" s="24" t="str">
        <f t="shared" si="6"/>
        <v>'SANM'</v>
      </c>
      <c r="D396" s="24" t="s">
        <v>5832</v>
      </c>
      <c r="E396" s="24">
        <v>1.7069000000000001</v>
      </c>
      <c r="F396" s="24">
        <v>1.5999000000000001</v>
      </c>
      <c r="G396" s="24">
        <v>3177011944.4400001</v>
      </c>
      <c r="H396" s="24">
        <v>0</v>
      </c>
      <c r="I396" s="24" t="s">
        <v>5833</v>
      </c>
    </row>
    <row r="397" spans="1:9" x14ac:dyDescent="0.35">
      <c r="A397" s="24" t="s">
        <v>5044</v>
      </c>
      <c r="B397" s="24" t="str">
        <f>"M"</f>
        <v>M</v>
      </c>
      <c r="C397" s="24" t="str">
        <f t="shared" si="6"/>
        <v>'M'</v>
      </c>
      <c r="D397" s="24" t="s">
        <v>5834</v>
      </c>
      <c r="E397" s="24">
        <v>1.7030000000000001</v>
      </c>
      <c r="F397" s="24">
        <v>1.0896999999999999</v>
      </c>
      <c r="G397" s="24">
        <v>5845174245.6800003</v>
      </c>
      <c r="H397" s="24">
        <v>12</v>
      </c>
      <c r="I397" s="24" t="s">
        <v>5835</v>
      </c>
    </row>
    <row r="398" spans="1:9" x14ac:dyDescent="0.35">
      <c r="A398" s="24" t="s">
        <v>5049</v>
      </c>
      <c r="B398" s="24" t="str">
        <f>"TWNK"</f>
        <v>TWNK</v>
      </c>
      <c r="C398" s="24" t="str">
        <f t="shared" si="6"/>
        <v>'TWNK'</v>
      </c>
      <c r="D398" s="24" t="s">
        <v>5836</v>
      </c>
      <c r="E398" s="24">
        <v>1.7027000000000001</v>
      </c>
      <c r="F398" s="24">
        <v>2.0807000000000002</v>
      </c>
      <c r="G398" s="24">
        <v>3060650807.8200002</v>
      </c>
      <c r="H398" s="24">
        <v>0</v>
      </c>
      <c r="I398" s="24" t="s">
        <v>5837</v>
      </c>
    </row>
    <row r="399" spans="1:9" x14ac:dyDescent="0.35">
      <c r="A399" s="24" t="s">
        <v>5044</v>
      </c>
      <c r="B399" s="24" t="str">
        <f>"QS"</f>
        <v>QS</v>
      </c>
      <c r="C399" s="24" t="str">
        <f t="shared" si="6"/>
        <v>'QS'</v>
      </c>
      <c r="D399" s="24" t="s">
        <v>5838</v>
      </c>
      <c r="E399" s="24">
        <v>1.7016</v>
      </c>
      <c r="F399" s="24">
        <v>25.6785</v>
      </c>
      <c r="G399" s="24">
        <v>2358529252.6799998</v>
      </c>
      <c r="H399" s="24">
        <v>5</v>
      </c>
      <c r="I399" s="24" t="s">
        <v>5839</v>
      </c>
    </row>
    <row r="400" spans="1:9" x14ac:dyDescent="0.35">
      <c r="A400" s="24" t="s">
        <v>5044</v>
      </c>
      <c r="B400" s="24" t="str">
        <f>"CVS"</f>
        <v>CVS</v>
      </c>
      <c r="C400" s="24" t="str">
        <f t="shared" si="6"/>
        <v>'CVS'</v>
      </c>
      <c r="D400" s="24" t="s">
        <v>5840</v>
      </c>
      <c r="E400" s="24">
        <v>1.6988000000000001</v>
      </c>
      <c r="F400" s="24">
        <v>0.94379999999999997</v>
      </c>
      <c r="G400" s="24">
        <v>118848307190.39999</v>
      </c>
      <c r="H400" s="24">
        <v>17</v>
      </c>
      <c r="I400" s="24" t="s">
        <v>5841</v>
      </c>
    </row>
    <row r="401" spans="1:9" x14ac:dyDescent="0.35">
      <c r="A401" s="24" t="s">
        <v>5044</v>
      </c>
      <c r="B401" s="24" t="str">
        <f>"EDU"</f>
        <v>EDU</v>
      </c>
      <c r="C401" s="24" t="str">
        <f t="shared" si="6"/>
        <v>'EDU'</v>
      </c>
      <c r="D401" s="24" t="s">
        <v>5842</v>
      </c>
      <c r="E401" s="24">
        <v>1.6984999999999999</v>
      </c>
      <c r="F401" s="24">
        <v>2.5920999999999998</v>
      </c>
      <c r="G401" s="24">
        <v>6294771200.8299999</v>
      </c>
      <c r="H401" s="24">
        <v>146</v>
      </c>
      <c r="I401" s="24" t="s">
        <v>5843</v>
      </c>
    </row>
    <row r="402" spans="1:9" x14ac:dyDescent="0.35">
      <c r="A402" s="24" t="s">
        <v>5044</v>
      </c>
      <c r="B402" s="24" t="str">
        <f>"AG"</f>
        <v>AG</v>
      </c>
      <c r="C402" s="24" t="str">
        <f t="shared" si="6"/>
        <v>'AG'</v>
      </c>
      <c r="D402" s="24" t="s">
        <v>5844</v>
      </c>
      <c r="E402" s="24">
        <v>1.6976</v>
      </c>
      <c r="F402" s="24">
        <v>1.8827</v>
      </c>
      <c r="G402" s="24">
        <v>2279760633.9000001</v>
      </c>
      <c r="H402" s="24">
        <v>2</v>
      </c>
      <c r="I402" s="24" t="s">
        <v>5845</v>
      </c>
    </row>
    <row r="403" spans="1:9" x14ac:dyDescent="0.35">
      <c r="A403" s="24" t="s">
        <v>5049</v>
      </c>
      <c r="B403" s="24" t="str">
        <f>"RCM"</f>
        <v>RCM</v>
      </c>
      <c r="C403" s="24" t="str">
        <f t="shared" si="6"/>
        <v>'RCM'</v>
      </c>
      <c r="D403" s="24" t="s">
        <v>5846</v>
      </c>
      <c r="E403" s="24">
        <v>1.6975</v>
      </c>
      <c r="F403" s="24">
        <v>1.5639000000000001</v>
      </c>
      <c r="G403" s="24">
        <v>4698242478.2399998</v>
      </c>
      <c r="H403" s="24">
        <v>0</v>
      </c>
      <c r="I403" s="24" t="s">
        <v>5847</v>
      </c>
    </row>
    <row r="404" spans="1:9" x14ac:dyDescent="0.35">
      <c r="A404" s="24" t="s">
        <v>5049</v>
      </c>
      <c r="B404" s="24" t="str">
        <f>"RUSHA"</f>
        <v>RUSHA</v>
      </c>
      <c r="C404" s="24" t="str">
        <f t="shared" si="6"/>
        <v>'RUSHA'</v>
      </c>
      <c r="D404" s="24" t="s">
        <v>5848</v>
      </c>
      <c r="E404" s="24">
        <v>1.6974</v>
      </c>
      <c r="F404" s="24">
        <v>1.2746999999999999</v>
      </c>
      <c r="G404" s="24">
        <v>2793699552.5599999</v>
      </c>
      <c r="H404" s="24">
        <v>1</v>
      </c>
      <c r="I404" s="24" t="s">
        <v>5849</v>
      </c>
    </row>
    <row r="405" spans="1:9" x14ac:dyDescent="0.35">
      <c r="A405" s="24" t="s">
        <v>5044</v>
      </c>
      <c r="B405" s="24" t="str">
        <f>"IMO"</f>
        <v>IMO</v>
      </c>
      <c r="C405" s="24" t="str">
        <f t="shared" si="6"/>
        <v>'IMO'</v>
      </c>
      <c r="D405" s="24" t="s">
        <v>5850</v>
      </c>
      <c r="E405" s="24">
        <v>1.6961999999999999</v>
      </c>
      <c r="F405" s="24">
        <v>1.2318</v>
      </c>
      <c r="G405" s="24">
        <v>28484395297.18</v>
      </c>
      <c r="H405" s="24">
        <v>1</v>
      </c>
      <c r="I405" s="24" t="s">
        <v>5851</v>
      </c>
    </row>
    <row r="406" spans="1:9" x14ac:dyDescent="0.35">
      <c r="A406" s="24" t="s">
        <v>5049</v>
      </c>
      <c r="B406" s="24" t="str">
        <f>"SAGE"</f>
        <v>SAGE</v>
      </c>
      <c r="C406" s="24" t="str">
        <f t="shared" si="6"/>
        <v>'SAGE'</v>
      </c>
      <c r="D406" s="24" t="s">
        <v>5852</v>
      </c>
      <c r="E406" s="24">
        <v>1.6959</v>
      </c>
      <c r="F406" s="24">
        <v>14.696999999999999</v>
      </c>
      <c r="G406" s="24">
        <v>2340482315.3600001</v>
      </c>
      <c r="H406" s="24">
        <v>1</v>
      </c>
      <c r="I406" s="24" t="s">
        <v>5853</v>
      </c>
    </row>
    <row r="407" spans="1:9" x14ac:dyDescent="0.35">
      <c r="A407" s="24" t="s">
        <v>5044</v>
      </c>
      <c r="B407" s="24" t="str">
        <f>"CVE"</f>
        <v>CVE</v>
      </c>
      <c r="C407" s="24" t="str">
        <f t="shared" si="6"/>
        <v>'CVE'</v>
      </c>
      <c r="D407" s="24" t="s">
        <v>5854</v>
      </c>
      <c r="E407" s="24">
        <v>1.6934</v>
      </c>
      <c r="F407" s="24">
        <v>1.5456000000000001</v>
      </c>
      <c r="G407" s="24">
        <v>35358839190</v>
      </c>
      <c r="H407" s="24">
        <v>1</v>
      </c>
      <c r="I407" s="24" t="s">
        <v>5855</v>
      </c>
    </row>
    <row r="408" spans="1:9" x14ac:dyDescent="0.35">
      <c r="A408" s="24" t="s">
        <v>5044</v>
      </c>
      <c r="B408" s="24" t="str">
        <f>"CRH"</f>
        <v>CRH</v>
      </c>
      <c r="C408" s="24" t="str">
        <f t="shared" si="6"/>
        <v>'CRH'</v>
      </c>
      <c r="D408" s="24" t="s">
        <v>5856</v>
      </c>
      <c r="E408" s="24">
        <v>1.6933</v>
      </c>
      <c r="G408" s="24">
        <v>32660980860.220001</v>
      </c>
      <c r="H408" s="24">
        <v>2</v>
      </c>
      <c r="I408" s="24" t="s">
        <v>5857</v>
      </c>
    </row>
    <row r="409" spans="1:9" x14ac:dyDescent="0.35">
      <c r="A409" s="24" t="s">
        <v>5044</v>
      </c>
      <c r="B409" s="24" t="str">
        <f>"POST"</f>
        <v>POST</v>
      </c>
      <c r="C409" s="24" t="str">
        <f t="shared" si="6"/>
        <v>'POST'</v>
      </c>
      <c r="D409" s="24" t="s">
        <v>5858</v>
      </c>
      <c r="E409" s="24">
        <v>1.6877</v>
      </c>
      <c r="F409" s="24">
        <v>2.6989999999999998</v>
      </c>
      <c r="G409" s="24">
        <v>5491743356</v>
      </c>
      <c r="H409" s="24">
        <v>2</v>
      </c>
      <c r="I409" s="24" t="s">
        <v>5859</v>
      </c>
    </row>
    <row r="410" spans="1:9" x14ac:dyDescent="0.35">
      <c r="A410" s="24" t="s">
        <v>5044</v>
      </c>
      <c r="B410" s="24" t="str">
        <f>"IHS"</f>
        <v>IHS</v>
      </c>
      <c r="C410" s="24" t="str">
        <f t="shared" si="6"/>
        <v>'IHS'</v>
      </c>
      <c r="D410" s="24" t="s">
        <v>5860</v>
      </c>
      <c r="E410" s="24">
        <v>1.6859999999999999</v>
      </c>
      <c r="F410" s="24">
        <v>0.89019999999999999</v>
      </c>
      <c r="G410" s="24">
        <v>2149338240</v>
      </c>
      <c r="H410" s="24">
        <v>0</v>
      </c>
      <c r="I410" s="24" t="s">
        <v>5861</v>
      </c>
    </row>
    <row r="411" spans="1:9" x14ac:dyDescent="0.35">
      <c r="A411" s="24" t="s">
        <v>5044</v>
      </c>
      <c r="B411" s="24" t="str">
        <f>"FTI"</f>
        <v>FTI</v>
      </c>
      <c r="C411" s="24" t="str">
        <f t="shared" si="6"/>
        <v>'FTI'</v>
      </c>
      <c r="D411" s="24" t="s">
        <v>5862</v>
      </c>
      <c r="E411" s="24">
        <v>1.6769000000000001</v>
      </c>
      <c r="F411" s="24">
        <v>1.2727999999999999</v>
      </c>
      <c r="G411" s="24">
        <v>5276921521.0200005</v>
      </c>
      <c r="H411" s="24">
        <v>0</v>
      </c>
      <c r="I411" s="24" t="s">
        <v>5863</v>
      </c>
    </row>
    <row r="412" spans="1:9" x14ac:dyDescent="0.35">
      <c r="A412" s="24" t="s">
        <v>5044</v>
      </c>
      <c r="B412" s="24" t="str">
        <f>"WOR"</f>
        <v>WOR</v>
      </c>
      <c r="C412" s="24" t="str">
        <f t="shared" si="6"/>
        <v>'WOR'</v>
      </c>
      <c r="D412" s="24" t="s">
        <v>5864</v>
      </c>
      <c r="E412" s="24">
        <v>1.6769000000000001</v>
      </c>
      <c r="F412" s="24">
        <v>2.1743000000000001</v>
      </c>
      <c r="G412" s="24">
        <v>2484572523.3000002</v>
      </c>
      <c r="H412" s="24">
        <v>3</v>
      </c>
      <c r="I412" s="24" t="s">
        <v>5865</v>
      </c>
    </row>
    <row r="413" spans="1:9" x14ac:dyDescent="0.35">
      <c r="A413" s="24" t="s">
        <v>5044</v>
      </c>
      <c r="B413" s="24" t="str">
        <f>"KFY"</f>
        <v>KFY</v>
      </c>
      <c r="C413" s="24" t="str">
        <f t="shared" si="6"/>
        <v>'KFY'</v>
      </c>
      <c r="D413" s="24" t="s">
        <v>5866</v>
      </c>
      <c r="E413" s="24">
        <v>1.6749000000000001</v>
      </c>
      <c r="F413" s="24">
        <v>1.9602999999999999</v>
      </c>
      <c r="G413" s="24">
        <v>2629699405.5</v>
      </c>
      <c r="H413" s="24">
        <v>1</v>
      </c>
      <c r="I413" s="24" t="s">
        <v>5867</v>
      </c>
    </row>
    <row r="414" spans="1:9" x14ac:dyDescent="0.35">
      <c r="A414" s="24" t="s">
        <v>5044</v>
      </c>
      <c r="B414" s="24" t="str">
        <f>"B"</f>
        <v>B</v>
      </c>
      <c r="C414" s="24" t="str">
        <f t="shared" si="6"/>
        <v>'B'</v>
      </c>
      <c r="D414" s="24" t="s">
        <v>5868</v>
      </c>
      <c r="E414" s="24">
        <v>1.6746000000000001</v>
      </c>
      <c r="F414" s="24">
        <v>2.4039999999999999</v>
      </c>
      <c r="G414" s="24">
        <v>2108214897.9100001</v>
      </c>
      <c r="H414" s="24">
        <v>12</v>
      </c>
      <c r="I414" s="24" t="s">
        <v>5869</v>
      </c>
    </row>
    <row r="415" spans="1:9" x14ac:dyDescent="0.35">
      <c r="A415" s="24" t="s">
        <v>5049</v>
      </c>
      <c r="B415" s="24" t="str">
        <f>"TRMD"</f>
        <v>TRMD</v>
      </c>
      <c r="C415" s="24" t="str">
        <f t="shared" si="6"/>
        <v>'TRMD'</v>
      </c>
      <c r="D415" s="24" t="s">
        <v>5870</v>
      </c>
      <c r="E415" s="24">
        <v>1.671</v>
      </c>
      <c r="F415" s="24">
        <v>3.0558000000000001</v>
      </c>
      <c r="G415" s="24">
        <v>2142000000</v>
      </c>
      <c r="H415" s="24">
        <v>0</v>
      </c>
      <c r="I415" s="24" t="s">
        <v>5871</v>
      </c>
    </row>
    <row r="416" spans="1:9" x14ac:dyDescent="0.35">
      <c r="A416" s="24" t="s">
        <v>5044</v>
      </c>
      <c r="B416" s="24" t="str">
        <f>"ITGR"</f>
        <v>ITGR</v>
      </c>
      <c r="C416" s="24" t="str">
        <f t="shared" si="6"/>
        <v>'ITGR'</v>
      </c>
      <c r="D416" s="24" t="s">
        <v>5872</v>
      </c>
      <c r="E416" s="24">
        <v>1.6707000000000001</v>
      </c>
      <c r="F416" s="24">
        <v>2.8003999999999998</v>
      </c>
      <c r="G416" s="24">
        <v>2263840751.6900001</v>
      </c>
      <c r="H416" s="24">
        <v>2</v>
      </c>
      <c r="I416" s="24" t="s">
        <v>5873</v>
      </c>
    </row>
    <row r="417" spans="1:9" x14ac:dyDescent="0.35">
      <c r="A417" s="24" t="s">
        <v>5044</v>
      </c>
      <c r="B417" s="24" t="str">
        <f>"KD"</f>
        <v>KD</v>
      </c>
      <c r="C417" s="24" t="str">
        <f t="shared" si="6"/>
        <v>'KD'</v>
      </c>
      <c r="D417" s="24" t="s">
        <v>5874</v>
      </c>
      <c r="E417" s="24">
        <v>1.6686000000000001</v>
      </c>
      <c r="F417" s="24">
        <v>1.0841000000000001</v>
      </c>
      <c r="G417" s="24">
        <v>2753231364.8200002</v>
      </c>
      <c r="H417" s="24">
        <v>0</v>
      </c>
      <c r="I417" s="24" t="s">
        <v>5875</v>
      </c>
    </row>
    <row r="418" spans="1:9" x14ac:dyDescent="0.35">
      <c r="A418" s="24" t="s">
        <v>5044</v>
      </c>
      <c r="B418" s="24" t="str">
        <f>"MGA"</f>
        <v>MGA</v>
      </c>
      <c r="C418" s="24" t="str">
        <f t="shared" si="6"/>
        <v>'MGA'</v>
      </c>
      <c r="D418" s="24" t="s">
        <v>5876</v>
      </c>
      <c r="E418" s="24">
        <v>1.6662999999999999</v>
      </c>
      <c r="F418" s="24">
        <v>1.2716000000000001</v>
      </c>
      <c r="G418" s="24">
        <v>17181872000</v>
      </c>
      <c r="H418" s="24">
        <v>2</v>
      </c>
      <c r="I418" s="24" t="s">
        <v>5877</v>
      </c>
    </row>
    <row r="419" spans="1:9" x14ac:dyDescent="0.35">
      <c r="A419" s="24" t="s">
        <v>5044</v>
      </c>
      <c r="B419" s="24" t="str">
        <f>"NOV"</f>
        <v>NOV</v>
      </c>
      <c r="C419" s="24" t="str">
        <f t="shared" si="6"/>
        <v>'NOV'</v>
      </c>
      <c r="D419" s="24" t="s">
        <v>5878</v>
      </c>
      <c r="E419" s="24">
        <v>1.6600999999999999</v>
      </c>
      <c r="F419" s="24">
        <v>2.3048999999999999</v>
      </c>
      <c r="G419" s="24">
        <v>8048573609.9099998</v>
      </c>
      <c r="H419" s="24">
        <v>3</v>
      </c>
      <c r="I419" s="24" t="s">
        <v>5879</v>
      </c>
    </row>
    <row r="420" spans="1:9" x14ac:dyDescent="0.35">
      <c r="A420" s="24" t="s">
        <v>5044</v>
      </c>
      <c r="B420" s="24" t="str">
        <f>"GPS"</f>
        <v>GPS</v>
      </c>
      <c r="C420" s="24" t="str">
        <f t="shared" si="6"/>
        <v>'GPS'</v>
      </c>
      <c r="D420" s="24" t="s">
        <v>5880</v>
      </c>
      <c r="E420" s="24">
        <v>1.6552</v>
      </c>
      <c r="F420" s="24">
        <v>1.4901</v>
      </c>
      <c r="G420" s="24">
        <v>4165203636.02</v>
      </c>
      <c r="H420" s="24">
        <v>12</v>
      </c>
      <c r="I420" s="24" t="s">
        <v>5881</v>
      </c>
    </row>
    <row r="421" spans="1:9" x14ac:dyDescent="0.35">
      <c r="A421" s="24" t="s">
        <v>5044</v>
      </c>
      <c r="B421" s="24" t="str">
        <f>"ED"</f>
        <v>ED</v>
      </c>
      <c r="C421" s="24" t="str">
        <f t="shared" si="6"/>
        <v>'ED'</v>
      </c>
      <c r="D421" s="24" t="s">
        <v>5882</v>
      </c>
      <c r="E421" s="24">
        <v>1.6520999999999999</v>
      </c>
      <c r="F421" s="24">
        <v>0.83209999999999995</v>
      </c>
      <c r="G421" s="24">
        <v>33814880785.919998</v>
      </c>
      <c r="H421" s="24">
        <v>9</v>
      </c>
      <c r="I421" s="24" t="s">
        <v>5883</v>
      </c>
    </row>
    <row r="422" spans="1:9" x14ac:dyDescent="0.35">
      <c r="A422" s="24" t="s">
        <v>5044</v>
      </c>
      <c r="B422" s="24" t="str">
        <f>"ATO"</f>
        <v>ATO</v>
      </c>
      <c r="C422" s="24" t="str">
        <f t="shared" si="6"/>
        <v>'ATO'</v>
      </c>
      <c r="D422" s="24" t="s">
        <v>5884</v>
      </c>
      <c r="E422" s="24">
        <v>1.6468</v>
      </c>
      <c r="F422" s="24">
        <v>0.84599999999999997</v>
      </c>
      <c r="G422" s="24">
        <v>15339845709.120001</v>
      </c>
      <c r="H422" s="24">
        <v>9</v>
      </c>
      <c r="I422" s="24" t="s">
        <v>5885</v>
      </c>
    </row>
    <row r="423" spans="1:9" x14ac:dyDescent="0.35">
      <c r="A423" s="24" t="s">
        <v>5044</v>
      </c>
      <c r="B423" s="24" t="str">
        <f>"CRC"</f>
        <v>CRC</v>
      </c>
      <c r="C423" s="24" t="str">
        <f t="shared" si="6"/>
        <v>'CRC'</v>
      </c>
      <c r="D423" s="24" t="s">
        <v>5886</v>
      </c>
      <c r="E423" s="24">
        <v>1.6447000000000001</v>
      </c>
      <c r="F423" s="24">
        <v>0.94850000000000001</v>
      </c>
      <c r="G423" s="24">
        <v>3016716467.9200001</v>
      </c>
      <c r="H423" s="24">
        <v>1</v>
      </c>
      <c r="I423" s="24" t="s">
        <v>5887</v>
      </c>
    </row>
    <row r="424" spans="1:9" x14ac:dyDescent="0.35">
      <c r="A424" s="24" t="s">
        <v>5049</v>
      </c>
      <c r="B424" s="24" t="str">
        <f>"SNY"</f>
        <v>SNY</v>
      </c>
      <c r="C424" s="24" t="str">
        <f t="shared" si="6"/>
        <v>'SNY'</v>
      </c>
      <c r="D424" s="24" t="s">
        <v>5888</v>
      </c>
      <c r="E424" s="24">
        <v>1.6415999999999999</v>
      </c>
      <c r="G424" s="24">
        <v>120670046372.5</v>
      </c>
      <c r="H424" s="24">
        <v>15</v>
      </c>
      <c r="I424" s="24" t="s">
        <v>5889</v>
      </c>
    </row>
    <row r="425" spans="1:9" x14ac:dyDescent="0.35">
      <c r="A425" s="24" t="s">
        <v>5049</v>
      </c>
      <c r="B425" s="24" t="str">
        <f>"HUBG"</f>
        <v>HUBG</v>
      </c>
      <c r="C425" s="24" t="str">
        <f t="shared" si="6"/>
        <v>'HUBG'</v>
      </c>
      <c r="D425" s="24" t="s">
        <v>5890</v>
      </c>
      <c r="E425" s="24">
        <v>1.6402000000000001</v>
      </c>
      <c r="F425" s="24">
        <v>1.3811</v>
      </c>
      <c r="G425" s="24">
        <v>2488880337.3000002</v>
      </c>
      <c r="H425" s="24">
        <v>1</v>
      </c>
      <c r="I425" s="24" t="s">
        <v>5891</v>
      </c>
    </row>
    <row r="426" spans="1:9" x14ac:dyDescent="0.35">
      <c r="A426" s="24" t="s">
        <v>5044</v>
      </c>
      <c r="B426" s="24" t="str">
        <f>"IFF"</f>
        <v>IFF</v>
      </c>
      <c r="C426" s="24" t="str">
        <f t="shared" si="6"/>
        <v>'IFF'</v>
      </c>
      <c r="D426" s="24" t="s">
        <v>5892</v>
      </c>
      <c r="E426" s="24">
        <v>1.6398999999999999</v>
      </c>
      <c r="F426" s="24">
        <v>1.7909999999999999</v>
      </c>
      <c r="G426" s="24">
        <v>27354900124.369999</v>
      </c>
      <c r="H426" s="24">
        <v>5</v>
      </c>
      <c r="I426" s="24" t="s">
        <v>5893</v>
      </c>
    </row>
    <row r="427" spans="1:9" x14ac:dyDescent="0.35">
      <c r="A427" s="24" t="s">
        <v>5044</v>
      </c>
      <c r="B427" s="24" t="str">
        <f>"TGNA"</f>
        <v>TGNA</v>
      </c>
      <c r="C427" s="24" t="str">
        <f t="shared" si="6"/>
        <v>'TGNA'</v>
      </c>
      <c r="D427" s="24" t="s">
        <v>5894</v>
      </c>
      <c r="E427" s="24">
        <v>1.6311</v>
      </c>
      <c r="F427" s="24">
        <v>2.7113</v>
      </c>
      <c r="G427" s="24">
        <v>4660131734.4899998</v>
      </c>
      <c r="H427" s="24">
        <v>2</v>
      </c>
      <c r="I427" s="24" t="s">
        <v>5895</v>
      </c>
    </row>
    <row r="428" spans="1:9" x14ac:dyDescent="0.35">
      <c r="A428" s="24" t="s">
        <v>5044</v>
      </c>
      <c r="B428" s="24" t="str">
        <f>"THS"</f>
        <v>THS</v>
      </c>
      <c r="C428" s="24" t="str">
        <f t="shared" si="6"/>
        <v>'THS'</v>
      </c>
      <c r="D428" s="24" t="s">
        <v>5896</v>
      </c>
      <c r="E428" s="24">
        <v>1.6285000000000001</v>
      </c>
      <c r="F428" s="24">
        <v>1.7433000000000001</v>
      </c>
      <c r="G428" s="24">
        <v>2792905611.5999999</v>
      </c>
      <c r="H428" s="24">
        <v>1</v>
      </c>
      <c r="I428" s="24" t="s">
        <v>5897</v>
      </c>
    </row>
    <row r="429" spans="1:9" x14ac:dyDescent="0.35">
      <c r="A429" s="24" t="s">
        <v>5049</v>
      </c>
      <c r="B429" s="24" t="str">
        <f>"PAGP"</f>
        <v>PAGP</v>
      </c>
      <c r="C429" s="24" t="str">
        <f t="shared" si="6"/>
        <v>'PAGP'</v>
      </c>
      <c r="D429" s="24" t="s">
        <v>5898</v>
      </c>
      <c r="E429" s="24">
        <v>1.6213</v>
      </c>
      <c r="F429" s="24">
        <v>1.0451999999999999</v>
      </c>
      <c r="G429" s="24">
        <v>2378061447.8400002</v>
      </c>
      <c r="H429" s="24">
        <v>0</v>
      </c>
      <c r="I429" s="24" t="s">
        <v>5899</v>
      </c>
    </row>
    <row r="430" spans="1:9" x14ac:dyDescent="0.35">
      <c r="A430" s="24" t="s">
        <v>5044</v>
      </c>
      <c r="B430" s="24" t="str">
        <f>"BG"</f>
        <v>BG</v>
      </c>
      <c r="C430" s="24" t="str">
        <f t="shared" si="6"/>
        <v>'BG'</v>
      </c>
      <c r="D430" s="24" t="s">
        <v>5900</v>
      </c>
      <c r="E430" s="24">
        <v>1.6209</v>
      </c>
      <c r="F430" s="24">
        <v>1.6272</v>
      </c>
      <c r="G430" s="24">
        <v>13958379188.34</v>
      </c>
      <c r="H430" s="24">
        <v>3</v>
      </c>
      <c r="I430" s="24" t="s">
        <v>5901</v>
      </c>
    </row>
    <row r="431" spans="1:9" x14ac:dyDescent="0.35">
      <c r="A431" s="24" t="s">
        <v>5044</v>
      </c>
      <c r="B431" s="24" t="str">
        <f>"VSH"</f>
        <v>VSH</v>
      </c>
      <c r="C431" s="24" t="str">
        <f t="shared" si="6"/>
        <v>'VSH'</v>
      </c>
      <c r="D431" s="24" t="s">
        <v>5902</v>
      </c>
      <c r="E431" s="24">
        <v>1.6163000000000001</v>
      </c>
      <c r="F431" s="24">
        <v>2.9434</v>
      </c>
      <c r="G431" s="24">
        <v>3042961858.6799998</v>
      </c>
      <c r="H431" s="24">
        <v>0</v>
      </c>
      <c r="I431" s="24" t="s">
        <v>5903</v>
      </c>
    </row>
    <row r="432" spans="1:9" x14ac:dyDescent="0.35">
      <c r="A432" s="24" t="s">
        <v>5044</v>
      </c>
      <c r="B432" s="24" t="str">
        <f>"VST"</f>
        <v>VST</v>
      </c>
      <c r="C432" s="24" t="str">
        <f t="shared" si="6"/>
        <v>'VST'</v>
      </c>
      <c r="D432" s="24" t="s">
        <v>5904</v>
      </c>
      <c r="E432" s="24">
        <v>1.6133999999999999</v>
      </c>
      <c r="F432" s="24">
        <v>1.1035999999999999</v>
      </c>
      <c r="G432" s="24">
        <v>8882322410.1599998</v>
      </c>
      <c r="H432" s="24">
        <v>0</v>
      </c>
      <c r="I432" s="24" t="s">
        <v>5905</v>
      </c>
    </row>
    <row r="433" spans="1:9" x14ac:dyDescent="0.35">
      <c r="A433" s="24" t="s">
        <v>5044</v>
      </c>
      <c r="B433" s="24" t="str">
        <f>"UMC"</f>
        <v>UMC</v>
      </c>
      <c r="C433" s="24" t="str">
        <f t="shared" si="6"/>
        <v>'UMC'</v>
      </c>
      <c r="D433" s="24" t="s">
        <v>5906</v>
      </c>
      <c r="E433" s="24">
        <v>1.6026</v>
      </c>
      <c r="F433" s="24">
        <v>2.4714999999999998</v>
      </c>
      <c r="G433" s="24">
        <v>16452920290.67</v>
      </c>
      <c r="H433" s="24">
        <v>16</v>
      </c>
      <c r="I433" s="24" t="s">
        <v>5907</v>
      </c>
    </row>
    <row r="434" spans="1:9" x14ac:dyDescent="0.35">
      <c r="A434" s="24" t="s">
        <v>5044</v>
      </c>
      <c r="B434" s="24" t="str">
        <f>"BKH"</f>
        <v>BKH</v>
      </c>
      <c r="C434" s="24" t="str">
        <f t="shared" si="6"/>
        <v>'BKH'</v>
      </c>
      <c r="D434" s="24" t="s">
        <v>5908</v>
      </c>
      <c r="E434" s="24">
        <v>1.5991</v>
      </c>
      <c r="F434" s="24">
        <v>0.87590000000000001</v>
      </c>
      <c r="G434" s="24">
        <v>4550922651.8699999</v>
      </c>
      <c r="H434" s="24">
        <v>3</v>
      </c>
      <c r="I434" s="24" t="s">
        <v>5909</v>
      </c>
    </row>
    <row r="435" spans="1:9" x14ac:dyDescent="0.35">
      <c r="A435" s="24" t="s">
        <v>5044</v>
      </c>
      <c r="B435" s="24" t="str">
        <f>"AGI"</f>
        <v>AGI</v>
      </c>
      <c r="C435" s="24" t="str">
        <f t="shared" si="6"/>
        <v>'AGI'</v>
      </c>
      <c r="D435" s="24" t="s">
        <v>5910</v>
      </c>
      <c r="E435" s="24">
        <v>1.5878000000000001</v>
      </c>
      <c r="F435" s="24">
        <v>2.3992</v>
      </c>
      <c r="G435" s="24">
        <v>4230479376.1999998</v>
      </c>
      <c r="H435" s="24">
        <v>0</v>
      </c>
      <c r="I435" s="24" t="s">
        <v>5911</v>
      </c>
    </row>
    <row r="436" spans="1:9" x14ac:dyDescent="0.35">
      <c r="A436" s="24" t="s">
        <v>5049</v>
      </c>
      <c r="B436" s="24" t="str">
        <f>"NWL"</f>
        <v>NWL</v>
      </c>
      <c r="C436" s="24" t="str">
        <f t="shared" si="6"/>
        <v>'NWL'</v>
      </c>
      <c r="D436" s="24" t="s">
        <v>5912</v>
      </c>
      <c r="E436" s="24">
        <v>1.5854999999999999</v>
      </c>
      <c r="F436" s="24">
        <v>1.2532000000000001</v>
      </c>
      <c r="G436" s="24">
        <v>5835896000</v>
      </c>
      <c r="H436" s="24">
        <v>2</v>
      </c>
      <c r="I436" s="24" t="s">
        <v>5913</v>
      </c>
    </row>
    <row r="437" spans="1:9" x14ac:dyDescent="0.35">
      <c r="A437" s="24" t="s">
        <v>5044</v>
      </c>
      <c r="B437" s="24" t="str">
        <f>"EC"</f>
        <v>EC</v>
      </c>
      <c r="C437" s="24" t="str">
        <f t="shared" si="6"/>
        <v>'EC'</v>
      </c>
      <c r="D437" s="24" t="s">
        <v>5914</v>
      </c>
      <c r="E437" s="24">
        <v>1.5704</v>
      </c>
      <c r="G437" s="24">
        <v>20990072644.349998</v>
      </c>
      <c r="H437" s="24">
        <v>3</v>
      </c>
      <c r="I437" s="24" t="s">
        <v>5915</v>
      </c>
    </row>
    <row r="438" spans="1:9" x14ac:dyDescent="0.35">
      <c r="A438" s="24" t="s">
        <v>5044</v>
      </c>
      <c r="B438" s="24" t="str">
        <f>"PPL"</f>
        <v>PPL</v>
      </c>
      <c r="C438" s="24" t="str">
        <f t="shared" si="6"/>
        <v>'PPL'</v>
      </c>
      <c r="D438" s="24" t="s">
        <v>5916</v>
      </c>
      <c r="E438" s="24">
        <v>1.5698000000000001</v>
      </c>
      <c r="F438" s="24">
        <v>0.82050000000000001</v>
      </c>
      <c r="G438" s="24">
        <v>21529946624.16</v>
      </c>
      <c r="H438" s="24">
        <v>7</v>
      </c>
      <c r="I438" s="24" t="s">
        <v>5917</v>
      </c>
    </row>
    <row r="439" spans="1:9" x14ac:dyDescent="0.35">
      <c r="A439" s="24" t="s">
        <v>5049</v>
      </c>
      <c r="B439" s="24" t="str">
        <f>"PAAS"</f>
        <v>PAAS</v>
      </c>
      <c r="C439" s="24" t="str">
        <f t="shared" si="6"/>
        <v>'PAAS'</v>
      </c>
      <c r="D439" s="24" t="s">
        <v>5918</v>
      </c>
      <c r="E439" s="24">
        <v>1.5688</v>
      </c>
      <c r="F439" s="24">
        <v>2.1229</v>
      </c>
      <c r="G439" s="24">
        <v>3665470218.6900001</v>
      </c>
      <c r="H439" s="24">
        <v>5</v>
      </c>
      <c r="I439" s="24" t="s">
        <v>5919</v>
      </c>
    </row>
    <row r="440" spans="1:9" x14ac:dyDescent="0.35">
      <c r="A440" s="24" t="s">
        <v>5049</v>
      </c>
      <c r="B440" s="24" t="str">
        <f>"TCOM"</f>
        <v>TCOM</v>
      </c>
      <c r="C440" s="24" t="str">
        <f t="shared" si="6"/>
        <v>'TCOM'</v>
      </c>
      <c r="D440" s="24" t="s">
        <v>5920</v>
      </c>
      <c r="E440" s="24">
        <v>1.5621</v>
      </c>
      <c r="F440" s="24">
        <v>1.0865</v>
      </c>
      <c r="G440" s="24">
        <v>24814940169.5</v>
      </c>
      <c r="H440" s="24">
        <v>86</v>
      </c>
      <c r="I440" s="24" t="s">
        <v>5921</v>
      </c>
    </row>
    <row r="441" spans="1:9" x14ac:dyDescent="0.35">
      <c r="A441" s="24" t="s">
        <v>5044</v>
      </c>
      <c r="B441" s="24" t="str">
        <f>"RLX"</f>
        <v>RLX</v>
      </c>
      <c r="C441" s="24" t="str">
        <f t="shared" si="6"/>
        <v>'RLX'</v>
      </c>
      <c r="D441" s="24" t="s">
        <v>5922</v>
      </c>
      <c r="E441" s="24">
        <v>1.5619000000000001</v>
      </c>
      <c r="F441" s="24">
        <v>10.7615</v>
      </c>
      <c r="G441" s="24">
        <v>3518714108.98</v>
      </c>
      <c r="H441" s="24">
        <v>56</v>
      </c>
      <c r="I441" s="24" t="s">
        <v>5923</v>
      </c>
    </row>
    <row r="442" spans="1:9" x14ac:dyDescent="0.35">
      <c r="A442" s="24" t="s">
        <v>5044</v>
      </c>
      <c r="B442" s="24" t="str">
        <f>"SNDR"</f>
        <v>SNDR</v>
      </c>
      <c r="C442" s="24" t="str">
        <f t="shared" si="6"/>
        <v>'SNDR'</v>
      </c>
      <c r="D442" s="24" t="s">
        <v>5924</v>
      </c>
      <c r="E442" s="24">
        <v>1.5593999999999999</v>
      </c>
      <c r="F442" s="24">
        <v>1.9180999999999999</v>
      </c>
      <c r="G442" s="24">
        <v>4247373000.8000002</v>
      </c>
      <c r="H442" s="24">
        <v>2</v>
      </c>
      <c r="I442" s="24" t="s">
        <v>5925</v>
      </c>
    </row>
    <row r="443" spans="1:9" x14ac:dyDescent="0.35">
      <c r="A443" s="24" t="s">
        <v>5044</v>
      </c>
      <c r="B443" s="24" t="str">
        <f>"NE"</f>
        <v>NE</v>
      </c>
      <c r="C443" s="24" t="str">
        <f t="shared" si="6"/>
        <v>'NE'</v>
      </c>
      <c r="D443" s="24" t="s">
        <v>5926</v>
      </c>
      <c r="E443" s="24">
        <v>1.5566</v>
      </c>
      <c r="F443" s="24">
        <v>2.8071999999999999</v>
      </c>
      <c r="G443" s="24">
        <v>2410461484.5500002</v>
      </c>
      <c r="H443" s="24">
        <v>0</v>
      </c>
      <c r="I443" s="24" t="s">
        <v>5927</v>
      </c>
    </row>
    <row r="444" spans="1:9" x14ac:dyDescent="0.35">
      <c r="A444" s="24" t="s">
        <v>5044</v>
      </c>
      <c r="B444" s="24" t="str">
        <f>"AEM"</f>
        <v>AEM</v>
      </c>
      <c r="C444" s="24" t="str">
        <f t="shared" si="6"/>
        <v>'AEM'</v>
      </c>
      <c r="D444" s="24" t="s">
        <v>5928</v>
      </c>
      <c r="E444" s="24">
        <v>1.5563</v>
      </c>
      <c r="F444" s="24">
        <v>2.1676000000000002</v>
      </c>
      <c r="G444" s="24">
        <v>24815454380.080002</v>
      </c>
      <c r="H444" s="24">
        <v>0</v>
      </c>
      <c r="I444" s="24" t="s">
        <v>5929</v>
      </c>
    </row>
    <row r="445" spans="1:9" x14ac:dyDescent="0.35">
      <c r="A445" s="24" t="s">
        <v>5049</v>
      </c>
      <c r="B445" s="24" t="str">
        <f>"VIR"</f>
        <v>VIR</v>
      </c>
      <c r="C445" s="24" t="str">
        <f t="shared" si="6"/>
        <v>'VIR'</v>
      </c>
      <c r="D445" s="24" t="s">
        <v>5930</v>
      </c>
      <c r="E445" s="24">
        <v>1.5517000000000001</v>
      </c>
      <c r="F445" s="24">
        <v>7.8312999999999997</v>
      </c>
      <c r="G445" s="24">
        <v>3335877462.2600002</v>
      </c>
      <c r="H445" s="24">
        <v>5</v>
      </c>
      <c r="I445" s="24" t="s">
        <v>5931</v>
      </c>
    </row>
    <row r="446" spans="1:9" x14ac:dyDescent="0.35">
      <c r="A446" s="24" t="s">
        <v>5044</v>
      </c>
      <c r="B446" s="24" t="str">
        <f>"PBR"</f>
        <v>PBR</v>
      </c>
      <c r="C446" s="24" t="str">
        <f t="shared" si="6"/>
        <v>'PBR'</v>
      </c>
      <c r="D446" s="24" t="s">
        <v>5932</v>
      </c>
      <c r="E446" s="24">
        <v>1.5405</v>
      </c>
      <c r="G446" s="24">
        <v>66068879392.029999</v>
      </c>
      <c r="H446" s="24">
        <v>3</v>
      </c>
      <c r="I446" s="24" t="s">
        <v>5933</v>
      </c>
    </row>
    <row r="447" spans="1:9" x14ac:dyDescent="0.35">
      <c r="A447" s="24" t="s">
        <v>5044</v>
      </c>
      <c r="B447" s="24" t="str">
        <f>"CTRA"</f>
        <v>CTRA</v>
      </c>
      <c r="C447" s="24" t="str">
        <f t="shared" si="6"/>
        <v>'CTRA'</v>
      </c>
      <c r="D447" s="24" t="s">
        <v>5934</v>
      </c>
      <c r="E447" s="24">
        <v>1.5395000000000001</v>
      </c>
      <c r="F447" s="24">
        <v>1.6608000000000001</v>
      </c>
      <c r="G447" s="24">
        <v>18663022198.169998</v>
      </c>
      <c r="H447" s="24">
        <v>13</v>
      </c>
      <c r="I447" s="24" t="s">
        <v>5935</v>
      </c>
    </row>
    <row r="448" spans="1:9" x14ac:dyDescent="0.35">
      <c r="A448" s="24" t="s">
        <v>5044</v>
      </c>
      <c r="B448" s="24" t="str">
        <f>"HUN"</f>
        <v>HUN</v>
      </c>
      <c r="C448" s="24" t="str">
        <f t="shared" si="6"/>
        <v>'HUN'</v>
      </c>
      <c r="D448" s="24" t="s">
        <v>5936</v>
      </c>
      <c r="E448" s="24">
        <v>1.5324</v>
      </c>
      <c r="F448" s="24">
        <v>2.0038</v>
      </c>
      <c r="G448" s="24">
        <v>5720721769.8999996</v>
      </c>
      <c r="H448" s="24">
        <v>2</v>
      </c>
      <c r="I448" s="24" t="s">
        <v>5937</v>
      </c>
    </row>
    <row r="449" spans="1:9" x14ac:dyDescent="0.35">
      <c r="A449" s="24" t="s">
        <v>5044</v>
      </c>
      <c r="B449" s="24" t="str">
        <f>"BB"</f>
        <v>BB</v>
      </c>
      <c r="C449" s="24" t="str">
        <f t="shared" si="6"/>
        <v>'BB'</v>
      </c>
      <c r="D449" s="24" t="s">
        <v>5938</v>
      </c>
      <c r="E449" s="24">
        <v>1.5256000000000001</v>
      </c>
      <c r="F449" s="24">
        <v>1.0025999999999999</v>
      </c>
      <c r="G449" s="24">
        <v>2042819419.52</v>
      </c>
      <c r="H449" s="24">
        <v>10</v>
      </c>
      <c r="I449" s="24" t="s">
        <v>5939</v>
      </c>
    </row>
    <row r="450" spans="1:9" x14ac:dyDescent="0.35">
      <c r="A450" s="24" t="s">
        <v>5044</v>
      </c>
      <c r="B450" s="24" t="str">
        <f>"WCC"</f>
        <v>WCC</v>
      </c>
      <c r="C450" s="24" t="str">
        <f t="shared" si="6"/>
        <v>'WCC'</v>
      </c>
      <c r="D450" s="24" t="s">
        <v>5940</v>
      </c>
      <c r="E450" s="24">
        <v>1.5232000000000001</v>
      </c>
      <c r="F450" s="24">
        <v>2.2136</v>
      </c>
      <c r="G450" s="24">
        <v>6392574377.6400003</v>
      </c>
      <c r="H450" s="24">
        <v>0</v>
      </c>
      <c r="I450" s="24" t="s">
        <v>5941</v>
      </c>
    </row>
    <row r="451" spans="1:9" x14ac:dyDescent="0.35">
      <c r="A451" s="24" t="s">
        <v>5049</v>
      </c>
      <c r="B451" s="24" t="str">
        <f>"PCH"</f>
        <v>PCH</v>
      </c>
      <c r="C451" s="24" t="str">
        <f t="shared" ref="C451:C514" si="7">"'"&amp;B451&amp;"'"</f>
        <v>'PCH'</v>
      </c>
      <c r="D451" s="24" t="s">
        <v>5942</v>
      </c>
      <c r="E451" s="24">
        <v>1.5226</v>
      </c>
      <c r="F451" s="24">
        <v>3.9935999999999998</v>
      </c>
      <c r="G451" s="24">
        <v>3490356886</v>
      </c>
      <c r="H451" s="24">
        <v>2</v>
      </c>
      <c r="I451" s="24" t="s">
        <v>5943</v>
      </c>
    </row>
    <row r="452" spans="1:9" x14ac:dyDescent="0.35">
      <c r="A452" s="24" t="s">
        <v>5044</v>
      </c>
      <c r="B452" s="24" t="str">
        <f>"BIO"</f>
        <v>BIO</v>
      </c>
      <c r="C452" s="24" t="str">
        <f t="shared" si="7"/>
        <v>'BIO'</v>
      </c>
      <c r="D452" s="24" t="s">
        <v>5944</v>
      </c>
      <c r="E452" s="24">
        <v>1.5183</v>
      </c>
      <c r="F452" s="24">
        <v>5.5025000000000004</v>
      </c>
      <c r="G452" s="24">
        <v>12835410828.1</v>
      </c>
      <c r="H452" s="24">
        <v>9</v>
      </c>
      <c r="I452" s="24" t="s">
        <v>5945</v>
      </c>
    </row>
    <row r="453" spans="1:9" x14ac:dyDescent="0.35">
      <c r="A453" s="24" t="s">
        <v>5044</v>
      </c>
      <c r="B453" s="24" t="str">
        <f>"ABG"</f>
        <v>ABG</v>
      </c>
      <c r="C453" s="24" t="str">
        <f t="shared" si="7"/>
        <v>'ABG'</v>
      </c>
      <c r="D453" s="24" t="s">
        <v>5946</v>
      </c>
      <c r="E453" s="24">
        <v>1.5094000000000001</v>
      </c>
      <c r="F453" s="24">
        <v>1.5643</v>
      </c>
      <c r="G453" s="24">
        <v>3989262193.6799998</v>
      </c>
      <c r="H453" s="24">
        <v>1</v>
      </c>
      <c r="I453" s="24" t="s">
        <v>5947</v>
      </c>
    </row>
    <row r="454" spans="1:9" x14ac:dyDescent="0.35">
      <c r="A454" s="24" t="s">
        <v>5044</v>
      </c>
      <c r="B454" s="24" t="str">
        <f>"NTR"</f>
        <v>NTR</v>
      </c>
      <c r="C454" s="24" t="str">
        <f t="shared" si="7"/>
        <v>'NTR'</v>
      </c>
      <c r="D454" s="24" t="s">
        <v>5948</v>
      </c>
      <c r="E454" s="24">
        <v>1.5063</v>
      </c>
      <c r="F454" s="24">
        <v>1.1488</v>
      </c>
      <c r="G454" s="24">
        <v>38764100576.519997</v>
      </c>
      <c r="H454" s="24">
        <v>1</v>
      </c>
      <c r="I454" s="24" t="s">
        <v>5949</v>
      </c>
    </row>
    <row r="455" spans="1:9" x14ac:dyDescent="0.35">
      <c r="A455" s="24" t="s">
        <v>5044</v>
      </c>
      <c r="B455" s="24" t="str">
        <f>"AA"</f>
        <v>AA</v>
      </c>
      <c r="C455" s="24" t="str">
        <f t="shared" si="7"/>
        <v>'AA'</v>
      </c>
      <c r="D455" s="24" t="s">
        <v>5950</v>
      </c>
      <c r="E455" s="24">
        <v>1.5035000000000001</v>
      </c>
      <c r="F455" s="24">
        <v>1.8110999999999999</v>
      </c>
      <c r="G455" s="24">
        <v>8048871635.8500004</v>
      </c>
      <c r="H455" s="24">
        <v>18</v>
      </c>
      <c r="I455" s="24" t="s">
        <v>5951</v>
      </c>
    </row>
    <row r="456" spans="1:9" x14ac:dyDescent="0.35">
      <c r="A456" s="24" t="s">
        <v>5044</v>
      </c>
      <c r="B456" s="24" t="str">
        <f>"BTU"</f>
        <v>BTU</v>
      </c>
      <c r="C456" s="24" t="str">
        <f t="shared" si="7"/>
        <v>'BTU'</v>
      </c>
      <c r="D456" s="24" t="s">
        <v>5952</v>
      </c>
      <c r="E456" s="24">
        <v>1.4984</v>
      </c>
      <c r="F456" s="24">
        <v>1.7936000000000001</v>
      </c>
      <c r="G456" s="24">
        <v>3912641000</v>
      </c>
      <c r="H456" s="24">
        <v>2</v>
      </c>
      <c r="I456" s="24" t="s">
        <v>5953</v>
      </c>
    </row>
    <row r="457" spans="1:9" x14ac:dyDescent="0.35">
      <c r="A457" s="24" t="s">
        <v>5049</v>
      </c>
      <c r="B457" s="24" t="str">
        <f>"RNW"</f>
        <v>RNW</v>
      </c>
      <c r="C457" s="24" t="str">
        <f t="shared" si="7"/>
        <v>'RNW'</v>
      </c>
      <c r="D457" s="24" t="s">
        <v>5954</v>
      </c>
      <c r="E457" s="24">
        <v>1.4851000000000001</v>
      </c>
      <c r="F457" s="24">
        <v>1.2585999999999999</v>
      </c>
      <c r="G457" s="24">
        <v>2080582443.03</v>
      </c>
      <c r="H457" s="24">
        <v>0</v>
      </c>
      <c r="I457" s="24" t="s">
        <v>5955</v>
      </c>
    </row>
    <row r="458" spans="1:9" x14ac:dyDescent="0.35">
      <c r="A458" s="24" t="s">
        <v>5044</v>
      </c>
      <c r="B458" s="24" t="str">
        <f>"PSO"</f>
        <v>PSO</v>
      </c>
      <c r="C458" s="24" t="str">
        <f t="shared" si="7"/>
        <v>'PSO'</v>
      </c>
      <c r="D458" s="24" t="s">
        <v>5956</v>
      </c>
      <c r="E458" s="24">
        <v>1.4839</v>
      </c>
      <c r="G458" s="24">
        <v>8035713000</v>
      </c>
      <c r="H458" s="24">
        <v>2</v>
      </c>
      <c r="I458" s="24" t="s">
        <v>5957</v>
      </c>
    </row>
    <row r="459" spans="1:9" x14ac:dyDescent="0.35">
      <c r="A459" s="24" t="s">
        <v>5044</v>
      </c>
      <c r="B459" s="24" t="str">
        <f>"MRO"</f>
        <v>MRO</v>
      </c>
      <c r="C459" s="24" t="str">
        <f t="shared" si="7"/>
        <v>'MRO'</v>
      </c>
      <c r="D459" s="24" t="s">
        <v>5597</v>
      </c>
      <c r="E459" s="24">
        <v>1.4761</v>
      </c>
      <c r="F459" s="24">
        <v>1.0843</v>
      </c>
      <c r="G459" s="24">
        <v>16429205020.799999</v>
      </c>
      <c r="H459" s="24">
        <v>7</v>
      </c>
      <c r="I459" s="24" t="s">
        <v>5958</v>
      </c>
    </row>
    <row r="460" spans="1:9" x14ac:dyDescent="0.35">
      <c r="A460" s="24" t="s">
        <v>5049</v>
      </c>
      <c r="B460" s="24" t="str">
        <f>"WIRE"</f>
        <v>WIRE</v>
      </c>
      <c r="C460" s="24" t="str">
        <f t="shared" si="7"/>
        <v>'WIRE'</v>
      </c>
      <c r="D460" s="24" t="s">
        <v>5959</v>
      </c>
      <c r="E460" s="24">
        <v>1.4731000000000001</v>
      </c>
      <c r="F460" s="24">
        <v>8.5393000000000008</v>
      </c>
      <c r="G460" s="24">
        <v>2480650519.1999998</v>
      </c>
      <c r="H460" s="24">
        <v>2</v>
      </c>
      <c r="I460" s="24" t="s">
        <v>5960</v>
      </c>
    </row>
    <row r="461" spans="1:9" x14ac:dyDescent="0.35">
      <c r="A461" s="24" t="s">
        <v>5044</v>
      </c>
      <c r="B461" s="24" t="str">
        <f>"DAN"</f>
        <v>DAN</v>
      </c>
      <c r="C461" s="24" t="str">
        <f t="shared" si="7"/>
        <v>'DAN'</v>
      </c>
      <c r="D461" s="24" t="s">
        <v>5961</v>
      </c>
      <c r="E461" s="24">
        <v>1.4674</v>
      </c>
      <c r="F461" s="24">
        <v>1.4876</v>
      </c>
      <c r="G461" s="24">
        <v>2338095014.1500001</v>
      </c>
      <c r="H461" s="24">
        <v>0</v>
      </c>
      <c r="I461" s="24" t="s">
        <v>5962</v>
      </c>
    </row>
    <row r="462" spans="1:9" x14ac:dyDescent="0.35">
      <c r="A462" s="24" t="s">
        <v>5049</v>
      </c>
      <c r="B462" s="24" t="str">
        <f>"BIDU"</f>
        <v>BIDU</v>
      </c>
      <c r="C462" s="24" t="str">
        <f t="shared" si="7"/>
        <v>'BIDU'</v>
      </c>
      <c r="D462" s="24" t="s">
        <v>5963</v>
      </c>
      <c r="E462" s="24">
        <v>1.4657</v>
      </c>
      <c r="F462" s="24">
        <v>2.4584999999999999</v>
      </c>
      <c r="G462" s="24">
        <v>46219837500</v>
      </c>
      <c r="H462" s="24">
        <v>340</v>
      </c>
      <c r="I462" s="24" t="s">
        <v>5964</v>
      </c>
    </row>
    <row r="463" spans="1:9" x14ac:dyDescent="0.35">
      <c r="A463" s="24" t="s">
        <v>5049</v>
      </c>
      <c r="B463" s="24" t="str">
        <f>"WB"</f>
        <v>WB</v>
      </c>
      <c r="C463" s="24" t="str">
        <f t="shared" si="7"/>
        <v>'WB'</v>
      </c>
      <c r="D463" s="24" t="s">
        <v>5965</v>
      </c>
      <c r="E463" s="24">
        <v>1.4639</v>
      </c>
      <c r="F463" s="24">
        <v>2.3317999999999999</v>
      </c>
      <c r="G463" s="24">
        <v>4706085300</v>
      </c>
      <c r="H463" s="24">
        <v>83</v>
      </c>
      <c r="I463" s="24" t="s">
        <v>5966</v>
      </c>
    </row>
    <row r="464" spans="1:9" x14ac:dyDescent="0.35">
      <c r="A464" s="24" t="s">
        <v>5044</v>
      </c>
      <c r="B464" s="24" t="str">
        <f>"ALK"</f>
        <v>ALK</v>
      </c>
      <c r="C464" s="24" t="str">
        <f t="shared" si="7"/>
        <v>'ALK'</v>
      </c>
      <c r="D464" s="24" t="s">
        <v>5967</v>
      </c>
      <c r="E464" s="24">
        <v>1.4622999999999999</v>
      </c>
      <c r="F464" s="24">
        <v>0.80910000000000004</v>
      </c>
      <c r="G464" s="24">
        <v>5594816725.4099998</v>
      </c>
      <c r="H464" s="24">
        <v>4</v>
      </c>
      <c r="I464" s="24" t="s">
        <v>5968</v>
      </c>
    </row>
    <row r="465" spans="1:9" x14ac:dyDescent="0.35">
      <c r="A465" s="24" t="s">
        <v>5049</v>
      </c>
      <c r="B465" s="24" t="str">
        <f>"ODP"</f>
        <v>ODP</v>
      </c>
      <c r="C465" s="24" t="str">
        <f t="shared" si="7"/>
        <v>'ODP'</v>
      </c>
      <c r="D465" s="24" t="s">
        <v>5969</v>
      </c>
      <c r="E465" s="24">
        <v>1.462</v>
      </c>
      <c r="F465" s="24">
        <v>1.1135999999999999</v>
      </c>
      <c r="G465" s="24">
        <v>2191582117.9200001</v>
      </c>
      <c r="H465" s="24">
        <v>0</v>
      </c>
      <c r="I465" s="24" t="s">
        <v>5970</v>
      </c>
    </row>
    <row r="466" spans="1:9" x14ac:dyDescent="0.35">
      <c r="A466" s="24" t="s">
        <v>5044</v>
      </c>
      <c r="B466" s="24" t="str">
        <f>"BWA"</f>
        <v>BWA</v>
      </c>
      <c r="C466" s="24" t="str">
        <f t="shared" si="7"/>
        <v>'BWA'</v>
      </c>
      <c r="D466" s="24" t="s">
        <v>5971</v>
      </c>
      <c r="E466" s="24">
        <v>1.4601999999999999</v>
      </c>
      <c r="F466" s="24">
        <v>1.7157</v>
      </c>
      <c r="G466" s="24">
        <v>9834465060</v>
      </c>
      <c r="H466" s="24">
        <v>6</v>
      </c>
      <c r="I466" s="24" t="s">
        <v>5972</v>
      </c>
    </row>
    <row r="467" spans="1:9" x14ac:dyDescent="0.35">
      <c r="A467" s="24" t="s">
        <v>5044</v>
      </c>
      <c r="B467" s="24" t="str">
        <f>"BTG"</f>
        <v>BTG</v>
      </c>
      <c r="C467" s="24" t="str">
        <f t="shared" si="7"/>
        <v>'BTG'</v>
      </c>
      <c r="D467" s="24" t="s">
        <v>5973</v>
      </c>
      <c r="E467" s="24">
        <v>1.4552</v>
      </c>
      <c r="F467" s="24">
        <v>5.2106000000000003</v>
      </c>
      <c r="G467" s="24">
        <v>4134445700</v>
      </c>
      <c r="H467" s="24">
        <v>0</v>
      </c>
      <c r="I467" s="24" t="s">
        <v>5974</v>
      </c>
    </row>
    <row r="468" spans="1:9" x14ac:dyDescent="0.35">
      <c r="A468" s="24" t="s">
        <v>5049</v>
      </c>
      <c r="B468" s="24" t="str">
        <f>"FOXA"</f>
        <v>FOXA</v>
      </c>
      <c r="C468" s="24" t="str">
        <f t="shared" si="7"/>
        <v>'FOXA'</v>
      </c>
      <c r="D468" s="24" t="s">
        <v>5975</v>
      </c>
      <c r="E468" s="24">
        <v>1.4532</v>
      </c>
      <c r="F468" s="24">
        <v>3.5964999999999998</v>
      </c>
      <c r="G468" s="24">
        <v>16742097004.700001</v>
      </c>
      <c r="H468" s="24">
        <v>12</v>
      </c>
      <c r="I468" s="24" t="s">
        <v>5976</v>
      </c>
    </row>
    <row r="469" spans="1:9" x14ac:dyDescent="0.35">
      <c r="A469" s="24" t="s">
        <v>5044</v>
      </c>
      <c r="B469" s="24" t="str">
        <f>"NRG"</f>
        <v>NRG</v>
      </c>
      <c r="C469" s="24" t="str">
        <f t="shared" si="7"/>
        <v>'NRG'</v>
      </c>
      <c r="D469" s="24" t="s">
        <v>5977</v>
      </c>
      <c r="E469" s="24">
        <v>1.4491000000000001</v>
      </c>
      <c r="F469" s="24">
        <v>1.32</v>
      </c>
      <c r="G469" s="24">
        <v>7314698508.75</v>
      </c>
      <c r="H469" s="24">
        <v>5</v>
      </c>
      <c r="I469" s="24" t="s">
        <v>5978</v>
      </c>
    </row>
    <row r="470" spans="1:9" x14ac:dyDescent="0.35">
      <c r="A470" s="24" t="s">
        <v>5049</v>
      </c>
      <c r="B470" s="24" t="str">
        <f>"XRAY"</f>
        <v>XRAY</v>
      </c>
      <c r="C470" s="24" t="str">
        <f t="shared" si="7"/>
        <v>'XRAY'</v>
      </c>
      <c r="D470" s="24" t="s">
        <v>5979</v>
      </c>
      <c r="E470" s="24">
        <v>1.4415</v>
      </c>
      <c r="G470" s="24">
        <v>7111434307.7399998</v>
      </c>
      <c r="H470" s="24">
        <v>10</v>
      </c>
      <c r="I470" s="24" t="s">
        <v>5980</v>
      </c>
    </row>
    <row r="471" spans="1:9" x14ac:dyDescent="0.35">
      <c r="A471" s="24" t="s">
        <v>5049</v>
      </c>
      <c r="B471" s="24" t="str">
        <f>"MKSI"</f>
        <v>MKSI</v>
      </c>
      <c r="C471" s="24" t="str">
        <f t="shared" si="7"/>
        <v>'MKSI'</v>
      </c>
      <c r="D471" s="24" t="s">
        <v>5981</v>
      </c>
      <c r="E471" s="24">
        <v>1.4408000000000001</v>
      </c>
      <c r="F471" s="24">
        <v>2.7606000000000002</v>
      </c>
      <c r="G471" s="24">
        <v>5960336727.3999996</v>
      </c>
      <c r="H471" s="24">
        <v>2</v>
      </c>
      <c r="I471" s="24" t="s">
        <v>5982</v>
      </c>
    </row>
    <row r="472" spans="1:9" x14ac:dyDescent="0.35">
      <c r="A472" s="24" t="s">
        <v>5049</v>
      </c>
      <c r="B472" s="24" t="str">
        <f>"LBRDA"</f>
        <v>LBRDA</v>
      </c>
      <c r="C472" s="24" t="str">
        <f t="shared" si="7"/>
        <v>'LBRDA'</v>
      </c>
      <c r="D472" s="24" t="s">
        <v>5983</v>
      </c>
      <c r="E472" s="24">
        <v>1.4318</v>
      </c>
      <c r="F472" s="24">
        <v>2.0164</v>
      </c>
      <c r="G472" s="24">
        <v>12256556733.620001</v>
      </c>
      <c r="H472" s="24">
        <v>0</v>
      </c>
      <c r="I472" s="24" t="s">
        <v>5984</v>
      </c>
    </row>
    <row r="473" spans="1:9" x14ac:dyDescent="0.35">
      <c r="A473" s="24" t="s">
        <v>5044</v>
      </c>
      <c r="B473" s="24" t="str">
        <f>"DD"</f>
        <v>DD</v>
      </c>
      <c r="C473" s="24" t="str">
        <f t="shared" si="7"/>
        <v>'DD'</v>
      </c>
      <c r="D473" s="24" t="s">
        <v>5985</v>
      </c>
      <c r="E473" s="24">
        <v>1.4228000000000001</v>
      </c>
      <c r="F473" s="24">
        <v>2.3860999999999999</v>
      </c>
      <c r="G473" s="24">
        <v>35207432744.760002</v>
      </c>
      <c r="H473" s="24">
        <v>15</v>
      </c>
      <c r="I473" s="24" t="s">
        <v>5986</v>
      </c>
    </row>
    <row r="474" spans="1:9" x14ac:dyDescent="0.35">
      <c r="A474" s="24" t="s">
        <v>5044</v>
      </c>
      <c r="B474" s="24" t="str">
        <f>"TTE"</f>
        <v>TTE</v>
      </c>
      <c r="C474" s="24" t="str">
        <f t="shared" si="7"/>
        <v>'TTE'</v>
      </c>
      <c r="D474" s="24" t="s">
        <v>5987</v>
      </c>
      <c r="E474" s="24">
        <v>1.4136</v>
      </c>
      <c r="F474" s="24">
        <v>1.1820999999999999</v>
      </c>
      <c r="G474" s="24">
        <v>160055112826.35001</v>
      </c>
      <c r="H474" s="24">
        <v>7</v>
      </c>
      <c r="I474" s="24" t="s">
        <v>5988</v>
      </c>
    </row>
    <row r="475" spans="1:9" x14ac:dyDescent="0.35">
      <c r="A475" s="24" t="s">
        <v>5049</v>
      </c>
      <c r="B475" s="24" t="str">
        <f>"GDS"</f>
        <v>GDS</v>
      </c>
      <c r="C475" s="24" t="str">
        <f t="shared" si="7"/>
        <v>'GDS'</v>
      </c>
      <c r="D475" s="24" t="s">
        <v>5989</v>
      </c>
      <c r="E475" s="24">
        <v>1.4107000000000001</v>
      </c>
      <c r="F475" s="24">
        <v>1.1144000000000001</v>
      </c>
      <c r="G475" s="24">
        <v>4715425161.2700005</v>
      </c>
      <c r="H475" s="24">
        <v>36</v>
      </c>
      <c r="I475" s="24" t="s">
        <v>5990</v>
      </c>
    </row>
    <row r="476" spans="1:9" x14ac:dyDescent="0.35">
      <c r="A476" s="24" t="s">
        <v>5044</v>
      </c>
      <c r="B476" s="24" t="str">
        <f>"GOLD"</f>
        <v>GOLD</v>
      </c>
      <c r="C476" s="24" t="str">
        <f t="shared" si="7"/>
        <v>'GOLD'</v>
      </c>
      <c r="D476" s="24" t="s">
        <v>5991</v>
      </c>
      <c r="E476" s="24">
        <v>1.4093</v>
      </c>
      <c r="F476" s="24">
        <v>3.7549999999999999</v>
      </c>
      <c r="G476" s="24">
        <v>33258178080</v>
      </c>
      <c r="H476" s="24">
        <v>20</v>
      </c>
      <c r="I476" s="24" t="s">
        <v>5992</v>
      </c>
    </row>
    <row r="477" spans="1:9" x14ac:dyDescent="0.35">
      <c r="A477" s="24" t="s">
        <v>5049</v>
      </c>
      <c r="B477" s="24" t="str">
        <f>"PTVE"</f>
        <v>PTVE</v>
      </c>
      <c r="C477" s="24" t="str">
        <f t="shared" si="7"/>
        <v>'PTVE'</v>
      </c>
      <c r="D477" s="24" t="s">
        <v>5993</v>
      </c>
      <c r="E477" s="24">
        <v>1.4035</v>
      </c>
      <c r="F477" s="24">
        <v>2.4114</v>
      </c>
      <c r="G477" s="24">
        <v>2026954906.8</v>
      </c>
      <c r="H477" s="24">
        <v>0</v>
      </c>
      <c r="I477" s="24" t="s">
        <v>5994</v>
      </c>
    </row>
    <row r="478" spans="1:9" x14ac:dyDescent="0.35">
      <c r="A478" s="24" t="s">
        <v>5044</v>
      </c>
      <c r="B478" s="24" t="str">
        <f>"NOK"</f>
        <v>NOK</v>
      </c>
      <c r="C478" s="24" t="str">
        <f t="shared" si="7"/>
        <v>'NOK'</v>
      </c>
      <c r="D478" s="24" t="s">
        <v>5995</v>
      </c>
      <c r="E478" s="24">
        <v>1.3997999999999999</v>
      </c>
      <c r="G478" s="24">
        <v>26516726085.709999</v>
      </c>
      <c r="H478" s="24">
        <v>21</v>
      </c>
      <c r="I478" s="24" t="s">
        <v>5996</v>
      </c>
    </row>
    <row r="479" spans="1:9" x14ac:dyDescent="0.35">
      <c r="A479" s="24" t="s">
        <v>5044</v>
      </c>
      <c r="B479" s="24" t="str">
        <f>"EPC"</f>
        <v>EPC</v>
      </c>
      <c r="C479" s="24" t="str">
        <f t="shared" si="7"/>
        <v>'EPC'</v>
      </c>
      <c r="D479" s="24" t="s">
        <v>5997</v>
      </c>
      <c r="E479" s="24">
        <v>1.3984000000000001</v>
      </c>
      <c r="F479" s="24">
        <v>1.7193000000000001</v>
      </c>
      <c r="G479" s="24">
        <v>2030473050.4400001</v>
      </c>
      <c r="H479" s="24">
        <v>1</v>
      </c>
      <c r="I479" s="24" t="s">
        <v>5998</v>
      </c>
    </row>
    <row r="480" spans="1:9" x14ac:dyDescent="0.35">
      <c r="A480" s="24" t="s">
        <v>5049</v>
      </c>
      <c r="B480" s="24" t="str">
        <f>"QFIN"</f>
        <v>QFIN</v>
      </c>
      <c r="C480" s="24" t="str">
        <f t="shared" si="7"/>
        <v>'QFIN'</v>
      </c>
      <c r="D480" s="24" t="s">
        <v>5999</v>
      </c>
      <c r="E480" s="24">
        <v>1.3962000000000001</v>
      </c>
      <c r="F480" s="24">
        <v>1.8546</v>
      </c>
      <c r="G480" s="24">
        <v>3601345092.4000001</v>
      </c>
      <c r="H480" s="24">
        <v>109</v>
      </c>
      <c r="I480" s="24" t="s">
        <v>6000</v>
      </c>
    </row>
    <row r="481" spans="1:9" x14ac:dyDescent="0.35">
      <c r="A481" s="24" t="s">
        <v>5044</v>
      </c>
      <c r="B481" s="24" t="str">
        <f>"ALE"</f>
        <v>ALE</v>
      </c>
      <c r="C481" s="24" t="str">
        <f t="shared" si="7"/>
        <v>'ALE'</v>
      </c>
      <c r="D481" s="24" t="s">
        <v>6001</v>
      </c>
      <c r="E481" s="24">
        <v>1.3880999999999999</v>
      </c>
      <c r="F481" s="24">
        <v>1.0228999999999999</v>
      </c>
      <c r="G481" s="24">
        <v>3672079042.7199998</v>
      </c>
      <c r="H481" s="24">
        <v>3</v>
      </c>
      <c r="I481" s="24" t="s">
        <v>6002</v>
      </c>
    </row>
    <row r="482" spans="1:9" x14ac:dyDescent="0.35">
      <c r="A482" s="24" t="s">
        <v>5044</v>
      </c>
      <c r="B482" s="24" t="str">
        <f>"IP"</f>
        <v>IP</v>
      </c>
      <c r="C482" s="24" t="str">
        <f t="shared" si="7"/>
        <v>'IP'</v>
      </c>
      <c r="D482" s="24" t="s">
        <v>6003</v>
      </c>
      <c r="E482" s="24">
        <v>1.3809</v>
      </c>
      <c r="F482" s="24">
        <v>1.3781000000000001</v>
      </c>
      <c r="G482" s="24">
        <v>12875254325.799999</v>
      </c>
      <c r="H482" s="24">
        <v>2</v>
      </c>
      <c r="I482" s="24" t="s">
        <v>6004</v>
      </c>
    </row>
    <row r="483" spans="1:9" x14ac:dyDescent="0.35">
      <c r="A483" s="24" t="s">
        <v>5044</v>
      </c>
      <c r="B483" s="24" t="str">
        <f>"DXC"</f>
        <v>DXC</v>
      </c>
      <c r="C483" s="24" t="str">
        <f t="shared" si="7"/>
        <v>'DXC'</v>
      </c>
      <c r="D483" s="24" t="s">
        <v>6005</v>
      </c>
      <c r="E483" s="24">
        <v>1.3789</v>
      </c>
      <c r="F483" s="24">
        <v>1.1386000000000001</v>
      </c>
      <c r="G483" s="24">
        <v>6363604068.1800003</v>
      </c>
      <c r="H483" s="24">
        <v>3</v>
      </c>
      <c r="I483" s="24" t="s">
        <v>6006</v>
      </c>
    </row>
    <row r="484" spans="1:9" x14ac:dyDescent="0.35">
      <c r="A484" s="24" t="s">
        <v>5044</v>
      </c>
      <c r="B484" s="24" t="str">
        <f>"BCC"</f>
        <v>BCC</v>
      </c>
      <c r="C484" s="24" t="str">
        <f t="shared" si="7"/>
        <v>'BCC'</v>
      </c>
      <c r="D484" s="24" t="s">
        <v>6007</v>
      </c>
      <c r="E484" s="24">
        <v>1.3701000000000001</v>
      </c>
      <c r="F484" s="24">
        <v>2.95</v>
      </c>
      <c r="G484" s="24">
        <v>2654830815.6999998</v>
      </c>
      <c r="H484" s="24">
        <v>0</v>
      </c>
      <c r="I484" s="24" t="s">
        <v>6008</v>
      </c>
    </row>
    <row r="485" spans="1:9" x14ac:dyDescent="0.35">
      <c r="A485" s="24" t="s">
        <v>5044</v>
      </c>
      <c r="B485" s="24" t="str">
        <f>"UGP"</f>
        <v>UGP</v>
      </c>
      <c r="C485" s="24" t="str">
        <f t="shared" si="7"/>
        <v>'UGP'</v>
      </c>
      <c r="D485" s="24" t="s">
        <v>6009</v>
      </c>
      <c r="E485" s="24">
        <v>1.3671</v>
      </c>
      <c r="G485" s="24">
        <v>2513679415.1700001</v>
      </c>
      <c r="H485" s="24">
        <v>2</v>
      </c>
      <c r="I485" s="24" t="s">
        <v>6010</v>
      </c>
    </row>
    <row r="486" spans="1:9" x14ac:dyDescent="0.35">
      <c r="A486" s="24" t="s">
        <v>5049</v>
      </c>
      <c r="B486" s="24" t="str">
        <f>"NWSA"</f>
        <v>NWSA</v>
      </c>
      <c r="C486" s="24" t="str">
        <f t="shared" si="7"/>
        <v>'NWSA'</v>
      </c>
      <c r="D486" s="24" t="s">
        <v>6011</v>
      </c>
      <c r="E486" s="24">
        <v>1.3658999999999999</v>
      </c>
      <c r="F486" s="24">
        <v>1.2459</v>
      </c>
      <c r="G486" s="24">
        <v>10752727247.959999</v>
      </c>
      <c r="H486" s="24">
        <v>4</v>
      </c>
      <c r="I486" s="24" t="s">
        <v>6012</v>
      </c>
    </row>
    <row r="487" spans="1:9" x14ac:dyDescent="0.35">
      <c r="A487" s="24" t="s">
        <v>5044</v>
      </c>
      <c r="B487" s="24" t="str">
        <f>"ARNC"</f>
        <v>ARNC</v>
      </c>
      <c r="C487" s="24" t="str">
        <f t="shared" si="7"/>
        <v>'ARNC'</v>
      </c>
      <c r="D487" s="24" t="s">
        <v>6013</v>
      </c>
      <c r="E487" s="24">
        <v>1.36</v>
      </c>
      <c r="F487" s="24">
        <v>1.653</v>
      </c>
      <c r="G487" s="24">
        <v>2195111681.6999998</v>
      </c>
      <c r="H487" s="24">
        <v>1</v>
      </c>
      <c r="I487" s="24" t="s">
        <v>6014</v>
      </c>
    </row>
    <row r="488" spans="1:9" x14ac:dyDescent="0.35">
      <c r="A488" s="24" t="s">
        <v>5044</v>
      </c>
      <c r="B488" s="24" t="str">
        <f>"WLK"</f>
        <v>WLK</v>
      </c>
      <c r="C488" s="24" t="str">
        <f t="shared" si="7"/>
        <v>'WLK'</v>
      </c>
      <c r="D488" s="24" t="s">
        <v>6015</v>
      </c>
      <c r="E488" s="24">
        <v>1.3583000000000001</v>
      </c>
      <c r="F488" s="24">
        <v>2.4790999999999999</v>
      </c>
      <c r="G488" s="24">
        <v>13006284346.02</v>
      </c>
      <c r="H488" s="24">
        <v>1</v>
      </c>
      <c r="I488" s="24" t="s">
        <v>6016</v>
      </c>
    </row>
    <row r="489" spans="1:9" x14ac:dyDescent="0.35">
      <c r="A489" s="24" t="s">
        <v>5044</v>
      </c>
      <c r="B489" s="24" t="str">
        <f>"NVST"</f>
        <v>NVST</v>
      </c>
      <c r="C489" s="24" t="str">
        <f t="shared" si="7"/>
        <v>'NVST'</v>
      </c>
      <c r="D489" s="24" t="s">
        <v>6017</v>
      </c>
      <c r="E489" s="24">
        <v>1.3565</v>
      </c>
      <c r="F489" s="24">
        <v>1.0855999999999999</v>
      </c>
      <c r="G489" s="24">
        <v>5369072574.46</v>
      </c>
      <c r="H489" s="24">
        <v>1</v>
      </c>
      <c r="I489" s="24" t="s">
        <v>6018</v>
      </c>
    </row>
    <row r="490" spans="1:9" x14ac:dyDescent="0.35">
      <c r="A490" s="24" t="s">
        <v>5044</v>
      </c>
      <c r="B490" s="24" t="str">
        <f>"PNW"</f>
        <v>PNW</v>
      </c>
      <c r="C490" s="24" t="str">
        <f t="shared" si="7"/>
        <v>'PNW'</v>
      </c>
      <c r="D490" s="24" t="s">
        <v>6019</v>
      </c>
      <c r="E490" s="24">
        <v>1.3555999999999999</v>
      </c>
      <c r="F490" s="24">
        <v>0.97850000000000004</v>
      </c>
      <c r="G490" s="24">
        <v>8332775950.9499998</v>
      </c>
      <c r="H490" s="24">
        <v>3</v>
      </c>
      <c r="I490" s="24" t="s">
        <v>6020</v>
      </c>
    </row>
    <row r="491" spans="1:9" x14ac:dyDescent="0.35">
      <c r="A491" s="24" t="s">
        <v>5044</v>
      </c>
      <c r="B491" s="24" t="str">
        <f>"TAL"</f>
        <v>TAL</v>
      </c>
      <c r="C491" s="24" t="str">
        <f t="shared" si="7"/>
        <v>'TAL'</v>
      </c>
      <c r="D491" s="24" t="s">
        <v>6021</v>
      </c>
      <c r="E491" s="24">
        <v>1.3548</v>
      </c>
      <c r="F491" s="24">
        <v>4.5919999999999996</v>
      </c>
      <c r="G491" s="24">
        <v>5237601806.25</v>
      </c>
      <c r="H491" s="24">
        <v>200</v>
      </c>
      <c r="I491" s="24" t="s">
        <v>6022</v>
      </c>
    </row>
    <row r="492" spans="1:9" x14ac:dyDescent="0.35">
      <c r="A492" s="24" t="s">
        <v>5049</v>
      </c>
      <c r="B492" s="24" t="str">
        <f>"COIN"</f>
        <v>COIN</v>
      </c>
      <c r="C492" s="24" t="str">
        <f t="shared" si="7"/>
        <v>'COIN'</v>
      </c>
      <c r="D492" s="24" t="s">
        <v>6023</v>
      </c>
      <c r="E492" s="24">
        <v>1.3526</v>
      </c>
      <c r="F492" s="24">
        <v>1.0548999999999999</v>
      </c>
      <c r="G492" s="24">
        <v>7610157205.0699997</v>
      </c>
      <c r="H492" s="24">
        <v>21</v>
      </c>
      <c r="I492" s="24" t="s">
        <v>6024</v>
      </c>
    </row>
    <row r="493" spans="1:9" x14ac:dyDescent="0.35">
      <c r="A493" s="24" t="s">
        <v>5049</v>
      </c>
      <c r="B493" s="24" t="str">
        <f>"AZTA"</f>
        <v>AZTA</v>
      </c>
      <c r="C493" s="24" t="str">
        <f t="shared" si="7"/>
        <v>'AZTA'</v>
      </c>
      <c r="D493" s="24" t="s">
        <v>6025</v>
      </c>
      <c r="E493" s="24">
        <v>1.341</v>
      </c>
      <c r="F493" s="24">
        <v>10.6675</v>
      </c>
      <c r="G493" s="24">
        <v>4510264803.1499996</v>
      </c>
      <c r="H493" s="24">
        <v>3</v>
      </c>
      <c r="I493" s="24" t="s">
        <v>6026</v>
      </c>
    </row>
    <row r="494" spans="1:9" x14ac:dyDescent="0.35">
      <c r="A494" s="24" t="s">
        <v>5044</v>
      </c>
      <c r="B494" s="24" t="str">
        <f>"JLL"</f>
        <v>JLL</v>
      </c>
      <c r="C494" s="24" t="str">
        <f t="shared" si="7"/>
        <v>'JLL'</v>
      </c>
      <c r="D494" s="24" t="s">
        <v>6027</v>
      </c>
      <c r="E494" s="24">
        <v>1.3367</v>
      </c>
      <c r="F494" s="24">
        <v>1.1788000000000001</v>
      </c>
      <c r="G494" s="24">
        <v>7715039778.1999998</v>
      </c>
      <c r="H494" s="24">
        <v>4</v>
      </c>
      <c r="I494" s="24" t="s">
        <v>6028</v>
      </c>
    </row>
    <row r="495" spans="1:9" x14ac:dyDescent="0.35">
      <c r="A495" s="24" t="s">
        <v>5044</v>
      </c>
      <c r="B495" s="24" t="str">
        <f>"MTX"</f>
        <v>MTX</v>
      </c>
      <c r="C495" s="24" t="str">
        <f t="shared" si="7"/>
        <v>'MTX'</v>
      </c>
      <c r="D495" s="24" t="s">
        <v>6029</v>
      </c>
      <c r="E495" s="24">
        <v>1.3366</v>
      </c>
      <c r="F495" s="24">
        <v>2.1753</v>
      </c>
      <c r="G495" s="24">
        <v>2005426253.4000001</v>
      </c>
      <c r="H495" s="24">
        <v>0</v>
      </c>
      <c r="I495" s="24" t="s">
        <v>6030</v>
      </c>
    </row>
    <row r="496" spans="1:9" x14ac:dyDescent="0.35">
      <c r="A496" s="24" t="s">
        <v>5044</v>
      </c>
      <c r="B496" s="24" t="str">
        <f>"UGI"</f>
        <v>UGI</v>
      </c>
      <c r="C496" s="24" t="str">
        <f t="shared" si="7"/>
        <v>'UGI'</v>
      </c>
      <c r="D496" s="24" t="s">
        <v>6031</v>
      </c>
      <c r="E496" s="24">
        <v>1.3343</v>
      </c>
      <c r="F496" s="24">
        <v>1.5556000000000001</v>
      </c>
      <c r="G496" s="24">
        <v>7993394998.3999996</v>
      </c>
      <c r="H496" s="24">
        <v>1</v>
      </c>
      <c r="I496" s="24" t="s">
        <v>6032</v>
      </c>
    </row>
    <row r="497" spans="1:9" x14ac:dyDescent="0.35">
      <c r="A497" s="24" t="s">
        <v>5049</v>
      </c>
      <c r="B497" s="24" t="str">
        <f>"PENN"</f>
        <v>PENN</v>
      </c>
      <c r="C497" s="24" t="str">
        <f t="shared" si="7"/>
        <v>'PENN'</v>
      </c>
      <c r="D497" s="24" t="s">
        <v>6033</v>
      </c>
      <c r="E497" s="24">
        <v>1.3331</v>
      </c>
      <c r="F497" s="24">
        <v>1.7927</v>
      </c>
      <c r="G497" s="24">
        <v>4821886689.3500004</v>
      </c>
      <c r="H497" s="24">
        <v>3</v>
      </c>
      <c r="I497" s="24" t="s">
        <v>6034</v>
      </c>
    </row>
    <row r="498" spans="1:9" x14ac:dyDescent="0.35">
      <c r="A498" s="24" t="s">
        <v>5044</v>
      </c>
      <c r="B498" s="24" t="str">
        <f>"FMX"</f>
        <v>FMX</v>
      </c>
      <c r="C498" s="24" t="str">
        <f t="shared" si="7"/>
        <v>'FMX'</v>
      </c>
      <c r="D498" s="24" t="s">
        <v>6035</v>
      </c>
      <c r="E498" s="24">
        <v>1.3305</v>
      </c>
      <c r="G498" s="24">
        <v>16982534916.66</v>
      </c>
      <c r="H498" s="24">
        <v>1</v>
      </c>
      <c r="I498" s="24" t="s">
        <v>6036</v>
      </c>
    </row>
    <row r="499" spans="1:9" x14ac:dyDescent="0.35">
      <c r="A499" s="24" t="s">
        <v>5044</v>
      </c>
      <c r="B499" s="24" t="str">
        <f>"SBS"</f>
        <v>SBS</v>
      </c>
      <c r="C499" s="24" t="str">
        <f t="shared" si="7"/>
        <v>'SBS'</v>
      </c>
      <c r="D499" s="24" t="s">
        <v>6037</v>
      </c>
      <c r="E499" s="24">
        <v>1.321</v>
      </c>
      <c r="G499" s="24">
        <v>6978635762.4899998</v>
      </c>
      <c r="H499" s="24">
        <v>0</v>
      </c>
      <c r="I499" s="24" t="s">
        <v>6038</v>
      </c>
    </row>
    <row r="500" spans="1:9" x14ac:dyDescent="0.35">
      <c r="A500" s="24" t="s">
        <v>5044</v>
      </c>
      <c r="B500" s="24" t="str">
        <f>"MOS"</f>
        <v>MOS</v>
      </c>
      <c r="C500" s="24" t="str">
        <f t="shared" si="7"/>
        <v>'MOS'</v>
      </c>
      <c r="D500" s="24" t="s">
        <v>6039</v>
      </c>
      <c r="E500" s="24">
        <v>1.3198000000000001</v>
      </c>
      <c r="F500" s="24">
        <v>1.3449</v>
      </c>
      <c r="G500" s="24">
        <v>15216097409.459999</v>
      </c>
      <c r="H500" s="24">
        <v>8</v>
      </c>
      <c r="I500" s="24" t="s">
        <v>6040</v>
      </c>
    </row>
    <row r="501" spans="1:9" x14ac:dyDescent="0.35">
      <c r="A501" s="24" t="s">
        <v>5044</v>
      </c>
      <c r="B501" s="24" t="str">
        <f>"RRX"</f>
        <v>RRX</v>
      </c>
      <c r="C501" s="24" t="str">
        <f t="shared" si="7"/>
        <v>'RRX'</v>
      </c>
      <c r="D501" s="24" t="s">
        <v>6041</v>
      </c>
      <c r="E501" s="24">
        <v>1.3128</v>
      </c>
      <c r="F501" s="24">
        <v>2.8933</v>
      </c>
      <c r="G501" s="24">
        <v>8030098902.21</v>
      </c>
      <c r="H501" s="24">
        <v>1</v>
      </c>
      <c r="I501" s="24" t="s">
        <v>6042</v>
      </c>
    </row>
    <row r="502" spans="1:9" x14ac:dyDescent="0.35">
      <c r="A502" s="24" t="s">
        <v>5049</v>
      </c>
      <c r="B502" s="24" t="str">
        <f>"URBN"</f>
        <v>URBN</v>
      </c>
      <c r="C502" s="24" t="str">
        <f t="shared" si="7"/>
        <v>'URBN'</v>
      </c>
      <c r="D502" s="24" t="s">
        <v>6043</v>
      </c>
      <c r="E502" s="24">
        <v>1.3081</v>
      </c>
      <c r="F502" s="24">
        <v>1.3338000000000001</v>
      </c>
      <c r="G502" s="24">
        <v>2273975752.5</v>
      </c>
      <c r="H502" s="24">
        <v>3</v>
      </c>
      <c r="I502" s="24" t="s">
        <v>6044</v>
      </c>
    </row>
    <row r="503" spans="1:9" x14ac:dyDescent="0.35">
      <c r="A503" s="24" t="s">
        <v>5044</v>
      </c>
      <c r="B503" s="24" t="str">
        <f>"DCP"</f>
        <v>DCP</v>
      </c>
      <c r="C503" s="24" t="str">
        <f t="shared" si="7"/>
        <v>'DCP'</v>
      </c>
      <c r="D503" s="24" t="s">
        <v>6045</v>
      </c>
      <c r="E503" s="24">
        <v>1.3066</v>
      </c>
      <c r="F503" s="24">
        <v>0.82450000000000001</v>
      </c>
      <c r="G503" s="24">
        <v>8194152660.5600004</v>
      </c>
      <c r="H503" s="24">
        <v>3</v>
      </c>
      <c r="I503" s="24" t="s">
        <v>6046</v>
      </c>
    </row>
    <row r="504" spans="1:9" x14ac:dyDescent="0.35">
      <c r="A504" s="24" t="s">
        <v>5044</v>
      </c>
      <c r="B504" s="24" t="str">
        <f>"STNG"</f>
        <v>STNG</v>
      </c>
      <c r="C504" s="24" t="str">
        <f t="shared" si="7"/>
        <v>'STNG'</v>
      </c>
      <c r="D504" s="24" t="s">
        <v>6047</v>
      </c>
      <c r="E504" s="24">
        <v>1.2979000000000001</v>
      </c>
      <c r="F504" s="24">
        <v>1.5373000000000001</v>
      </c>
      <c r="G504" s="24">
        <v>2746307229.5700002</v>
      </c>
      <c r="H504" s="24">
        <v>0</v>
      </c>
      <c r="I504" s="24" t="s">
        <v>6048</v>
      </c>
    </row>
    <row r="505" spans="1:9" x14ac:dyDescent="0.35">
      <c r="A505" s="24" t="s">
        <v>5044</v>
      </c>
      <c r="B505" s="24" t="str">
        <f>"CLF"</f>
        <v>CLF</v>
      </c>
      <c r="C505" s="24" t="str">
        <f t="shared" si="7"/>
        <v>'CLF'</v>
      </c>
      <c r="D505" s="24" t="s">
        <v>6049</v>
      </c>
      <c r="E505" s="24">
        <v>1.2941</v>
      </c>
      <c r="F505" s="24">
        <v>2.3254000000000001</v>
      </c>
      <c r="G505" s="24">
        <v>9069323700.7999992</v>
      </c>
      <c r="H505" s="24">
        <v>2</v>
      </c>
      <c r="I505" s="24" t="s">
        <v>6050</v>
      </c>
    </row>
    <row r="506" spans="1:9" x14ac:dyDescent="0.35">
      <c r="A506" s="24" t="s">
        <v>5044</v>
      </c>
      <c r="B506" s="24" t="str">
        <f>"AUY"</f>
        <v>AUY</v>
      </c>
      <c r="C506" s="24" t="str">
        <f t="shared" si="7"/>
        <v>'AUY'</v>
      </c>
      <c r="D506" s="24" t="s">
        <v>6051</v>
      </c>
      <c r="E506" s="24">
        <v>1.2823</v>
      </c>
      <c r="F506" s="24">
        <v>1.9798</v>
      </c>
      <c r="G506" s="24">
        <v>5602460930</v>
      </c>
      <c r="H506" s="24">
        <v>2</v>
      </c>
      <c r="I506" s="24" t="s">
        <v>6052</v>
      </c>
    </row>
    <row r="507" spans="1:9" x14ac:dyDescent="0.35">
      <c r="A507" s="24" t="s">
        <v>5044</v>
      </c>
      <c r="B507" s="24" t="str">
        <f>"SHEL"</f>
        <v>SHEL</v>
      </c>
      <c r="C507" s="24" t="str">
        <f t="shared" si="7"/>
        <v>'SHEL'</v>
      </c>
      <c r="D507" s="24" t="s">
        <v>6053</v>
      </c>
      <c r="E507" s="24">
        <v>1.2822</v>
      </c>
      <c r="G507" s="24">
        <v>213157834273.95999</v>
      </c>
      <c r="H507" s="24">
        <v>11</v>
      </c>
      <c r="I507" s="24" t="s">
        <v>6054</v>
      </c>
    </row>
    <row r="508" spans="1:9" x14ac:dyDescent="0.35">
      <c r="A508" s="24" t="s">
        <v>5044</v>
      </c>
      <c r="B508" s="24" t="str">
        <f>"SM"</f>
        <v>SM</v>
      </c>
      <c r="C508" s="24" t="str">
        <f t="shared" si="7"/>
        <v>'SM'</v>
      </c>
      <c r="D508" s="24" t="s">
        <v>6055</v>
      </c>
      <c r="E508" s="24">
        <v>1.2813000000000001</v>
      </c>
      <c r="F508" s="24">
        <v>0.99229999999999996</v>
      </c>
      <c r="G508" s="24">
        <v>3650726447.5799999</v>
      </c>
      <c r="H508" s="24">
        <v>1</v>
      </c>
      <c r="I508" s="24" t="s">
        <v>6056</v>
      </c>
    </row>
    <row r="509" spans="1:9" x14ac:dyDescent="0.35">
      <c r="A509" s="24" t="s">
        <v>5044</v>
      </c>
      <c r="B509" s="24" t="str">
        <f>"KNX"</f>
        <v>KNX</v>
      </c>
      <c r="C509" s="24" t="str">
        <f t="shared" si="7"/>
        <v>'KNX'</v>
      </c>
      <c r="D509" s="24" t="s">
        <v>6057</v>
      </c>
      <c r="E509" s="24">
        <v>1.2759</v>
      </c>
      <c r="F509" s="24">
        <v>1.6160000000000001</v>
      </c>
      <c r="G509" s="24">
        <v>8659907440</v>
      </c>
      <c r="H509" s="24">
        <v>1</v>
      </c>
      <c r="I509" s="24" t="s">
        <v>6058</v>
      </c>
    </row>
    <row r="510" spans="1:9" x14ac:dyDescent="0.35">
      <c r="A510" s="24" t="s">
        <v>5044</v>
      </c>
      <c r="B510" s="24" t="str">
        <f>"TEVA"</f>
        <v>TEVA</v>
      </c>
      <c r="C510" s="24" t="str">
        <f t="shared" si="7"/>
        <v>'TEVA'</v>
      </c>
      <c r="D510" s="24" t="s">
        <v>6059</v>
      </c>
      <c r="E510" s="24">
        <v>1.2628999999999999</v>
      </c>
      <c r="F510" s="24">
        <v>0.99299999999999999</v>
      </c>
      <c r="G510" s="24">
        <v>11073128745.73</v>
      </c>
      <c r="H510" s="24">
        <v>9</v>
      </c>
      <c r="I510" s="24" t="s">
        <v>6060</v>
      </c>
    </row>
    <row r="511" spans="1:9" x14ac:dyDescent="0.35">
      <c r="A511" s="24" t="s">
        <v>5044</v>
      </c>
      <c r="B511" s="24" t="str">
        <f>"GGB"</f>
        <v>GGB</v>
      </c>
      <c r="C511" s="24" t="str">
        <f t="shared" si="7"/>
        <v>'GGB'</v>
      </c>
      <c r="D511" s="24" t="s">
        <v>6061</v>
      </c>
      <c r="E511" s="24">
        <v>1.2605</v>
      </c>
      <c r="G511" s="24">
        <v>9698875225.9200001</v>
      </c>
      <c r="H511" s="24">
        <v>3</v>
      </c>
      <c r="I511" s="24" t="s">
        <v>6062</v>
      </c>
    </row>
    <row r="512" spans="1:9" x14ac:dyDescent="0.35">
      <c r="A512" s="24" t="s">
        <v>5049</v>
      </c>
      <c r="B512" s="24" t="str">
        <f>"MEOH"</f>
        <v>MEOH</v>
      </c>
      <c r="C512" s="24" t="str">
        <f t="shared" si="7"/>
        <v>'MEOH'</v>
      </c>
      <c r="D512" s="24" t="s">
        <v>6063</v>
      </c>
      <c r="E512" s="24">
        <v>1.2599</v>
      </c>
      <c r="F512" s="24">
        <v>2.1467999999999998</v>
      </c>
      <c r="G512" s="24">
        <v>2690682162.5999999</v>
      </c>
      <c r="H512" s="24">
        <v>2</v>
      </c>
      <c r="I512" s="24" t="s">
        <v>6064</v>
      </c>
    </row>
    <row r="513" spans="1:9" x14ac:dyDescent="0.35">
      <c r="A513" s="24" t="s">
        <v>5044</v>
      </c>
      <c r="B513" s="24" t="str">
        <f>"SWX"</f>
        <v>SWX</v>
      </c>
      <c r="C513" s="24" t="str">
        <f t="shared" si="7"/>
        <v>'SWX'</v>
      </c>
      <c r="D513" s="24" t="s">
        <v>6065</v>
      </c>
      <c r="E513" s="24">
        <v>1.2506999999999999</v>
      </c>
      <c r="F513" s="24">
        <v>1.3013999999999999</v>
      </c>
      <c r="G513" s="24">
        <v>4216553969.1399999</v>
      </c>
      <c r="H513" s="24">
        <v>0</v>
      </c>
      <c r="I513" s="24" t="s">
        <v>6066</v>
      </c>
    </row>
    <row r="514" spans="1:9" x14ac:dyDescent="0.35">
      <c r="A514" s="24" t="s">
        <v>5044</v>
      </c>
      <c r="B514" s="24" t="str">
        <f>"KEX"</f>
        <v>KEX</v>
      </c>
      <c r="C514" s="24" t="str">
        <f t="shared" si="7"/>
        <v>'KEX'</v>
      </c>
      <c r="D514" s="24" t="s">
        <v>6067</v>
      </c>
      <c r="E514" s="24">
        <v>1.2461</v>
      </c>
      <c r="F514" s="24">
        <v>1.9742</v>
      </c>
      <c r="G514" s="24">
        <v>3704815000</v>
      </c>
      <c r="H514" s="24">
        <v>0</v>
      </c>
      <c r="I514" s="24" t="s">
        <v>6068</v>
      </c>
    </row>
    <row r="515" spans="1:9" x14ac:dyDescent="0.35">
      <c r="A515" s="24" t="s">
        <v>5044</v>
      </c>
      <c r="B515" s="24" t="str">
        <f>"ATHM"</f>
        <v>ATHM</v>
      </c>
      <c r="C515" s="24" t="str">
        <f t="shared" ref="C515:C578" si="8">"'"&amp;B515&amp;"'"</f>
        <v>'ATHM'</v>
      </c>
      <c r="D515" s="24" t="s">
        <v>6069</v>
      </c>
      <c r="E515" s="24">
        <v>1.2447999999999999</v>
      </c>
      <c r="G515" s="24">
        <v>4342428803.6499996</v>
      </c>
      <c r="H515" s="24">
        <v>41</v>
      </c>
      <c r="I515" s="24" t="s">
        <v>6070</v>
      </c>
    </row>
    <row r="516" spans="1:9" x14ac:dyDescent="0.35">
      <c r="A516" s="24" t="s">
        <v>5044</v>
      </c>
      <c r="B516" s="24" t="str">
        <f>"ACA"</f>
        <v>ACA</v>
      </c>
      <c r="C516" s="24" t="str">
        <f t="shared" si="8"/>
        <v>'ACA'</v>
      </c>
      <c r="D516" s="24" t="s">
        <v>6071</v>
      </c>
      <c r="E516" s="24">
        <v>1.2419</v>
      </c>
      <c r="F516" s="24">
        <v>2.1795</v>
      </c>
      <c r="G516" s="24">
        <v>2519752161.2399998</v>
      </c>
      <c r="H516" s="24">
        <v>1</v>
      </c>
      <c r="I516" s="24" t="s">
        <v>6072</v>
      </c>
    </row>
    <row r="517" spans="1:9" x14ac:dyDescent="0.35">
      <c r="A517" s="24" t="s">
        <v>5044</v>
      </c>
      <c r="B517" s="24" t="str">
        <f>"ARW"</f>
        <v>ARW</v>
      </c>
      <c r="C517" s="24" t="str">
        <f t="shared" si="8"/>
        <v>'ARW'</v>
      </c>
      <c r="D517" s="24" t="s">
        <v>6073</v>
      </c>
      <c r="E517" s="24">
        <v>1.2396</v>
      </c>
      <c r="F517" s="24">
        <v>1.5004</v>
      </c>
      <c r="G517" s="24">
        <v>6502652930.04</v>
      </c>
      <c r="H517" s="24">
        <v>2</v>
      </c>
      <c r="I517" s="24" t="s">
        <v>6074</v>
      </c>
    </row>
    <row r="518" spans="1:9" x14ac:dyDescent="0.35">
      <c r="A518" s="24" t="s">
        <v>5044</v>
      </c>
      <c r="B518" s="24" t="str">
        <f>"SWK"</f>
        <v>SWK</v>
      </c>
      <c r="C518" s="24" t="str">
        <f t="shared" si="8"/>
        <v>'SWK'</v>
      </c>
      <c r="D518" s="24" t="s">
        <v>6075</v>
      </c>
      <c r="E518" s="24">
        <v>1.234</v>
      </c>
      <c r="F518" s="24">
        <v>1.1574</v>
      </c>
      <c r="G518" s="24">
        <v>11634142051.040001</v>
      </c>
      <c r="H518" s="24">
        <v>6</v>
      </c>
      <c r="I518" s="24" t="s">
        <v>6076</v>
      </c>
    </row>
    <row r="519" spans="1:9" x14ac:dyDescent="0.35">
      <c r="A519" s="24" t="s">
        <v>5044</v>
      </c>
      <c r="B519" s="24" t="str">
        <f>"UNFI"</f>
        <v>UNFI</v>
      </c>
      <c r="C519" s="24" t="str">
        <f t="shared" si="8"/>
        <v>'UNFI'</v>
      </c>
      <c r="D519" s="24" t="s">
        <v>6077</v>
      </c>
      <c r="E519" s="24">
        <v>1.2331000000000001</v>
      </c>
      <c r="F519" s="24">
        <v>1.6998</v>
      </c>
      <c r="G519" s="24">
        <v>2262827632.5599999</v>
      </c>
      <c r="H519" s="24">
        <v>0</v>
      </c>
      <c r="I519" s="24" t="s">
        <v>6078</v>
      </c>
    </row>
    <row r="520" spans="1:9" x14ac:dyDescent="0.35">
      <c r="A520" s="24" t="s">
        <v>5049</v>
      </c>
      <c r="B520" s="24" t="str">
        <f>"WOOF"</f>
        <v>WOOF</v>
      </c>
      <c r="C520" s="24" t="str">
        <f t="shared" si="8"/>
        <v>'WOOF'</v>
      </c>
      <c r="D520" s="24" t="s">
        <v>6079</v>
      </c>
      <c r="E520" s="24">
        <v>1.2316</v>
      </c>
      <c r="F520" s="24">
        <v>0.96389999999999998</v>
      </c>
      <c r="G520" s="24">
        <v>2867030112.48</v>
      </c>
      <c r="H520" s="24">
        <v>0</v>
      </c>
      <c r="I520" s="24" t="s">
        <v>6080</v>
      </c>
    </row>
    <row r="521" spans="1:9" x14ac:dyDescent="0.35">
      <c r="A521" s="24" t="s">
        <v>5049</v>
      </c>
      <c r="B521" s="24" t="str">
        <f>"AHCO"</f>
        <v>AHCO</v>
      </c>
      <c r="C521" s="24" t="str">
        <f t="shared" si="8"/>
        <v>'AHCO'</v>
      </c>
      <c r="D521" s="24" t="s">
        <v>6081</v>
      </c>
      <c r="E521" s="24">
        <v>1.2258</v>
      </c>
      <c r="F521" s="24">
        <v>1.3533999999999999</v>
      </c>
      <c r="G521" s="24">
        <v>2640740634</v>
      </c>
      <c r="H521" s="24">
        <v>0</v>
      </c>
      <c r="I521" s="24" t="s">
        <v>6082</v>
      </c>
    </row>
    <row r="522" spans="1:9" x14ac:dyDescent="0.35">
      <c r="A522" s="24" t="s">
        <v>5044</v>
      </c>
      <c r="B522" s="24" t="str">
        <f>"WDS"</f>
        <v>WDS</v>
      </c>
      <c r="C522" s="24" t="str">
        <f t="shared" si="8"/>
        <v>'WDS'</v>
      </c>
      <c r="D522" s="24" t="s">
        <v>6083</v>
      </c>
      <c r="E522" s="24">
        <v>1.2231000000000001</v>
      </c>
      <c r="G522" s="24">
        <v>43699274938.129997</v>
      </c>
      <c r="H522" s="24">
        <v>0</v>
      </c>
      <c r="I522" s="24" t="s">
        <v>6084</v>
      </c>
    </row>
    <row r="523" spans="1:9" x14ac:dyDescent="0.35">
      <c r="A523" s="24" t="s">
        <v>5049</v>
      </c>
      <c r="B523" s="24" t="str">
        <f>"QDEL"</f>
        <v>QDEL</v>
      </c>
      <c r="C523" s="24" t="str">
        <f t="shared" si="8"/>
        <v>'QDEL'</v>
      </c>
      <c r="D523" s="24" t="s">
        <v>6085</v>
      </c>
      <c r="E523" s="24">
        <v>1.2222</v>
      </c>
      <c r="F523" s="24">
        <v>1.6559999999999999</v>
      </c>
      <c r="G523" s="24">
        <v>5860865068.9200001</v>
      </c>
      <c r="H523" s="24">
        <v>0</v>
      </c>
      <c r="I523" s="24" t="s">
        <v>6086</v>
      </c>
    </row>
    <row r="524" spans="1:9" x14ac:dyDescent="0.35">
      <c r="A524" s="24" t="s">
        <v>5044</v>
      </c>
      <c r="B524" s="24" t="str">
        <f>"GPN"</f>
        <v>GPN</v>
      </c>
      <c r="C524" s="24" t="str">
        <f t="shared" si="8"/>
        <v>'GPN'</v>
      </c>
      <c r="D524" s="24" t="s">
        <v>6087</v>
      </c>
      <c r="E524" s="24">
        <v>1.2204999999999999</v>
      </c>
      <c r="F524" s="24">
        <v>0.9607</v>
      </c>
      <c r="G524" s="24">
        <v>27575508869.080002</v>
      </c>
      <c r="H524" s="24">
        <v>5</v>
      </c>
      <c r="I524" s="24" t="s">
        <v>6088</v>
      </c>
    </row>
    <row r="525" spans="1:9" x14ac:dyDescent="0.35">
      <c r="A525" s="24" t="s">
        <v>5049</v>
      </c>
      <c r="B525" s="24" t="str">
        <f>"CHRD"</f>
        <v>CHRD</v>
      </c>
      <c r="C525" s="24" t="str">
        <f t="shared" si="8"/>
        <v>'CHRD'</v>
      </c>
      <c r="D525" s="24" t="s">
        <v>6089</v>
      </c>
      <c r="E525" s="24">
        <v>1.2202999999999999</v>
      </c>
      <c r="F525" s="24">
        <v>0.97660000000000002</v>
      </c>
      <c r="G525" s="24">
        <v>5269425736.6000004</v>
      </c>
      <c r="H525" s="24">
        <v>1</v>
      </c>
      <c r="I525" s="24" t="s">
        <v>6090</v>
      </c>
    </row>
    <row r="526" spans="1:9" x14ac:dyDescent="0.35">
      <c r="A526" s="24" t="s">
        <v>5044</v>
      </c>
      <c r="B526" s="24" t="str">
        <f>"BTI"</f>
        <v>BTI</v>
      </c>
      <c r="C526" s="24" t="str">
        <f t="shared" si="8"/>
        <v>'BTI'</v>
      </c>
      <c r="D526" s="24" t="s">
        <v>6091</v>
      </c>
      <c r="E526" s="24">
        <v>1.2163999999999999</v>
      </c>
      <c r="G526" s="24">
        <v>98682336543.960007</v>
      </c>
      <c r="H526" s="24">
        <v>17</v>
      </c>
      <c r="I526" s="24" t="s">
        <v>6092</v>
      </c>
    </row>
    <row r="527" spans="1:9" x14ac:dyDescent="0.35">
      <c r="A527" s="24" t="s">
        <v>5049</v>
      </c>
      <c r="B527" s="24" t="str">
        <f>"MU"</f>
        <v>MU</v>
      </c>
      <c r="C527" s="24" t="str">
        <f t="shared" si="8"/>
        <v>'MU'</v>
      </c>
      <c r="D527" s="24" t="s">
        <v>6093</v>
      </c>
      <c r="E527" s="24">
        <v>1.2138</v>
      </c>
      <c r="F527" s="24">
        <v>3.5127999999999999</v>
      </c>
      <c r="G527" s="24">
        <v>59698269159.919998</v>
      </c>
      <c r="H527" s="24">
        <v>65</v>
      </c>
      <c r="I527" s="24" t="s">
        <v>6094</v>
      </c>
    </row>
    <row r="528" spans="1:9" x14ac:dyDescent="0.35">
      <c r="A528" s="24" t="s">
        <v>5044</v>
      </c>
      <c r="B528" s="24" t="str">
        <f>"FRO"</f>
        <v>FRO</v>
      </c>
      <c r="C528" s="24" t="str">
        <f t="shared" si="8"/>
        <v>'FRO'</v>
      </c>
      <c r="D528" s="24" t="s">
        <v>6095</v>
      </c>
      <c r="E528" s="24">
        <v>1.2018</v>
      </c>
      <c r="F528" s="24">
        <v>1.0570999999999999</v>
      </c>
      <c r="G528" s="24">
        <v>2255123247.3200002</v>
      </c>
      <c r="H528" s="24">
        <v>0</v>
      </c>
      <c r="I528" s="24" t="s">
        <v>6096</v>
      </c>
    </row>
    <row r="529" spans="1:9" x14ac:dyDescent="0.35">
      <c r="A529" s="24" t="s">
        <v>5044</v>
      </c>
      <c r="B529" s="24" t="str">
        <f>"F"</f>
        <v>F</v>
      </c>
      <c r="C529" s="24" t="str">
        <f t="shared" si="8"/>
        <v>'F'</v>
      </c>
      <c r="D529" s="24" t="s">
        <v>6097</v>
      </c>
      <c r="E529" s="24">
        <v>1.1860999999999999</v>
      </c>
      <c r="F529" s="24">
        <v>1.1988000000000001</v>
      </c>
      <c r="G529" s="24">
        <v>49251052712.75</v>
      </c>
      <c r="H529" s="24">
        <v>23</v>
      </c>
      <c r="I529" s="24" t="s">
        <v>6098</v>
      </c>
    </row>
    <row r="530" spans="1:9" x14ac:dyDescent="0.35">
      <c r="A530" s="24" t="s">
        <v>5044</v>
      </c>
      <c r="B530" s="24" t="str">
        <f>"GPI"</f>
        <v>GPI</v>
      </c>
      <c r="C530" s="24" t="str">
        <f t="shared" si="8"/>
        <v>'GPI'</v>
      </c>
      <c r="D530" s="24" t="s">
        <v>6099</v>
      </c>
      <c r="E530" s="24">
        <v>1.1858</v>
      </c>
      <c r="F530" s="24">
        <v>1.0290999999999999</v>
      </c>
      <c r="G530" s="24">
        <v>2618702340.8000002</v>
      </c>
      <c r="H530" s="24">
        <v>1</v>
      </c>
      <c r="I530" s="24" t="s">
        <v>6100</v>
      </c>
    </row>
    <row r="531" spans="1:9" x14ac:dyDescent="0.35">
      <c r="A531" s="24" t="s">
        <v>5044</v>
      </c>
      <c r="B531" s="24" t="str">
        <f>"TSN"</f>
        <v>TSN</v>
      </c>
      <c r="C531" s="24" t="str">
        <f t="shared" si="8"/>
        <v>'TSN'</v>
      </c>
      <c r="D531" s="24" t="s">
        <v>6101</v>
      </c>
      <c r="E531" s="24">
        <v>1.1850000000000001</v>
      </c>
      <c r="F531" s="24">
        <v>1.8125</v>
      </c>
      <c r="G531" s="24">
        <v>23143168055.959999</v>
      </c>
      <c r="H531" s="24">
        <v>15</v>
      </c>
      <c r="I531" s="24" t="s">
        <v>6102</v>
      </c>
    </row>
    <row r="532" spans="1:9" x14ac:dyDescent="0.35">
      <c r="A532" s="24" t="s">
        <v>5049</v>
      </c>
      <c r="B532" s="24" t="str">
        <f>"FWONA"</f>
        <v>FWONA</v>
      </c>
      <c r="C532" s="24" t="str">
        <f t="shared" si="8"/>
        <v>'FWONA'</v>
      </c>
      <c r="D532" s="24" t="s">
        <v>6103</v>
      </c>
      <c r="E532" s="24">
        <v>1.1807000000000001</v>
      </c>
      <c r="F532" s="24">
        <v>0.95340000000000003</v>
      </c>
      <c r="G532" s="24">
        <v>18105587400.48</v>
      </c>
      <c r="H532" s="24">
        <v>0</v>
      </c>
      <c r="I532" s="24" t="s">
        <v>6104</v>
      </c>
    </row>
    <row r="533" spans="1:9" x14ac:dyDescent="0.35">
      <c r="A533" s="24" t="s">
        <v>5044</v>
      </c>
      <c r="B533" s="24" t="str">
        <f>"SNX"</f>
        <v>SNX</v>
      </c>
      <c r="C533" s="24" t="str">
        <f t="shared" si="8"/>
        <v>'SNX'</v>
      </c>
      <c r="D533" s="24" t="s">
        <v>6105</v>
      </c>
      <c r="E533" s="24">
        <v>1.1806000000000001</v>
      </c>
      <c r="F533" s="24">
        <v>1.248</v>
      </c>
      <c r="G533" s="24">
        <v>9141312125.5200005</v>
      </c>
      <c r="H533" s="24">
        <v>2</v>
      </c>
      <c r="I533" s="24" t="s">
        <v>6106</v>
      </c>
    </row>
    <row r="534" spans="1:9" x14ac:dyDescent="0.35">
      <c r="A534" s="24" t="s">
        <v>5049</v>
      </c>
      <c r="B534" s="24" t="str">
        <f>"NTCT"</f>
        <v>NTCT</v>
      </c>
      <c r="C534" s="24" t="str">
        <f t="shared" si="8"/>
        <v>'NTCT'</v>
      </c>
      <c r="D534" s="24" t="s">
        <v>6107</v>
      </c>
      <c r="E534" s="24">
        <v>1.1767000000000001</v>
      </c>
      <c r="F534" s="24">
        <v>1.4629000000000001</v>
      </c>
      <c r="G534" s="24">
        <v>2280084990.8400002</v>
      </c>
      <c r="H534" s="24">
        <v>2</v>
      </c>
      <c r="I534" s="24" t="s">
        <v>6108</v>
      </c>
    </row>
    <row r="535" spans="1:9" x14ac:dyDescent="0.35">
      <c r="A535" s="24" t="s">
        <v>5044</v>
      </c>
      <c r="B535" s="24" t="str">
        <f>"THO"</f>
        <v>THO</v>
      </c>
      <c r="C535" s="24" t="str">
        <f t="shared" si="8"/>
        <v>'THO'</v>
      </c>
      <c r="D535" s="24" t="s">
        <v>6109</v>
      </c>
      <c r="E535" s="24">
        <v>1.1578999999999999</v>
      </c>
      <c r="F535" s="24">
        <v>1.8458000000000001</v>
      </c>
      <c r="G535" s="24">
        <v>4189446575.8000002</v>
      </c>
      <c r="H535" s="24">
        <v>3</v>
      </c>
      <c r="I535" s="24" t="s">
        <v>6110</v>
      </c>
    </row>
    <row r="536" spans="1:9" x14ac:dyDescent="0.35">
      <c r="A536" s="24" t="s">
        <v>5049</v>
      </c>
      <c r="B536" s="24" t="str">
        <f>"INTC"</f>
        <v>INTC</v>
      </c>
      <c r="C536" s="24" t="str">
        <f t="shared" si="8"/>
        <v>'INTC'</v>
      </c>
      <c r="D536" s="24" t="s">
        <v>6111</v>
      </c>
      <c r="E536" s="24">
        <v>1.1560999999999999</v>
      </c>
      <c r="F536" s="24">
        <v>1.7712000000000001</v>
      </c>
      <c r="G536" s="24">
        <v>113740120000</v>
      </c>
      <c r="H536" s="24">
        <v>161</v>
      </c>
      <c r="I536" s="24" t="s">
        <v>6112</v>
      </c>
    </row>
    <row r="537" spans="1:9" x14ac:dyDescent="0.35">
      <c r="A537" s="24" t="s">
        <v>5044</v>
      </c>
      <c r="B537" s="24" t="str">
        <f>"GTES"</f>
        <v>GTES</v>
      </c>
      <c r="C537" s="24" t="str">
        <f t="shared" si="8"/>
        <v>'GTES'</v>
      </c>
      <c r="D537" s="24" t="s">
        <v>6113</v>
      </c>
      <c r="E537" s="24">
        <v>1.1554</v>
      </c>
      <c r="F537" s="24">
        <v>2.9689000000000001</v>
      </c>
      <c r="G537" s="24">
        <v>3392205199.9299998</v>
      </c>
      <c r="H537" s="24">
        <v>0</v>
      </c>
      <c r="I537" s="24" t="s">
        <v>6114</v>
      </c>
    </row>
    <row r="538" spans="1:9" x14ac:dyDescent="0.35">
      <c r="A538" s="24" t="s">
        <v>5044</v>
      </c>
      <c r="B538" s="24" t="str">
        <f>"ET"</f>
        <v>ET</v>
      </c>
      <c r="C538" s="24" t="str">
        <f t="shared" si="8"/>
        <v>'ET'</v>
      </c>
      <c r="D538" s="24" t="s">
        <v>6115</v>
      </c>
      <c r="E538" s="24">
        <v>1.151</v>
      </c>
      <c r="F538" s="24">
        <v>1.0814999999999999</v>
      </c>
      <c r="G538" s="24">
        <v>36845508324.760002</v>
      </c>
      <c r="H538" s="24">
        <v>7</v>
      </c>
      <c r="I538" s="24" t="s">
        <v>6116</v>
      </c>
    </row>
    <row r="539" spans="1:9" x14ac:dyDescent="0.35">
      <c r="A539" s="24" t="s">
        <v>5049</v>
      </c>
      <c r="B539" s="24" t="str">
        <f>"CSIQ"</f>
        <v>CSIQ</v>
      </c>
      <c r="C539" s="24" t="str">
        <f t="shared" si="8"/>
        <v>'CSIQ'</v>
      </c>
      <c r="D539" s="24" t="s">
        <v>6117</v>
      </c>
      <c r="E539" s="24">
        <v>1.1478999999999999</v>
      </c>
      <c r="F539" s="24">
        <v>1.1669</v>
      </c>
      <c r="G539" s="24">
        <v>2048982640.2</v>
      </c>
      <c r="H539" s="24">
        <v>11</v>
      </c>
      <c r="I539" s="24" t="s">
        <v>6118</v>
      </c>
    </row>
    <row r="540" spans="1:9" x14ac:dyDescent="0.35">
      <c r="A540" s="24" t="s">
        <v>5044</v>
      </c>
      <c r="B540" s="24" t="str">
        <f>"SAVE"</f>
        <v>SAVE</v>
      </c>
      <c r="C540" s="24" t="str">
        <f t="shared" si="8"/>
        <v>'SAVE'</v>
      </c>
      <c r="D540" s="24" t="s">
        <v>6119</v>
      </c>
      <c r="E540" s="24">
        <v>1.1467000000000001</v>
      </c>
      <c r="F540" s="24">
        <v>0.92930000000000001</v>
      </c>
      <c r="G540" s="24">
        <v>2109651799.5599999</v>
      </c>
      <c r="H540" s="24">
        <v>2</v>
      </c>
      <c r="I540" s="24" t="s">
        <v>6120</v>
      </c>
    </row>
    <row r="541" spans="1:9" x14ac:dyDescent="0.35">
      <c r="A541" s="24" t="s">
        <v>5044</v>
      </c>
      <c r="B541" s="24" t="str">
        <f>"E"</f>
        <v>E</v>
      </c>
      <c r="C541" s="24" t="str">
        <f t="shared" si="8"/>
        <v>'E'</v>
      </c>
      <c r="D541" s="24" t="s">
        <v>6121</v>
      </c>
      <c r="E541" s="24">
        <v>1.1417999999999999</v>
      </c>
      <c r="G541" s="24">
        <v>51992677708.160004</v>
      </c>
      <c r="H541" s="24">
        <v>11</v>
      </c>
      <c r="I541" s="24" t="s">
        <v>6122</v>
      </c>
    </row>
    <row r="542" spans="1:9" x14ac:dyDescent="0.35">
      <c r="A542" s="24" t="s">
        <v>5044</v>
      </c>
      <c r="B542" s="24" t="str">
        <f>"DINO"</f>
        <v>DINO</v>
      </c>
      <c r="C542" s="24" t="str">
        <f t="shared" si="8"/>
        <v>'DINO'</v>
      </c>
      <c r="D542" s="24" t="s">
        <v>6123</v>
      </c>
      <c r="E542" s="24">
        <v>1.1363000000000001</v>
      </c>
      <c r="F542" s="24">
        <v>2.1057999999999999</v>
      </c>
      <c r="G542" s="24">
        <v>10152950510.879999</v>
      </c>
      <c r="H542" s="24">
        <v>0</v>
      </c>
      <c r="I542" s="24" t="s">
        <v>6124</v>
      </c>
    </row>
    <row r="543" spans="1:9" x14ac:dyDescent="0.35">
      <c r="A543" s="24" t="s">
        <v>5044</v>
      </c>
      <c r="B543" s="24" t="str">
        <f>"LAD"</f>
        <v>LAD</v>
      </c>
      <c r="C543" s="24" t="str">
        <f t="shared" si="8"/>
        <v>'LAD'</v>
      </c>
      <c r="D543" s="24" t="s">
        <v>6125</v>
      </c>
      <c r="E543" s="24">
        <v>1.1348</v>
      </c>
      <c r="F543" s="24">
        <v>1.6565000000000001</v>
      </c>
      <c r="G543" s="24">
        <v>5629525593.1199999</v>
      </c>
      <c r="H543" s="24">
        <v>6</v>
      </c>
      <c r="I543" s="24" t="s">
        <v>6126</v>
      </c>
    </row>
    <row r="544" spans="1:9" x14ac:dyDescent="0.35">
      <c r="A544" s="24" t="s">
        <v>5044</v>
      </c>
      <c r="B544" s="24" t="str">
        <f>"PBF"</f>
        <v>PBF</v>
      </c>
      <c r="C544" s="24" t="str">
        <f t="shared" si="8"/>
        <v>'PBF'</v>
      </c>
      <c r="D544" s="24" t="s">
        <v>6127</v>
      </c>
      <c r="E544" s="24">
        <v>1.1249</v>
      </c>
      <c r="F544" s="24">
        <v>1.2117</v>
      </c>
      <c r="G544" s="24">
        <v>4690058977.5600004</v>
      </c>
      <c r="H544" s="24">
        <v>4</v>
      </c>
      <c r="I544" s="24" t="s">
        <v>6128</v>
      </c>
    </row>
    <row r="545" spans="1:9" x14ac:dyDescent="0.35">
      <c r="A545" s="24" t="s">
        <v>5049</v>
      </c>
      <c r="B545" s="24" t="str">
        <f>"STNE"</f>
        <v>STNE</v>
      </c>
      <c r="C545" s="24" t="str">
        <f t="shared" si="8"/>
        <v>'STNE'</v>
      </c>
      <c r="D545" s="24" t="s">
        <v>6129</v>
      </c>
      <c r="E545" s="24">
        <v>1.1194</v>
      </c>
      <c r="F545" s="24">
        <v>1.2686999999999999</v>
      </c>
      <c r="G545" s="24">
        <v>2818747145.1999998</v>
      </c>
      <c r="H545" s="24">
        <v>6</v>
      </c>
      <c r="I545" s="24" t="s">
        <v>6130</v>
      </c>
    </row>
    <row r="546" spans="1:9" x14ac:dyDescent="0.35">
      <c r="A546" s="24" t="s">
        <v>5044</v>
      </c>
      <c r="B546" s="24" t="str">
        <f>"IBA"</f>
        <v>IBA</v>
      </c>
      <c r="C546" s="24" t="str">
        <f t="shared" si="8"/>
        <v>'IBA'</v>
      </c>
      <c r="D546" s="24" t="s">
        <v>6131</v>
      </c>
      <c r="E546" s="24">
        <v>1.0953999999999999</v>
      </c>
      <c r="G546" s="24">
        <v>2513904000</v>
      </c>
      <c r="H546" s="24">
        <v>1</v>
      </c>
      <c r="I546" s="24" t="s">
        <v>6132</v>
      </c>
    </row>
    <row r="547" spans="1:9" x14ac:dyDescent="0.35">
      <c r="A547" s="24" t="s">
        <v>5044</v>
      </c>
      <c r="B547" s="24" t="str">
        <f>"FL"</f>
        <v>FL</v>
      </c>
      <c r="C547" s="24" t="str">
        <f t="shared" si="8"/>
        <v>'FL'</v>
      </c>
      <c r="D547" s="24" t="s">
        <v>6133</v>
      </c>
      <c r="E547" s="24">
        <v>1.0941000000000001</v>
      </c>
      <c r="F547" s="24">
        <v>1.5361</v>
      </c>
      <c r="G547" s="24">
        <v>3565773515.6700001</v>
      </c>
      <c r="H547" s="24">
        <v>7</v>
      </c>
      <c r="I547" s="24" t="s">
        <v>6134</v>
      </c>
    </row>
    <row r="548" spans="1:9" x14ac:dyDescent="0.35">
      <c r="A548" s="24" t="s">
        <v>6135</v>
      </c>
      <c r="B548" s="24" t="str">
        <f>"BTEGF"</f>
        <v>BTEGF</v>
      </c>
      <c r="C548" s="24" t="str">
        <f t="shared" si="8"/>
        <v>'BTEGF'</v>
      </c>
      <c r="D548" s="24" t="s">
        <v>6136</v>
      </c>
      <c r="E548" s="24">
        <v>1.0922000000000001</v>
      </c>
      <c r="F548" s="24">
        <v>0.80879999999999996</v>
      </c>
      <c r="G548" s="24">
        <v>2268976900</v>
      </c>
      <c r="H548" s="24">
        <v>4</v>
      </c>
      <c r="I548" s="24" t="s">
        <v>6137</v>
      </c>
    </row>
    <row r="549" spans="1:9" x14ac:dyDescent="0.35">
      <c r="A549" s="24" t="s">
        <v>5044</v>
      </c>
      <c r="B549" s="24" t="str">
        <f>"TAK"</f>
        <v>TAK</v>
      </c>
      <c r="C549" s="24" t="str">
        <f t="shared" si="8"/>
        <v>'TAK'</v>
      </c>
      <c r="D549" s="24" t="s">
        <v>6138</v>
      </c>
      <c r="E549" s="24">
        <v>1.0874999999999999</v>
      </c>
      <c r="F549" s="24">
        <v>1.1479999999999999</v>
      </c>
      <c r="G549" s="24">
        <v>51382475797.080002</v>
      </c>
      <c r="H549" s="24">
        <v>6</v>
      </c>
      <c r="I549" s="24" t="s">
        <v>6139</v>
      </c>
    </row>
    <row r="550" spans="1:9" x14ac:dyDescent="0.35">
      <c r="A550" s="24" t="s">
        <v>5049</v>
      </c>
      <c r="B550" s="24" t="str">
        <f>"SYNH"</f>
        <v>SYNH</v>
      </c>
      <c r="C550" s="24" t="str">
        <f t="shared" si="8"/>
        <v>'SYNH'</v>
      </c>
      <c r="D550" s="24" t="s">
        <v>6140</v>
      </c>
      <c r="E550" s="24">
        <v>1.0872999999999999</v>
      </c>
      <c r="F550" s="24">
        <v>1.1392</v>
      </c>
      <c r="G550" s="24">
        <v>3646918610.5599999</v>
      </c>
      <c r="H550" s="24">
        <v>1</v>
      </c>
      <c r="I550" s="24" t="s">
        <v>6141</v>
      </c>
    </row>
    <row r="551" spans="1:9" x14ac:dyDescent="0.35">
      <c r="A551" s="24" t="s">
        <v>5049</v>
      </c>
      <c r="B551" s="24" t="str">
        <f>"AZPN"</f>
        <v>AZPN</v>
      </c>
      <c r="C551" s="24" t="str">
        <f t="shared" si="8"/>
        <v>'AZPN'</v>
      </c>
      <c r="D551" s="24" t="s">
        <v>6142</v>
      </c>
      <c r="E551" s="24">
        <v>1.0798000000000001</v>
      </c>
      <c r="G551" s="24">
        <v>12908652600.360001</v>
      </c>
      <c r="H551" s="24">
        <v>0</v>
      </c>
      <c r="I551" s="24" t="s">
        <v>6143</v>
      </c>
    </row>
    <row r="552" spans="1:9" x14ac:dyDescent="0.35">
      <c r="A552" s="24" t="s">
        <v>5044</v>
      </c>
      <c r="B552" s="24" t="str">
        <f>"NOMD"</f>
        <v>NOMD</v>
      </c>
      <c r="C552" s="24" t="str">
        <f t="shared" si="8"/>
        <v>'NOMD'</v>
      </c>
      <c r="D552" s="24" t="s">
        <v>6144</v>
      </c>
      <c r="E552" s="24">
        <v>1.0772999999999999</v>
      </c>
      <c r="F552" s="24">
        <v>1.1535</v>
      </c>
      <c r="G552" s="24">
        <v>2892186000</v>
      </c>
      <c r="H552" s="24">
        <v>0</v>
      </c>
      <c r="I552" s="24" t="s">
        <v>6145</v>
      </c>
    </row>
    <row r="553" spans="1:9" x14ac:dyDescent="0.35">
      <c r="A553" s="24" t="s">
        <v>5044</v>
      </c>
      <c r="B553" s="24" t="str">
        <f>"HPE"</f>
        <v>HPE</v>
      </c>
      <c r="C553" s="24" t="str">
        <f t="shared" si="8"/>
        <v>'HPE'</v>
      </c>
      <c r="D553" s="24" t="s">
        <v>6146</v>
      </c>
      <c r="E553" s="24">
        <v>1.0698000000000001</v>
      </c>
      <c r="F553" s="24">
        <v>0.88490000000000002</v>
      </c>
      <c r="G553" s="24">
        <v>21085887198.950001</v>
      </c>
      <c r="H553" s="24">
        <v>5</v>
      </c>
      <c r="I553" s="24" t="s">
        <v>6147</v>
      </c>
    </row>
    <row r="554" spans="1:9" x14ac:dyDescent="0.35">
      <c r="A554" s="24" t="s">
        <v>5049</v>
      </c>
      <c r="B554" s="24" t="str">
        <f>"KHC"</f>
        <v>KHC</v>
      </c>
      <c r="C554" s="24" t="str">
        <f t="shared" si="8"/>
        <v>'KHC'</v>
      </c>
      <c r="D554" s="24" t="s">
        <v>6148</v>
      </c>
      <c r="E554" s="24">
        <v>1.0623</v>
      </c>
      <c r="F554" s="24">
        <v>0.90490000000000004</v>
      </c>
      <c r="G554" s="24">
        <v>50626363678.120003</v>
      </c>
      <c r="H554" s="24">
        <v>28</v>
      </c>
      <c r="I554" s="24" t="s">
        <v>6149</v>
      </c>
    </row>
    <row r="555" spans="1:9" x14ac:dyDescent="0.35">
      <c r="A555" s="24" t="s">
        <v>5044</v>
      </c>
      <c r="B555" s="24" t="str">
        <f>"TIMB"</f>
        <v>TIMB</v>
      </c>
      <c r="C555" s="24" t="str">
        <f t="shared" si="8"/>
        <v>'TIMB'</v>
      </c>
      <c r="D555" s="24" t="s">
        <v>6150</v>
      </c>
      <c r="E555" s="24">
        <v>1.0504</v>
      </c>
      <c r="G555" s="24">
        <v>5320928071.1999998</v>
      </c>
      <c r="H555" s="24">
        <v>0</v>
      </c>
      <c r="I555" s="24" t="s">
        <v>6151</v>
      </c>
    </row>
    <row r="556" spans="1:9" x14ac:dyDescent="0.35">
      <c r="A556" s="24" t="s">
        <v>5044</v>
      </c>
      <c r="B556" s="24" t="str">
        <f>"PRGO"</f>
        <v>PRGO</v>
      </c>
      <c r="C556" s="24" t="str">
        <f t="shared" si="8"/>
        <v>'PRGO'</v>
      </c>
      <c r="D556" s="24" t="s">
        <v>6152</v>
      </c>
      <c r="E556" s="24">
        <v>1.0467</v>
      </c>
      <c r="F556" s="24">
        <v>2.5451000000000001</v>
      </c>
      <c r="G556" s="24">
        <v>4781057380.46</v>
      </c>
      <c r="H556" s="24">
        <v>5</v>
      </c>
      <c r="I556" s="24" t="s">
        <v>6153</v>
      </c>
    </row>
    <row r="557" spans="1:9" x14ac:dyDescent="0.35">
      <c r="A557" s="24" t="s">
        <v>5044</v>
      </c>
      <c r="B557" s="24" t="str">
        <f>"TECK"</f>
        <v>TECK</v>
      </c>
      <c r="C557" s="24" t="str">
        <f t="shared" si="8"/>
        <v>'TECK'</v>
      </c>
      <c r="D557" s="24" t="s">
        <v>6154</v>
      </c>
      <c r="E557" s="24">
        <v>1.0417000000000001</v>
      </c>
      <c r="F557" s="24">
        <v>1.6514</v>
      </c>
      <c r="G557" s="24">
        <v>20009805000</v>
      </c>
      <c r="H557" s="24">
        <v>2</v>
      </c>
      <c r="I557" s="24" t="s">
        <v>6155</v>
      </c>
    </row>
    <row r="558" spans="1:9" x14ac:dyDescent="0.35">
      <c r="A558" s="24" t="s">
        <v>5049</v>
      </c>
      <c r="B558" s="24" t="str">
        <f>"HOOD"</f>
        <v>HOOD</v>
      </c>
      <c r="C558" s="24" t="str">
        <f t="shared" si="8"/>
        <v>'HOOD'</v>
      </c>
      <c r="D558" s="24" t="s">
        <v>6156</v>
      </c>
      <c r="E558" s="24">
        <v>1.0342</v>
      </c>
      <c r="F558" s="24">
        <v>1.379</v>
      </c>
      <c r="G558" s="24">
        <v>7191627663.1099997</v>
      </c>
      <c r="H558" s="24">
        <v>3</v>
      </c>
      <c r="I558" s="24" t="s">
        <v>6157</v>
      </c>
    </row>
    <row r="559" spans="1:9" x14ac:dyDescent="0.35">
      <c r="A559" s="24" t="s">
        <v>5044</v>
      </c>
      <c r="B559" s="24" t="str">
        <f>"REZI"</f>
        <v>REZI</v>
      </c>
      <c r="C559" s="24" t="str">
        <f t="shared" si="8"/>
        <v>'REZI'</v>
      </c>
      <c r="D559" s="24" t="s">
        <v>6158</v>
      </c>
      <c r="E559" s="24">
        <v>1.0226999999999999</v>
      </c>
      <c r="F559" s="24">
        <v>1.5888</v>
      </c>
      <c r="G559" s="24">
        <v>2454552146.9699998</v>
      </c>
      <c r="H559" s="24">
        <v>1</v>
      </c>
      <c r="I559" s="24" t="s">
        <v>6159</v>
      </c>
    </row>
    <row r="560" spans="1:9" x14ac:dyDescent="0.35">
      <c r="A560" s="24" t="s">
        <v>5049</v>
      </c>
      <c r="B560" s="24" t="str">
        <f>"GRFS"</f>
        <v>GRFS</v>
      </c>
      <c r="C560" s="24" t="str">
        <f t="shared" si="8"/>
        <v>'GRFS'</v>
      </c>
      <c r="D560" s="24" t="s">
        <v>6160</v>
      </c>
      <c r="E560" s="24">
        <v>1.0226</v>
      </c>
      <c r="G560" s="24">
        <v>6139865328.4399996</v>
      </c>
      <c r="H560" s="24">
        <v>0</v>
      </c>
      <c r="I560" s="24" t="s">
        <v>6161</v>
      </c>
    </row>
    <row r="561" spans="1:9" x14ac:dyDescent="0.35">
      <c r="A561" s="24" t="s">
        <v>5049</v>
      </c>
      <c r="B561" s="24" t="str">
        <f>"GLPG"</f>
        <v>GLPG</v>
      </c>
      <c r="C561" s="24" t="str">
        <f t="shared" si="8"/>
        <v>'GLPG'</v>
      </c>
      <c r="D561" s="24" t="s">
        <v>6162</v>
      </c>
      <c r="E561" s="24">
        <v>1.0222</v>
      </c>
      <c r="F561" s="24">
        <v>8.4397000000000002</v>
      </c>
      <c r="G561" s="24">
        <v>2878018008.6399999</v>
      </c>
      <c r="H561" s="24">
        <v>0</v>
      </c>
      <c r="I561" s="24" t="s">
        <v>6163</v>
      </c>
    </row>
    <row r="562" spans="1:9" x14ac:dyDescent="0.35">
      <c r="A562" s="24" t="s">
        <v>5049</v>
      </c>
      <c r="B562" s="24" t="str">
        <f>"VSAT"</f>
        <v>VSAT</v>
      </c>
      <c r="C562" s="24" t="str">
        <f t="shared" si="8"/>
        <v>'VSAT'</v>
      </c>
      <c r="D562" s="24" t="s">
        <v>6164</v>
      </c>
      <c r="E562" s="24">
        <v>1.0142</v>
      </c>
      <c r="F562" s="24">
        <v>1.4274</v>
      </c>
      <c r="G562" s="24">
        <v>2633449477.3600001</v>
      </c>
      <c r="H562" s="24">
        <v>0</v>
      </c>
      <c r="I562" s="24" t="s">
        <v>6165</v>
      </c>
    </row>
    <row r="563" spans="1:9" x14ac:dyDescent="0.35">
      <c r="A563" s="24" t="s">
        <v>5044</v>
      </c>
      <c r="B563" s="24" t="str">
        <f>"MATX"</f>
        <v>MATX</v>
      </c>
      <c r="C563" s="24" t="str">
        <f t="shared" si="8"/>
        <v>'MATX'</v>
      </c>
      <c r="D563" s="24" t="s">
        <v>6166</v>
      </c>
      <c r="E563" s="24">
        <v>1.0104</v>
      </c>
      <c r="F563" s="24">
        <v>1.4577</v>
      </c>
      <c r="G563" s="24">
        <v>2310666694.5999999</v>
      </c>
      <c r="H563" s="24">
        <v>2</v>
      </c>
      <c r="I563" s="24" t="s">
        <v>6167</v>
      </c>
    </row>
    <row r="564" spans="1:9" x14ac:dyDescent="0.35">
      <c r="A564" s="24" t="s">
        <v>5044</v>
      </c>
      <c r="B564" s="24" t="str">
        <f>"PVH"</f>
        <v>PVH</v>
      </c>
      <c r="C564" s="24" t="str">
        <f t="shared" si="8"/>
        <v>'PVH'</v>
      </c>
      <c r="D564" s="24" t="s">
        <v>6168</v>
      </c>
      <c r="E564" s="24">
        <v>1.0102</v>
      </c>
      <c r="F564" s="24">
        <v>1.3508</v>
      </c>
      <c r="G564" s="24">
        <v>4869457453.9200001</v>
      </c>
      <c r="H564" s="24">
        <v>6</v>
      </c>
      <c r="I564" s="24" t="s">
        <v>6169</v>
      </c>
    </row>
    <row r="565" spans="1:9" x14ac:dyDescent="0.35">
      <c r="A565" s="24" t="s">
        <v>5044</v>
      </c>
      <c r="B565" s="24" t="str">
        <f>"TROX"</f>
        <v>TROX</v>
      </c>
      <c r="C565" s="24" t="str">
        <f t="shared" si="8"/>
        <v>'TROX'</v>
      </c>
      <c r="D565" s="24" t="s">
        <v>6170</v>
      </c>
      <c r="E565" s="24">
        <v>1.0087999999999999</v>
      </c>
      <c r="F565" s="24">
        <v>2.3473000000000002</v>
      </c>
      <c r="G565" s="24">
        <v>2252100749.7600002</v>
      </c>
      <c r="H565" s="24">
        <v>0</v>
      </c>
      <c r="I565" s="24" t="s">
        <v>6171</v>
      </c>
    </row>
    <row r="566" spans="1:9" x14ac:dyDescent="0.35">
      <c r="A566" s="24" t="s">
        <v>5044</v>
      </c>
      <c r="B566" s="24" t="str">
        <f>"YPF"</f>
        <v>YPF</v>
      </c>
      <c r="C566" s="24" t="str">
        <f t="shared" si="8"/>
        <v>'YPF'</v>
      </c>
      <c r="D566" s="24" t="s">
        <v>6172</v>
      </c>
      <c r="E566" s="24">
        <v>0.99829999999999997</v>
      </c>
      <c r="G566" s="24">
        <v>7354949229.1000004</v>
      </c>
      <c r="H566" s="24">
        <v>4</v>
      </c>
      <c r="I566" s="24" t="s">
        <v>6173</v>
      </c>
    </row>
    <row r="567" spans="1:9" x14ac:dyDescent="0.35">
      <c r="A567" s="24" t="s">
        <v>5049</v>
      </c>
      <c r="B567" s="24" t="str">
        <f>"RIVN"</f>
        <v>RIVN</v>
      </c>
      <c r="C567" s="24" t="str">
        <f t="shared" si="8"/>
        <v>'RIVN'</v>
      </c>
      <c r="D567" s="24" t="s">
        <v>6174</v>
      </c>
      <c r="E567" s="24">
        <v>0.99439999999999995</v>
      </c>
      <c r="F567" s="24">
        <v>6.8392999999999997</v>
      </c>
      <c r="G567" s="24">
        <v>15251028130.799999</v>
      </c>
      <c r="H567" s="24">
        <v>8</v>
      </c>
      <c r="I567" s="24" t="s">
        <v>6175</v>
      </c>
    </row>
    <row r="568" spans="1:9" x14ac:dyDescent="0.35">
      <c r="A568" s="24" t="s">
        <v>5049</v>
      </c>
      <c r="B568" s="24" t="str">
        <f>"SSRM"</f>
        <v>SSRM</v>
      </c>
      <c r="C568" s="24" t="str">
        <f t="shared" si="8"/>
        <v>'SSRM'</v>
      </c>
      <c r="D568" s="24" t="s">
        <v>6176</v>
      </c>
      <c r="E568" s="24">
        <v>0.99129999999999996</v>
      </c>
      <c r="F568" s="24">
        <v>5.7906000000000004</v>
      </c>
      <c r="G568" s="24">
        <v>3454485124.6399999</v>
      </c>
      <c r="H568" s="24">
        <v>2</v>
      </c>
      <c r="I568" s="24" t="s">
        <v>6177</v>
      </c>
    </row>
    <row r="569" spans="1:9" x14ac:dyDescent="0.35">
      <c r="A569" s="24" t="s">
        <v>5044</v>
      </c>
      <c r="B569" s="24" t="str">
        <f>"MODG"</f>
        <v>MODG</v>
      </c>
      <c r="C569" s="24" t="str">
        <f t="shared" si="8"/>
        <v>'MODG'</v>
      </c>
      <c r="D569" s="24" t="s">
        <v>6178</v>
      </c>
      <c r="E569" s="24">
        <v>0.98680000000000001</v>
      </c>
      <c r="F569" s="24">
        <v>1.3097000000000001</v>
      </c>
      <c r="G569" s="24">
        <v>3756106259.6799998</v>
      </c>
      <c r="H569" s="24">
        <v>0</v>
      </c>
      <c r="I569" s="24" t="s">
        <v>6179</v>
      </c>
    </row>
    <row r="570" spans="1:9" x14ac:dyDescent="0.35">
      <c r="A570" s="24" t="s">
        <v>5049</v>
      </c>
      <c r="B570" s="24" t="str">
        <f>"COHR"</f>
        <v>COHR</v>
      </c>
      <c r="C570" s="24" t="str">
        <f t="shared" si="8"/>
        <v>'COHR'</v>
      </c>
      <c r="D570" s="24" t="s">
        <v>6180</v>
      </c>
      <c r="E570" s="24">
        <v>0.97629999999999995</v>
      </c>
      <c r="F570" s="24">
        <v>2.8693</v>
      </c>
      <c r="G570" s="24">
        <v>4890210246.2399998</v>
      </c>
      <c r="H570" s="24">
        <v>2</v>
      </c>
      <c r="I570" s="24" t="s">
        <v>6181</v>
      </c>
    </row>
    <row r="571" spans="1:9" x14ac:dyDescent="0.35">
      <c r="A571" s="24" t="s">
        <v>5044</v>
      </c>
      <c r="B571" s="24" t="str">
        <f>"CAJ"</f>
        <v>CAJ</v>
      </c>
      <c r="C571" s="24" t="str">
        <f t="shared" si="8"/>
        <v>'CAJ'</v>
      </c>
      <c r="D571" s="24" t="s">
        <v>6182</v>
      </c>
      <c r="E571" s="24">
        <v>0.97099999999999997</v>
      </c>
      <c r="F571" s="24">
        <v>1.7131000000000001</v>
      </c>
      <c r="G571" s="24">
        <v>22295853901.880001</v>
      </c>
      <c r="H571" s="24">
        <v>7</v>
      </c>
      <c r="I571" s="24" t="s">
        <v>6183</v>
      </c>
    </row>
    <row r="572" spans="1:9" x14ac:dyDescent="0.35">
      <c r="A572" s="24" t="s">
        <v>5044</v>
      </c>
      <c r="B572" s="24" t="str">
        <f>"JHG"</f>
        <v>JHG</v>
      </c>
      <c r="C572" s="24" t="str">
        <f t="shared" si="8"/>
        <v>'JHG'</v>
      </c>
      <c r="D572" s="24" t="s">
        <v>6184</v>
      </c>
      <c r="E572" s="24">
        <v>0.97009999999999996</v>
      </c>
      <c r="F572" s="24">
        <v>3.0670000000000002</v>
      </c>
      <c r="G572" s="24">
        <v>4053648935.3499999</v>
      </c>
      <c r="H572" s="24">
        <v>0</v>
      </c>
      <c r="I572" s="24" t="s">
        <v>6185</v>
      </c>
    </row>
    <row r="573" spans="1:9" x14ac:dyDescent="0.35">
      <c r="A573" s="24" t="s">
        <v>5044</v>
      </c>
      <c r="B573" s="24" t="str">
        <f>"CLVT"</f>
        <v>CLVT</v>
      </c>
      <c r="C573" s="24" t="str">
        <f t="shared" si="8"/>
        <v>'CLVT'</v>
      </c>
      <c r="D573" s="24" t="s">
        <v>6186</v>
      </c>
      <c r="E573" s="24">
        <v>0.9667</v>
      </c>
      <c r="F573" s="24">
        <v>0.88929999999999998</v>
      </c>
      <c r="G573" s="24">
        <v>5872184413.1599998</v>
      </c>
      <c r="H573" s="24">
        <v>1</v>
      </c>
      <c r="I573" s="24" t="s">
        <v>6187</v>
      </c>
    </row>
    <row r="574" spans="1:9" x14ac:dyDescent="0.35">
      <c r="A574" s="24" t="s">
        <v>5044</v>
      </c>
      <c r="B574" s="24" t="str">
        <f>"SSL"</f>
        <v>SSL</v>
      </c>
      <c r="C574" s="24" t="str">
        <f t="shared" si="8"/>
        <v>'SSL'</v>
      </c>
      <c r="D574" s="24" t="s">
        <v>6188</v>
      </c>
      <c r="E574" s="24">
        <v>0.95609999999999995</v>
      </c>
      <c r="F574" s="24">
        <v>1.4379999999999999</v>
      </c>
      <c r="G574" s="24">
        <v>9973769258.7299995</v>
      </c>
      <c r="H574" s="24">
        <v>2</v>
      </c>
      <c r="I574" s="24" t="s">
        <v>6189</v>
      </c>
    </row>
    <row r="575" spans="1:9" x14ac:dyDescent="0.35">
      <c r="A575" s="24" t="s">
        <v>5049</v>
      </c>
      <c r="B575" s="24" t="str">
        <f>"AVT"</f>
        <v>AVT</v>
      </c>
      <c r="C575" s="24" t="str">
        <f t="shared" si="8"/>
        <v>'AVT'</v>
      </c>
      <c r="D575" s="24" t="s">
        <v>6190</v>
      </c>
      <c r="E575" s="24">
        <v>0.9526</v>
      </c>
      <c r="F575" s="24">
        <v>2.0411000000000001</v>
      </c>
      <c r="G575" s="24">
        <v>3803458863.3200002</v>
      </c>
      <c r="H575" s="24">
        <v>0</v>
      </c>
      <c r="I575" s="24" t="s">
        <v>6191</v>
      </c>
    </row>
    <row r="576" spans="1:9" x14ac:dyDescent="0.35">
      <c r="A576" s="24" t="s">
        <v>5044</v>
      </c>
      <c r="B576" s="24" t="str">
        <f>"TEF"</f>
        <v>TEF</v>
      </c>
      <c r="C576" s="24" t="str">
        <f t="shared" si="8"/>
        <v>'TEF'</v>
      </c>
      <c r="D576" s="24" t="s">
        <v>6192</v>
      </c>
      <c r="E576" s="24">
        <v>0.93149999999999999</v>
      </c>
      <c r="G576" s="24">
        <v>22072233638.700001</v>
      </c>
      <c r="H576" s="24">
        <v>1</v>
      </c>
      <c r="I576" s="24" t="s">
        <v>6193</v>
      </c>
    </row>
    <row r="577" spans="1:9" x14ac:dyDescent="0.35">
      <c r="A577" s="24" t="s">
        <v>5044</v>
      </c>
      <c r="B577" s="24" t="str">
        <f>"KGC"</f>
        <v>KGC</v>
      </c>
      <c r="C577" s="24" t="str">
        <f t="shared" si="8"/>
        <v>'KGC'</v>
      </c>
      <c r="D577" s="24" t="s">
        <v>6194</v>
      </c>
      <c r="E577" s="24">
        <v>0.92979999999999996</v>
      </c>
      <c r="F577" s="24">
        <v>2.9763999999999999</v>
      </c>
      <c r="G577" s="24">
        <v>5707207080</v>
      </c>
      <c r="H577" s="24">
        <v>2</v>
      </c>
      <c r="I577" s="24" t="s">
        <v>6195</v>
      </c>
    </row>
    <row r="578" spans="1:9" x14ac:dyDescent="0.35">
      <c r="A578" s="24" t="s">
        <v>5044</v>
      </c>
      <c r="B578" s="24" t="str">
        <f>"SEB"</f>
        <v>SEB</v>
      </c>
      <c r="C578" s="24" t="str">
        <f t="shared" si="8"/>
        <v>'SEB'</v>
      </c>
      <c r="D578" s="24" t="s">
        <v>6196</v>
      </c>
      <c r="E578" s="24">
        <v>0.92769999999999997</v>
      </c>
      <c r="F578" s="24">
        <v>2.4750000000000001</v>
      </c>
      <c r="G578" s="24">
        <v>4403554429.9799995</v>
      </c>
      <c r="H578" s="24">
        <v>2</v>
      </c>
      <c r="I578" s="24" t="s">
        <v>6197</v>
      </c>
    </row>
    <row r="579" spans="1:9" x14ac:dyDescent="0.35">
      <c r="A579" s="24" t="s">
        <v>5049</v>
      </c>
      <c r="B579" s="24" t="str">
        <f>"WDC"</f>
        <v>WDC</v>
      </c>
      <c r="C579" s="24" t="str">
        <f t="shared" ref="C579:C642" si="9">"'"&amp;B579&amp;"'"</f>
        <v>'WDC'</v>
      </c>
      <c r="D579" s="24" t="s">
        <v>6198</v>
      </c>
      <c r="E579" s="24">
        <v>0.92430000000000001</v>
      </c>
      <c r="F579" s="24">
        <v>1.8266</v>
      </c>
      <c r="G579" s="24">
        <v>11190819892.85</v>
      </c>
      <c r="H579" s="24">
        <v>16</v>
      </c>
      <c r="I579" s="24" t="s">
        <v>6199</v>
      </c>
    </row>
    <row r="580" spans="1:9" x14ac:dyDescent="0.35">
      <c r="A580" s="24" t="s">
        <v>5044</v>
      </c>
      <c r="B580" s="24" t="str">
        <f>"TM"</f>
        <v>TM</v>
      </c>
      <c r="C580" s="24" t="str">
        <f t="shared" si="9"/>
        <v>'TM'</v>
      </c>
      <c r="D580" s="24" t="s">
        <v>6200</v>
      </c>
      <c r="E580" s="24">
        <v>0.91859999999999997</v>
      </c>
      <c r="F580" s="24">
        <v>1.0630999999999999</v>
      </c>
      <c r="G580" s="24">
        <v>185492823281.92001</v>
      </c>
      <c r="H580" s="24">
        <v>41</v>
      </c>
      <c r="I580" s="24" t="s">
        <v>6201</v>
      </c>
    </row>
    <row r="581" spans="1:9" x14ac:dyDescent="0.35">
      <c r="A581" s="24" t="s">
        <v>5044</v>
      </c>
      <c r="B581" s="24" t="str">
        <f>"MHK"</f>
        <v>MHK</v>
      </c>
      <c r="C581" s="24" t="str">
        <f t="shared" si="9"/>
        <v>'MHK'</v>
      </c>
      <c r="D581" s="24" t="s">
        <v>6202</v>
      </c>
      <c r="E581" s="24">
        <v>0.91849999999999998</v>
      </c>
      <c r="F581" s="24">
        <v>1.4993000000000001</v>
      </c>
      <c r="G581" s="24">
        <v>7181886977.2799997</v>
      </c>
      <c r="H581" s="24">
        <v>2</v>
      </c>
      <c r="I581" s="24" t="s">
        <v>6203</v>
      </c>
    </row>
    <row r="582" spans="1:9" x14ac:dyDescent="0.35">
      <c r="A582" s="24" t="s">
        <v>5044</v>
      </c>
      <c r="B582" s="24" t="str">
        <f>"VIV"</f>
        <v>VIV</v>
      </c>
      <c r="C582" s="24" t="str">
        <f t="shared" si="9"/>
        <v>'VIV'</v>
      </c>
      <c r="D582" s="24" t="s">
        <v>6204</v>
      </c>
      <c r="E582" s="24">
        <v>0.91600000000000004</v>
      </c>
      <c r="G582" s="24">
        <v>11621182218.030001</v>
      </c>
      <c r="H582" s="24">
        <v>9</v>
      </c>
      <c r="I582" s="24" t="s">
        <v>6205</v>
      </c>
    </row>
    <row r="583" spans="1:9" x14ac:dyDescent="0.35">
      <c r="A583" s="24" t="s">
        <v>5044</v>
      </c>
      <c r="B583" s="24" t="str">
        <f>"CIVI"</f>
        <v>CIVI</v>
      </c>
      <c r="C583" s="24" t="str">
        <f t="shared" si="9"/>
        <v>'CIVI'</v>
      </c>
      <c r="D583" s="24" t="s">
        <v>6206</v>
      </c>
      <c r="E583" s="24">
        <v>0.91339999999999999</v>
      </c>
      <c r="F583" s="24">
        <v>0.93610000000000004</v>
      </c>
      <c r="G583" s="24">
        <v>4647049625.3999996</v>
      </c>
      <c r="H583" s="24">
        <v>0</v>
      </c>
      <c r="I583" s="24" t="s">
        <v>6207</v>
      </c>
    </row>
    <row r="584" spans="1:9" x14ac:dyDescent="0.35">
      <c r="A584" s="24" t="s">
        <v>5044</v>
      </c>
      <c r="B584" s="24" t="str">
        <f>"ENOV"</f>
        <v>ENOV</v>
      </c>
      <c r="C584" s="24" t="str">
        <f t="shared" si="9"/>
        <v>'ENOV'</v>
      </c>
      <c r="D584" s="24" t="s">
        <v>6208</v>
      </c>
      <c r="E584" s="24">
        <v>0.90710000000000002</v>
      </c>
      <c r="F584" s="24">
        <v>1.1807000000000001</v>
      </c>
      <c r="G584" s="24">
        <v>3090322180.5300002</v>
      </c>
      <c r="H584" s="24">
        <v>0</v>
      </c>
      <c r="I584" s="24" t="s">
        <v>6209</v>
      </c>
    </row>
    <row r="585" spans="1:9" x14ac:dyDescent="0.35">
      <c r="A585" s="24" t="s">
        <v>5044</v>
      </c>
      <c r="B585" s="24" t="str">
        <f>"PHG"</f>
        <v>PHG</v>
      </c>
      <c r="C585" s="24" t="str">
        <f t="shared" si="9"/>
        <v>'PHG'</v>
      </c>
      <c r="D585" s="24" t="s">
        <v>6210</v>
      </c>
      <c r="E585" s="24">
        <v>0.89600000000000002</v>
      </c>
      <c r="G585" s="24">
        <v>13949024593.35</v>
      </c>
      <c r="H585" s="24">
        <v>7</v>
      </c>
      <c r="I585" s="24" t="s">
        <v>6211</v>
      </c>
    </row>
    <row r="586" spans="1:9" x14ac:dyDescent="0.35">
      <c r="A586" s="24" t="s">
        <v>5044</v>
      </c>
      <c r="B586" s="24" t="str">
        <f>"JKS"</f>
        <v>JKS</v>
      </c>
      <c r="C586" s="24" t="str">
        <f t="shared" si="9"/>
        <v>'JKS'</v>
      </c>
      <c r="D586" s="24" t="s">
        <v>6212</v>
      </c>
      <c r="E586" s="24">
        <v>0.87990000000000002</v>
      </c>
      <c r="F586" s="24">
        <v>1.0878000000000001</v>
      </c>
      <c r="G586" s="24">
        <v>2003436614.76</v>
      </c>
      <c r="H586" s="24">
        <v>31</v>
      </c>
      <c r="I586" s="24" t="s">
        <v>6213</v>
      </c>
    </row>
    <row r="587" spans="1:9" x14ac:dyDescent="0.35">
      <c r="A587" s="24" t="s">
        <v>5044</v>
      </c>
      <c r="B587" s="24" t="str">
        <f>"TWLO"</f>
        <v>TWLO</v>
      </c>
      <c r="C587" s="24" t="str">
        <f t="shared" si="9"/>
        <v>'TWLO'</v>
      </c>
      <c r="D587" s="24" t="s">
        <v>6214</v>
      </c>
      <c r="E587" s="24">
        <v>0.87860000000000005</v>
      </c>
      <c r="F587" s="24">
        <v>5.7422000000000004</v>
      </c>
      <c r="G587" s="24">
        <v>9252044876.7600002</v>
      </c>
      <c r="H587" s="24">
        <v>19</v>
      </c>
      <c r="I587" s="24" t="s">
        <v>6215</v>
      </c>
    </row>
    <row r="588" spans="1:9" x14ac:dyDescent="0.35">
      <c r="A588" s="24" t="s">
        <v>5044</v>
      </c>
      <c r="B588" s="24" t="str">
        <f>"ELAN"</f>
        <v>ELAN</v>
      </c>
      <c r="C588" s="24" t="str">
        <f t="shared" si="9"/>
        <v>'ELAN'</v>
      </c>
      <c r="D588" s="24" t="s">
        <v>6216</v>
      </c>
      <c r="E588" s="24">
        <v>0.87529999999999997</v>
      </c>
      <c r="F588" s="24">
        <v>1.9554</v>
      </c>
      <c r="G588" s="24">
        <v>5903857603.5</v>
      </c>
      <c r="H588" s="24">
        <v>1</v>
      </c>
      <c r="I588" s="24" t="s">
        <v>6217</v>
      </c>
    </row>
    <row r="589" spans="1:9" x14ac:dyDescent="0.35">
      <c r="A589" s="24" t="s">
        <v>5044</v>
      </c>
      <c r="B589" s="24" t="str">
        <f>"BLCO"</f>
        <v>BLCO</v>
      </c>
      <c r="C589" s="24" t="str">
        <f t="shared" si="9"/>
        <v>'BLCO'</v>
      </c>
      <c r="D589" s="24" t="s">
        <v>6218</v>
      </c>
      <c r="E589" s="24">
        <v>0.84630000000000005</v>
      </c>
      <c r="F589" s="24">
        <v>1.5505</v>
      </c>
      <c r="G589" s="24">
        <v>5694512186.2299995</v>
      </c>
      <c r="H589" s="24">
        <v>0</v>
      </c>
      <c r="I589" s="24" t="s">
        <v>6219</v>
      </c>
    </row>
    <row r="590" spans="1:9" x14ac:dyDescent="0.35">
      <c r="A590" s="24" t="s">
        <v>5049</v>
      </c>
      <c r="B590" s="24" t="str">
        <f>"PAA"</f>
        <v>PAA</v>
      </c>
      <c r="C590" s="24" t="str">
        <f t="shared" si="9"/>
        <v>'PAA'</v>
      </c>
      <c r="D590" s="24" t="s">
        <v>6220</v>
      </c>
      <c r="E590" s="24">
        <v>0.82799999999999996</v>
      </c>
      <c r="F590" s="24">
        <v>1.0451999999999999</v>
      </c>
      <c r="G590" s="24">
        <v>8107642472.8500004</v>
      </c>
      <c r="H590" s="24">
        <v>3</v>
      </c>
      <c r="I590" s="24" t="s">
        <v>6221</v>
      </c>
    </row>
    <row r="591" spans="1:9" x14ac:dyDescent="0.35">
      <c r="A591" s="24" t="s">
        <v>5044</v>
      </c>
      <c r="B591" s="24" t="str">
        <f>"ORAN"</f>
        <v>ORAN</v>
      </c>
      <c r="C591" s="24" t="str">
        <f t="shared" si="9"/>
        <v>'ORAN'</v>
      </c>
      <c r="D591" s="24" t="s">
        <v>6222</v>
      </c>
      <c r="E591" s="24">
        <v>0.82799999999999996</v>
      </c>
      <c r="G591" s="24">
        <v>27810959090</v>
      </c>
      <c r="H591" s="24">
        <v>2</v>
      </c>
      <c r="I591" s="24" t="s">
        <v>6223</v>
      </c>
    </row>
    <row r="592" spans="1:9" x14ac:dyDescent="0.35">
      <c r="A592" s="24" t="s">
        <v>5044</v>
      </c>
      <c r="B592" s="24" t="str">
        <f>"TV"</f>
        <v>TV</v>
      </c>
      <c r="C592" s="24" t="str">
        <f t="shared" si="9"/>
        <v>'TV'</v>
      </c>
      <c r="D592" s="24" t="s">
        <v>6224</v>
      </c>
      <c r="E592" s="24">
        <v>0.82520000000000004</v>
      </c>
      <c r="G592" s="24">
        <v>3233685345.1999998</v>
      </c>
      <c r="H592" s="24">
        <v>0</v>
      </c>
      <c r="I592" s="24" t="s">
        <v>6225</v>
      </c>
    </row>
    <row r="593" spans="1:9" x14ac:dyDescent="0.35">
      <c r="A593" s="24" t="s">
        <v>5044</v>
      </c>
      <c r="B593" s="24" t="str">
        <f>"WFG"</f>
        <v>WFG</v>
      </c>
      <c r="C593" s="24" t="str">
        <f t="shared" si="9"/>
        <v>'WFG'</v>
      </c>
      <c r="D593" s="24" t="s">
        <v>6226</v>
      </c>
      <c r="E593" s="24">
        <v>0.80830000000000002</v>
      </c>
      <c r="F593" s="24">
        <v>3.3624000000000001</v>
      </c>
      <c r="G593" s="24">
        <v>6295938925.75</v>
      </c>
      <c r="H593" s="24">
        <v>0</v>
      </c>
      <c r="I593" s="24" t="s">
        <v>6227</v>
      </c>
    </row>
    <row r="594" spans="1:9" x14ac:dyDescent="0.35">
      <c r="A594" s="24" t="s">
        <v>5044</v>
      </c>
      <c r="B594" s="24" t="str">
        <f>"STLA"</f>
        <v>STLA</v>
      </c>
      <c r="C594" s="24" t="str">
        <f t="shared" si="9"/>
        <v>'STLA'</v>
      </c>
      <c r="D594" s="24" t="s">
        <v>6228</v>
      </c>
      <c r="E594" s="24">
        <v>0.79469999999999996</v>
      </c>
      <c r="G594" s="24">
        <v>47696194255.510002</v>
      </c>
      <c r="H594" s="24">
        <v>1</v>
      </c>
      <c r="I594" s="24" t="s">
        <v>6229</v>
      </c>
    </row>
    <row r="595" spans="1:9" x14ac:dyDescent="0.35">
      <c r="A595" s="24" t="s">
        <v>5044</v>
      </c>
      <c r="B595" s="24" t="str">
        <f>"WRK"</f>
        <v>WRK</v>
      </c>
      <c r="C595" s="24" t="str">
        <f t="shared" si="9"/>
        <v>'WRK'</v>
      </c>
      <c r="D595" s="24" t="s">
        <v>6230</v>
      </c>
      <c r="E595" s="24">
        <v>0.79469999999999996</v>
      </c>
      <c r="F595" s="24">
        <v>1.5336000000000001</v>
      </c>
      <c r="G595" s="24">
        <v>9005480499.9300003</v>
      </c>
      <c r="H595" s="24">
        <v>2</v>
      </c>
      <c r="I595" s="24" t="s">
        <v>6231</v>
      </c>
    </row>
    <row r="596" spans="1:9" x14ac:dyDescent="0.35">
      <c r="A596" s="24" t="s">
        <v>5044</v>
      </c>
      <c r="B596" s="24" t="str">
        <f>"GRP.U"</f>
        <v>GRP.U</v>
      </c>
      <c r="C596" s="24" t="str">
        <f t="shared" si="9"/>
        <v>'GRP.U'</v>
      </c>
      <c r="D596" s="24" t="s">
        <v>6232</v>
      </c>
      <c r="E596" s="24">
        <v>0.78680000000000005</v>
      </c>
      <c r="F596" s="24">
        <v>1.7725</v>
      </c>
      <c r="G596" s="24">
        <v>3431470000</v>
      </c>
      <c r="H596" s="24">
        <v>0</v>
      </c>
      <c r="I596" s="24" t="s">
        <v>6233</v>
      </c>
    </row>
    <row r="597" spans="1:9" x14ac:dyDescent="0.35">
      <c r="A597" s="24" t="s">
        <v>5044</v>
      </c>
      <c r="B597" s="24" t="str">
        <f>"GM"</f>
        <v>GM</v>
      </c>
      <c r="C597" s="24" t="str">
        <f t="shared" si="9"/>
        <v>'GM'</v>
      </c>
      <c r="D597" s="24" t="s">
        <v>6234</v>
      </c>
      <c r="E597" s="24">
        <v>0.76329999999999998</v>
      </c>
      <c r="F597" s="24">
        <v>1.1426000000000001</v>
      </c>
      <c r="G597" s="24">
        <v>49724387545</v>
      </c>
      <c r="H597" s="24">
        <v>29</v>
      </c>
      <c r="I597" s="24" t="s">
        <v>6235</v>
      </c>
    </row>
    <row r="598" spans="1:9" x14ac:dyDescent="0.35">
      <c r="A598" s="24" t="s">
        <v>5044</v>
      </c>
      <c r="B598" s="24" t="str">
        <f>"ERJ"</f>
        <v>ERJ</v>
      </c>
      <c r="C598" s="24" t="str">
        <f t="shared" si="9"/>
        <v>'ERJ'</v>
      </c>
      <c r="D598" s="24" t="s">
        <v>6236</v>
      </c>
      <c r="E598" s="24">
        <v>0.76129999999999998</v>
      </c>
      <c r="G598" s="24">
        <v>2031136384.0599999</v>
      </c>
      <c r="H598" s="24">
        <v>1</v>
      </c>
      <c r="I598" s="24" t="s">
        <v>6237</v>
      </c>
    </row>
    <row r="599" spans="1:9" x14ac:dyDescent="0.35">
      <c r="A599" s="24" t="s">
        <v>5049</v>
      </c>
      <c r="B599" s="24" t="str">
        <f>"XRX"</f>
        <v>XRX</v>
      </c>
      <c r="C599" s="24" t="str">
        <f t="shared" si="9"/>
        <v>'XRX'</v>
      </c>
      <c r="D599" s="24" t="s">
        <v>6238</v>
      </c>
      <c r="E599" s="24">
        <v>0.75519999999999998</v>
      </c>
      <c r="F599" s="24">
        <v>1.1651</v>
      </c>
      <c r="G599" s="24">
        <v>2449185506.3800001</v>
      </c>
      <c r="H599" s="24">
        <v>0</v>
      </c>
      <c r="I599" s="24" t="s">
        <v>6239</v>
      </c>
    </row>
    <row r="600" spans="1:9" x14ac:dyDescent="0.35">
      <c r="A600" s="24" t="s">
        <v>5049</v>
      </c>
      <c r="B600" s="24" t="str">
        <f>"VTRS"</f>
        <v>VTRS</v>
      </c>
      <c r="C600" s="24" t="str">
        <f t="shared" si="9"/>
        <v>'VTRS'</v>
      </c>
      <c r="D600" s="24" t="s">
        <v>6240</v>
      </c>
      <c r="E600" s="24">
        <v>0.75419999999999998</v>
      </c>
      <c r="F600" s="24">
        <v>1.6082000000000001</v>
      </c>
      <c r="G600" s="24">
        <v>14358185640.32</v>
      </c>
      <c r="H600" s="24">
        <v>4</v>
      </c>
      <c r="I600" s="24" t="s">
        <v>6241</v>
      </c>
    </row>
    <row r="601" spans="1:9" x14ac:dyDescent="0.35">
      <c r="A601" s="24" t="s">
        <v>5049</v>
      </c>
      <c r="B601" s="24" t="str">
        <f>"IAC"</f>
        <v>IAC</v>
      </c>
      <c r="C601" s="24" t="str">
        <f t="shared" si="9"/>
        <v>'IAC'</v>
      </c>
      <c r="D601" s="24" t="s">
        <v>6242</v>
      </c>
      <c r="E601" s="24">
        <v>0.74180000000000001</v>
      </c>
      <c r="F601" s="24">
        <v>2.2863000000000002</v>
      </c>
      <c r="G601" s="24">
        <v>4379730822.3299999</v>
      </c>
      <c r="H601" s="24">
        <v>0</v>
      </c>
      <c r="I601" s="24" t="s">
        <v>6243</v>
      </c>
    </row>
    <row r="602" spans="1:9" x14ac:dyDescent="0.35">
      <c r="A602" s="24" t="s">
        <v>5044</v>
      </c>
      <c r="B602" s="24" t="str">
        <f>"KSS"</f>
        <v>KSS</v>
      </c>
      <c r="C602" s="24" t="str">
        <f t="shared" si="9"/>
        <v>'KSS'</v>
      </c>
      <c r="D602" s="24" t="s">
        <v>6244</v>
      </c>
      <c r="E602" s="24">
        <v>0.71879999999999999</v>
      </c>
      <c r="F602" s="24">
        <v>1.2113</v>
      </c>
      <c r="G602" s="24">
        <v>2902418042.5599999</v>
      </c>
      <c r="H602" s="24">
        <v>3</v>
      </c>
      <c r="I602" s="24" t="s">
        <v>6245</v>
      </c>
    </row>
    <row r="603" spans="1:9" x14ac:dyDescent="0.35">
      <c r="A603" s="24" t="s">
        <v>5049</v>
      </c>
      <c r="B603" s="24" t="str">
        <f>"RUN"</f>
        <v>RUN</v>
      </c>
      <c r="C603" s="24" t="str">
        <f t="shared" si="9"/>
        <v>'RUN'</v>
      </c>
      <c r="D603" s="24" t="s">
        <v>6246</v>
      </c>
      <c r="E603" s="24">
        <v>0.71579999999999999</v>
      </c>
      <c r="F603" s="24">
        <v>1.7366999999999999</v>
      </c>
      <c r="G603" s="24">
        <v>4737295673.3699999</v>
      </c>
      <c r="H603" s="24">
        <v>4</v>
      </c>
      <c r="I603" s="24" t="s">
        <v>6247</v>
      </c>
    </row>
    <row r="604" spans="1:9" x14ac:dyDescent="0.35">
      <c r="A604" s="24" t="s">
        <v>5044</v>
      </c>
      <c r="B604" s="24" t="str">
        <f>"FMS"</f>
        <v>FMS</v>
      </c>
      <c r="C604" s="24" t="str">
        <f t="shared" si="9"/>
        <v>'FMS'</v>
      </c>
      <c r="D604" s="24" t="s">
        <v>6248</v>
      </c>
      <c r="E604" s="24">
        <v>0.68189999999999995</v>
      </c>
      <c r="F604" s="24">
        <v>1.1786000000000001</v>
      </c>
      <c r="G604" s="24">
        <v>9929111114.1599998</v>
      </c>
      <c r="H604" s="24">
        <v>2</v>
      </c>
      <c r="I604" s="24" t="s">
        <v>6249</v>
      </c>
    </row>
    <row r="605" spans="1:9" x14ac:dyDescent="0.35">
      <c r="A605" s="24" t="s">
        <v>5044</v>
      </c>
      <c r="B605" s="24" t="str">
        <f>"GHC"</f>
        <v>GHC</v>
      </c>
      <c r="C605" s="24" t="str">
        <f t="shared" si="9"/>
        <v>'GHC'</v>
      </c>
      <c r="D605" s="24" t="s">
        <v>6250</v>
      </c>
      <c r="E605" s="24">
        <v>0.68089999999999995</v>
      </c>
      <c r="F605" s="24">
        <v>1.4367000000000001</v>
      </c>
      <c r="G605" s="24">
        <v>2895295299.1199999</v>
      </c>
      <c r="H605" s="24">
        <v>2</v>
      </c>
      <c r="I605" s="24" t="s">
        <v>6251</v>
      </c>
    </row>
    <row r="606" spans="1:9" x14ac:dyDescent="0.35">
      <c r="A606" s="24" t="s">
        <v>5044</v>
      </c>
      <c r="B606" s="24" t="str">
        <f>"LSPD"</f>
        <v>LSPD</v>
      </c>
      <c r="C606" s="24" t="str">
        <f t="shared" si="9"/>
        <v>'LSPD'</v>
      </c>
      <c r="D606" s="24" t="s">
        <v>6252</v>
      </c>
      <c r="E606" s="24">
        <v>0.66510000000000002</v>
      </c>
      <c r="F606" s="24">
        <v>6.4135999999999997</v>
      </c>
      <c r="G606" s="24">
        <v>2197616469.6799998</v>
      </c>
      <c r="H606" s="24">
        <v>3</v>
      </c>
      <c r="I606" s="24" t="s">
        <v>6253</v>
      </c>
    </row>
    <row r="607" spans="1:9" x14ac:dyDescent="0.35">
      <c r="A607" s="24" t="s">
        <v>5044</v>
      </c>
      <c r="B607" s="24" t="str">
        <f>"DQ"</f>
        <v>DQ</v>
      </c>
      <c r="C607" s="24" t="str">
        <f t="shared" si="9"/>
        <v>'DQ'</v>
      </c>
      <c r="D607" s="24" t="s">
        <v>6254</v>
      </c>
      <c r="E607" s="24">
        <v>0.65449999999999997</v>
      </c>
      <c r="F607" s="24">
        <v>5.2107000000000001</v>
      </c>
      <c r="G607" s="24">
        <v>2805072275.73</v>
      </c>
      <c r="H607" s="24">
        <v>22</v>
      </c>
      <c r="I607" s="24" t="s">
        <v>6255</v>
      </c>
    </row>
    <row r="608" spans="1:9" x14ac:dyDescent="0.35">
      <c r="A608" s="24" t="s">
        <v>5049</v>
      </c>
      <c r="B608" s="24" t="str">
        <f>"TIGO"</f>
        <v>TIGO</v>
      </c>
      <c r="C608" s="24" t="str">
        <f t="shared" si="9"/>
        <v>'TIGO'</v>
      </c>
      <c r="D608" s="24" t="s">
        <v>6256</v>
      </c>
      <c r="E608" s="24">
        <v>0.64959999999999996</v>
      </c>
      <c r="F608" s="24">
        <v>1.0286</v>
      </c>
      <c r="G608" s="24">
        <v>2297481600</v>
      </c>
      <c r="H608" s="24">
        <v>0</v>
      </c>
      <c r="I608" s="24" t="s">
        <v>6257</v>
      </c>
    </row>
    <row r="609" spans="1:9" x14ac:dyDescent="0.35">
      <c r="A609" s="24" t="s">
        <v>5044</v>
      </c>
      <c r="B609" s="24" t="str">
        <f>"EBR"</f>
        <v>EBR</v>
      </c>
      <c r="C609" s="24" t="str">
        <f t="shared" si="9"/>
        <v>'EBR'</v>
      </c>
      <c r="D609" s="24" t="s">
        <v>6258</v>
      </c>
      <c r="E609" s="24">
        <v>0.60599999999999998</v>
      </c>
      <c r="G609" s="24">
        <v>9911199563.2399998</v>
      </c>
      <c r="H609" s="24">
        <v>0</v>
      </c>
      <c r="I609" s="24" t="s">
        <v>6259</v>
      </c>
    </row>
    <row r="610" spans="1:9" x14ac:dyDescent="0.35">
      <c r="A610" s="24" t="s">
        <v>5044</v>
      </c>
      <c r="B610" s="24" t="str">
        <f>"TDOC"</f>
        <v>TDOC</v>
      </c>
      <c r="C610" s="24" t="str">
        <f t="shared" si="9"/>
        <v>'TDOC'</v>
      </c>
      <c r="D610" s="24" t="s">
        <v>6260</v>
      </c>
      <c r="E610" s="24">
        <v>0.60060000000000002</v>
      </c>
      <c r="F610" s="24">
        <v>3.1297999999999999</v>
      </c>
      <c r="G610" s="24">
        <v>3635263103.1500001</v>
      </c>
      <c r="H610" s="24">
        <v>26</v>
      </c>
      <c r="I610" s="24" t="s">
        <v>6261</v>
      </c>
    </row>
    <row r="611" spans="1:9" x14ac:dyDescent="0.35">
      <c r="A611" s="24" t="s">
        <v>5044</v>
      </c>
      <c r="B611" s="24" t="str">
        <f>"ASX"</f>
        <v>ASX</v>
      </c>
      <c r="C611" s="24" t="str">
        <f t="shared" si="9"/>
        <v>'ASX'</v>
      </c>
      <c r="D611" s="24" t="s">
        <v>6262</v>
      </c>
      <c r="E611" s="24">
        <v>0.59519999999999995</v>
      </c>
      <c r="F611" s="24">
        <v>1.2155</v>
      </c>
      <c r="G611" s="24">
        <v>5612385029.5799999</v>
      </c>
      <c r="H611" s="24">
        <v>15</v>
      </c>
      <c r="I611" s="24" t="s">
        <v>6263</v>
      </c>
    </row>
    <row r="612" spans="1:9" x14ac:dyDescent="0.35">
      <c r="A612" s="24" t="s">
        <v>5049</v>
      </c>
      <c r="B612" s="24" t="str">
        <f>"GT"</f>
        <v>GT</v>
      </c>
      <c r="C612" s="24" t="str">
        <f t="shared" si="9"/>
        <v>'GT'</v>
      </c>
      <c r="D612" s="24" t="s">
        <v>6264</v>
      </c>
      <c r="E612" s="24">
        <v>0.59330000000000005</v>
      </c>
      <c r="F612" s="24">
        <v>1.3341000000000001</v>
      </c>
      <c r="G612" s="24">
        <v>3018127062.0599999</v>
      </c>
      <c r="H612" s="24">
        <v>1</v>
      </c>
      <c r="I612" s="24" t="s">
        <v>6265</v>
      </c>
    </row>
    <row r="613" spans="1:9" x14ac:dyDescent="0.35">
      <c r="A613" s="24" t="s">
        <v>5044</v>
      </c>
      <c r="B613" s="24" t="str">
        <f>"X"</f>
        <v>X</v>
      </c>
      <c r="C613" s="24" t="str">
        <f t="shared" si="9"/>
        <v>'X'</v>
      </c>
      <c r="D613" s="24" t="s">
        <v>6266</v>
      </c>
      <c r="E613" s="24">
        <v>0.57189999999999996</v>
      </c>
      <c r="F613" s="24">
        <v>2.0308000000000002</v>
      </c>
      <c r="G613" s="24">
        <v>5962144624.8000002</v>
      </c>
      <c r="H613" s="24">
        <v>5</v>
      </c>
      <c r="I613" s="24" t="s">
        <v>6267</v>
      </c>
    </row>
    <row r="614" spans="1:9" x14ac:dyDescent="0.35">
      <c r="A614" s="24" t="s">
        <v>5049</v>
      </c>
      <c r="B614" s="24" t="str">
        <f>"VOD"</f>
        <v>VOD</v>
      </c>
      <c r="C614" s="24" t="str">
        <f t="shared" si="9"/>
        <v>'VOD'</v>
      </c>
      <c r="D614" s="24" t="s">
        <v>6268</v>
      </c>
      <c r="E614" s="24">
        <v>0.55569999999999997</v>
      </c>
      <c r="F614" s="24">
        <v>0.8196</v>
      </c>
      <c r="G614" s="24">
        <v>30489050286.459999</v>
      </c>
      <c r="H614" s="24">
        <v>7</v>
      </c>
      <c r="I614" s="24" t="s">
        <v>6269</v>
      </c>
    </row>
    <row r="615" spans="1:9" x14ac:dyDescent="0.35">
      <c r="A615" s="24" t="s">
        <v>5049</v>
      </c>
      <c r="B615" s="24" t="str">
        <f>"WBD"</f>
        <v>WBD</v>
      </c>
      <c r="C615" s="24" t="str">
        <f t="shared" si="9"/>
        <v>'WBD'</v>
      </c>
      <c r="D615" s="24" t="s">
        <v>6270</v>
      </c>
      <c r="E615" s="24">
        <v>0.54359999999999997</v>
      </c>
      <c r="F615" s="24">
        <v>0.86350000000000005</v>
      </c>
      <c r="G615" s="24">
        <v>26372380722.900002</v>
      </c>
      <c r="H615" s="24">
        <v>6</v>
      </c>
      <c r="I615" s="24" t="s">
        <v>6271</v>
      </c>
    </row>
    <row r="616" spans="1:9" x14ac:dyDescent="0.35">
      <c r="A616" s="24" t="s">
        <v>5049</v>
      </c>
      <c r="B616" s="24" t="str">
        <f>"PARA"</f>
        <v>PARA</v>
      </c>
      <c r="C616" s="24" t="str">
        <f t="shared" si="9"/>
        <v>'PARA'</v>
      </c>
      <c r="D616" s="24" t="s">
        <v>6272</v>
      </c>
      <c r="E616" s="24">
        <v>0.53859999999999997</v>
      </c>
      <c r="F616" s="24">
        <v>1.3097000000000001</v>
      </c>
      <c r="G616" s="24">
        <v>12113594509.26</v>
      </c>
      <c r="H616" s="24">
        <v>3</v>
      </c>
      <c r="I616" s="24" t="s">
        <v>6273</v>
      </c>
    </row>
    <row r="617" spans="1:9" x14ac:dyDescent="0.35">
      <c r="A617" s="24" t="s">
        <v>5044</v>
      </c>
      <c r="B617" s="24" t="str">
        <f>"MT"</f>
        <v>MT</v>
      </c>
      <c r="C617" s="24" t="str">
        <f t="shared" si="9"/>
        <v>'MT'</v>
      </c>
      <c r="D617" s="24" t="s">
        <v>6274</v>
      </c>
      <c r="E617" s="24">
        <v>0.51790000000000003</v>
      </c>
      <c r="G617" s="24">
        <v>25277286355.5</v>
      </c>
      <c r="H617" s="24">
        <v>2</v>
      </c>
      <c r="I617" s="24" t="s">
        <v>6275</v>
      </c>
    </row>
    <row r="618" spans="1:9" x14ac:dyDescent="0.35">
      <c r="A618" s="24" t="s">
        <v>5044</v>
      </c>
      <c r="B618" s="24" t="str">
        <f>"NTCO"</f>
        <v>NTCO</v>
      </c>
      <c r="C618" s="24" t="str">
        <f t="shared" si="9"/>
        <v>'NTCO'</v>
      </c>
      <c r="D618" s="24" t="s">
        <v>6276</v>
      </c>
      <c r="E618" s="24">
        <v>0.51329999999999998</v>
      </c>
      <c r="G618" s="24">
        <v>3035086423.5999999</v>
      </c>
      <c r="H618" s="24">
        <v>0</v>
      </c>
      <c r="I618" s="24" t="s">
        <v>6277</v>
      </c>
    </row>
    <row r="619" spans="1:9" x14ac:dyDescent="0.35">
      <c r="A619" s="24" t="s">
        <v>5044</v>
      </c>
      <c r="B619" s="24" t="str">
        <f>"KT"</f>
        <v>KT</v>
      </c>
      <c r="C619" s="24" t="str">
        <f t="shared" si="9"/>
        <v>'KT'</v>
      </c>
      <c r="D619" s="24" t="s">
        <v>6278</v>
      </c>
      <c r="E619" s="24">
        <v>0.51319999999999999</v>
      </c>
      <c r="G619" s="24">
        <v>6286645172.3599997</v>
      </c>
      <c r="H619" s="24">
        <v>0</v>
      </c>
      <c r="I619" s="24" t="s">
        <v>6279</v>
      </c>
    </row>
    <row r="620" spans="1:9" x14ac:dyDescent="0.35">
      <c r="A620" s="24" t="s">
        <v>5049</v>
      </c>
      <c r="B620" s="24" t="str">
        <f>"YY"</f>
        <v>YY</v>
      </c>
      <c r="C620" s="24" t="str">
        <f t="shared" si="9"/>
        <v>'YY'</v>
      </c>
      <c r="D620" s="24" t="s">
        <v>6280</v>
      </c>
      <c r="E620" s="24">
        <v>0.50439999999999996</v>
      </c>
      <c r="F620" s="24">
        <v>1.5242</v>
      </c>
      <c r="G620" s="24">
        <v>2782083150</v>
      </c>
      <c r="H620" s="24">
        <v>35</v>
      </c>
      <c r="I620" s="24" t="s">
        <v>6281</v>
      </c>
    </row>
    <row r="621" spans="1:9" x14ac:dyDescent="0.35">
      <c r="A621" s="24" t="s">
        <v>5044</v>
      </c>
      <c r="B621" s="24" t="str">
        <f>"HMC"</f>
        <v>HMC</v>
      </c>
      <c r="C621" s="24" t="str">
        <f t="shared" si="9"/>
        <v>'HMC'</v>
      </c>
      <c r="D621" s="24" t="s">
        <v>6282</v>
      </c>
      <c r="E621" s="24">
        <v>0.4753</v>
      </c>
      <c r="F621" s="24">
        <v>1.4367000000000001</v>
      </c>
      <c r="G621" s="24">
        <v>39738765101.489998</v>
      </c>
      <c r="H621" s="24">
        <v>13</v>
      </c>
      <c r="I621" s="24" t="s">
        <v>6283</v>
      </c>
    </row>
    <row r="622" spans="1:9" x14ac:dyDescent="0.35">
      <c r="A622" s="24" t="s">
        <v>5044</v>
      </c>
      <c r="B622" s="24" t="str">
        <f>"PKX"</f>
        <v>PKX</v>
      </c>
      <c r="C622" s="24" t="str">
        <f t="shared" si="9"/>
        <v>'PKX'</v>
      </c>
      <c r="D622" s="24" t="s">
        <v>6284</v>
      </c>
      <c r="E622" s="24">
        <v>0.45069999999999999</v>
      </c>
      <c r="F622" s="24">
        <v>2.0142000000000002</v>
      </c>
      <c r="G622" s="24">
        <v>18548162163.599998</v>
      </c>
      <c r="H622" s="24">
        <v>3</v>
      </c>
      <c r="I622" s="24" t="s">
        <v>6285</v>
      </c>
    </row>
    <row r="623" spans="1:9" x14ac:dyDescent="0.35">
      <c r="A623" s="24" t="s">
        <v>5044</v>
      </c>
      <c r="B623" s="24" t="str">
        <f>"LUMN"</f>
        <v>LUMN</v>
      </c>
      <c r="C623" s="24" t="str">
        <f t="shared" si="9"/>
        <v>'LUMN'</v>
      </c>
      <c r="D623" s="24" t="s">
        <v>6286</v>
      </c>
      <c r="E623" s="24">
        <v>0.4491</v>
      </c>
      <c r="F623" s="24">
        <v>1.0765</v>
      </c>
      <c r="G623" s="24">
        <v>5648822322.7799997</v>
      </c>
      <c r="H623" s="24">
        <v>3</v>
      </c>
      <c r="I623" s="24" t="s">
        <v>6287</v>
      </c>
    </row>
    <row r="624" spans="1:9" x14ac:dyDescent="0.35">
      <c r="A624" s="24" t="s">
        <v>5049</v>
      </c>
      <c r="B624" s="24" t="str">
        <f>"LBTYA"</f>
        <v>LBTYA</v>
      </c>
      <c r="C624" s="24" t="str">
        <f t="shared" si="9"/>
        <v>'LBTYA'</v>
      </c>
      <c r="D624" s="24" t="s">
        <v>6288</v>
      </c>
      <c r="E624" s="24">
        <v>0.40260000000000001</v>
      </c>
      <c r="F624" s="24">
        <v>1.6161000000000001</v>
      </c>
      <c r="G624" s="24">
        <v>9411140880.4400005</v>
      </c>
      <c r="H624" s="24">
        <v>11</v>
      </c>
      <c r="I624" s="24" t="s">
        <v>6289</v>
      </c>
    </row>
    <row r="625" spans="1:9" x14ac:dyDescent="0.35">
      <c r="A625" s="24" t="s">
        <v>5044</v>
      </c>
      <c r="B625" s="24" t="str">
        <f>"ZIM"</f>
        <v>ZIM</v>
      </c>
      <c r="C625" s="24" t="str">
        <f t="shared" si="9"/>
        <v>'ZIM'</v>
      </c>
      <c r="D625" s="24" t="s">
        <v>6290</v>
      </c>
      <c r="E625" s="24">
        <v>0.37509999999999999</v>
      </c>
      <c r="F625" s="24">
        <v>1.5786</v>
      </c>
      <c r="G625" s="24">
        <v>2046808050.6500001</v>
      </c>
      <c r="H625" s="24">
        <v>4</v>
      </c>
      <c r="I625" s="24" t="s">
        <v>6291</v>
      </c>
    </row>
    <row r="626" spans="1:9" x14ac:dyDescent="0.35">
      <c r="A626" s="24" t="s">
        <v>5044</v>
      </c>
      <c r="B626" s="24" t="str">
        <f>"RIG"</f>
        <v>RIG</v>
      </c>
      <c r="C626" s="24" t="str">
        <f t="shared" si="9"/>
        <v>'RIG'</v>
      </c>
      <c r="D626" s="24" t="s">
        <v>6292</v>
      </c>
      <c r="E626" s="24">
        <v>0.29570000000000002</v>
      </c>
      <c r="F626" s="24">
        <v>1.6405000000000001</v>
      </c>
      <c r="G626" s="24">
        <v>3320686764.1999998</v>
      </c>
      <c r="H626" s="24">
        <v>2</v>
      </c>
      <c r="I626" s="24" t="s">
        <v>6293</v>
      </c>
    </row>
    <row r="627" spans="1:9" x14ac:dyDescent="0.35">
      <c r="A627" s="24" t="s">
        <v>5049</v>
      </c>
      <c r="B627" s="24" t="str">
        <f>"CVET"</f>
        <v>CVET</v>
      </c>
      <c r="C627" s="24" t="str">
        <f t="shared" si="9"/>
        <v>'CVET'</v>
      </c>
      <c r="D627" s="24" t="s">
        <v>6294</v>
      </c>
      <c r="F627" s="24">
        <v>1.8798999999999999</v>
      </c>
      <c r="H627" s="24">
        <v>1</v>
      </c>
      <c r="I627" s="24" t="s">
        <v>6295</v>
      </c>
    </row>
    <row r="628" spans="1:9" x14ac:dyDescent="0.35">
      <c r="A628" s="24" t="s">
        <v>5044</v>
      </c>
      <c r="B628" s="24" t="str">
        <f>"CLR"</f>
        <v>CLR</v>
      </c>
      <c r="C628" s="24" t="str">
        <f t="shared" si="9"/>
        <v>'CLR'</v>
      </c>
      <c r="D628" s="24" t="s">
        <v>6296</v>
      </c>
      <c r="F628" s="24">
        <v>1.1971000000000001</v>
      </c>
      <c r="H628" s="24">
        <v>4</v>
      </c>
      <c r="I628" s="24" t="s">
        <v>6297</v>
      </c>
    </row>
    <row r="629" spans="1:9" x14ac:dyDescent="0.35">
      <c r="A629" s="24" t="s">
        <v>5044</v>
      </c>
      <c r="B629" s="24" t="str">
        <f>"IS"</f>
        <v>IS</v>
      </c>
      <c r="C629" s="24" t="str">
        <f t="shared" si="9"/>
        <v>'IS'</v>
      </c>
      <c r="D629" s="24" t="s">
        <v>6298</v>
      </c>
      <c r="F629" s="24">
        <v>2.1713</v>
      </c>
      <c r="H629" s="24">
        <v>1</v>
      </c>
      <c r="I629" s="24" t="s">
        <v>6299</v>
      </c>
    </row>
    <row r="630" spans="1:9" x14ac:dyDescent="0.35">
      <c r="A630" s="24" t="s">
        <v>5044</v>
      </c>
      <c r="B630" s="24" t="str">
        <f>"NE"</f>
        <v>NE</v>
      </c>
      <c r="C630" s="24" t="str">
        <f t="shared" si="9"/>
        <v>'NE'</v>
      </c>
      <c r="D630" s="24" t="s">
        <v>6300</v>
      </c>
      <c r="F630" s="24">
        <v>2.8071999999999999</v>
      </c>
      <c r="H630" s="24">
        <v>0</v>
      </c>
      <c r="I630" s="24" t="s">
        <v>6301</v>
      </c>
    </row>
    <row r="631" spans="1:9" x14ac:dyDescent="0.35">
      <c r="A631" s="24" t="s">
        <v>5044</v>
      </c>
      <c r="B631" s="24" t="str">
        <f>"NLSN"</f>
        <v>NLSN</v>
      </c>
      <c r="C631" s="24" t="str">
        <f t="shared" si="9"/>
        <v>'NLSN'</v>
      </c>
      <c r="D631" s="24" t="s">
        <v>6302</v>
      </c>
      <c r="F631" s="24">
        <v>1.0701000000000001</v>
      </c>
      <c r="H631" s="24">
        <v>2</v>
      </c>
      <c r="I631" s="24" t="s">
        <v>6303</v>
      </c>
    </row>
    <row r="632" spans="1:9" x14ac:dyDescent="0.35">
      <c r="A632" s="24" t="s">
        <v>5044</v>
      </c>
      <c r="B632" s="24" t="str">
        <f>"SHLX"</f>
        <v>SHLX</v>
      </c>
      <c r="C632" s="24" t="str">
        <f t="shared" si="9"/>
        <v>'SHLX'</v>
      </c>
      <c r="D632" s="24" t="s">
        <v>6304</v>
      </c>
      <c r="F632" s="24">
        <v>1.1760999999999999</v>
      </c>
      <c r="H632" s="24">
        <v>0</v>
      </c>
      <c r="I632" s="24" t="s">
        <v>6305</v>
      </c>
    </row>
    <row r="633" spans="1:9" x14ac:dyDescent="0.35">
      <c r="A633" s="24" t="s">
        <v>5044</v>
      </c>
      <c r="B633" s="24" t="str">
        <f>"TMX"</f>
        <v>TMX</v>
      </c>
      <c r="C633" s="24" t="str">
        <f t="shared" si="9"/>
        <v>'TMX'</v>
      </c>
      <c r="D633" s="24" t="s">
        <v>6306</v>
      </c>
      <c r="F633" s="24">
        <v>1.2830999999999999</v>
      </c>
      <c r="H633" s="24">
        <v>0</v>
      </c>
      <c r="I633" s="24" t="s">
        <v>6307</v>
      </c>
    </row>
    <row r="634" spans="1:9" x14ac:dyDescent="0.35">
      <c r="B634" s="25" t="s">
        <v>6308</v>
      </c>
      <c r="C634" s="24" t="str">
        <f t="shared" si="9"/>
        <v>'AMCX'</v>
      </c>
    </row>
    <row r="635" spans="1:9" x14ac:dyDescent="0.35">
      <c r="B635" s="25" t="s">
        <v>6309</v>
      </c>
      <c r="C635" s="24" t="str">
        <f t="shared" si="9"/>
        <v>'AGX'</v>
      </c>
    </row>
    <row r="636" spans="1:9" x14ac:dyDescent="0.35">
      <c r="B636" s="25" t="s">
        <v>6310</v>
      </c>
      <c r="C636" s="24" t="str">
        <f t="shared" si="9"/>
        <v>'ASRT'</v>
      </c>
    </row>
    <row r="637" spans="1:9" x14ac:dyDescent="0.35">
      <c r="B637" s="25" t="s">
        <v>6311</v>
      </c>
      <c r="C637" s="24" t="str">
        <f t="shared" si="9"/>
        <v>'AVIR'</v>
      </c>
    </row>
    <row r="638" spans="1:9" x14ac:dyDescent="0.35">
      <c r="B638" s="25" t="s">
        <v>6312</v>
      </c>
      <c r="C638" s="24" t="str">
        <f t="shared" si="9"/>
        <v>'ATKR'</v>
      </c>
    </row>
    <row r="639" spans="1:9" x14ac:dyDescent="0.35">
      <c r="B639" s="25" t="s">
        <v>6313</v>
      </c>
      <c r="C639" s="24" t="str">
        <f t="shared" si="9"/>
        <v>'BKE'</v>
      </c>
    </row>
    <row r="640" spans="1:9" x14ac:dyDescent="0.35">
      <c r="B640" s="25" t="s">
        <v>6314</v>
      </c>
      <c r="C640" s="24" t="str">
        <f t="shared" si="9"/>
        <v>'CLMB'</v>
      </c>
    </row>
    <row r="641" spans="2:3" x14ac:dyDescent="0.35">
      <c r="B641" s="25" t="s">
        <v>6315</v>
      </c>
      <c r="C641" s="24" t="str">
        <f t="shared" si="9"/>
        <v>'CODX'</v>
      </c>
    </row>
    <row r="642" spans="2:3" x14ac:dyDescent="0.35">
      <c r="B642" s="25" t="s">
        <v>6316</v>
      </c>
      <c r="C642" s="24" t="str">
        <f t="shared" si="9"/>
        <v>'DLHC'</v>
      </c>
    </row>
    <row r="643" spans="2:3" x14ac:dyDescent="0.35">
      <c r="B643" s="25" t="s">
        <v>6317</v>
      </c>
      <c r="C643" s="24" t="str">
        <f t="shared" ref="C643:C675" si="10">"'"&amp;B643&amp;"'"</f>
        <v>'DVAX'</v>
      </c>
    </row>
    <row r="644" spans="2:3" x14ac:dyDescent="0.35">
      <c r="B644" s="25" t="s">
        <v>6318</v>
      </c>
      <c r="C644" s="24" t="str">
        <f t="shared" si="10"/>
        <v>'MO'</v>
      </c>
    </row>
    <row r="645" spans="2:3" x14ac:dyDescent="0.35">
      <c r="B645" s="25" t="s">
        <v>6319</v>
      </c>
      <c r="C645" s="24" t="str">
        <f t="shared" si="10"/>
        <v>'AMN'</v>
      </c>
    </row>
    <row r="646" spans="2:3" x14ac:dyDescent="0.35">
      <c r="B646" s="25" t="s">
        <v>6320</v>
      </c>
      <c r="C646" s="24" t="str">
        <f t="shared" si="10"/>
        <v>'DELL'</v>
      </c>
    </row>
    <row r="647" spans="2:3" x14ac:dyDescent="0.35">
      <c r="B647" s="25" t="s">
        <v>6321</v>
      </c>
      <c r="C647" s="24" t="str">
        <f t="shared" si="10"/>
        <v>'DGRX'</v>
      </c>
    </row>
    <row r="648" spans="2:3" x14ac:dyDescent="0.35">
      <c r="B648" s="25" t="s">
        <v>6322</v>
      </c>
      <c r="C648" s="24" t="str">
        <f t="shared" si="10"/>
        <v>'ERF'</v>
      </c>
    </row>
    <row r="649" spans="2:3" x14ac:dyDescent="0.35">
      <c r="B649" s="25" t="s">
        <v>6323</v>
      </c>
      <c r="C649" s="24" t="str">
        <f t="shared" si="10"/>
        <v>'EXPD'</v>
      </c>
    </row>
    <row r="650" spans="2:3" x14ac:dyDescent="0.35">
      <c r="B650" s="25" t="s">
        <v>6324</v>
      </c>
      <c r="C650" s="24" t="str">
        <f t="shared" si="10"/>
        <v>'FLGT'</v>
      </c>
    </row>
    <row r="651" spans="2:3" x14ac:dyDescent="0.35">
      <c r="B651" s="25" t="s">
        <v>6325</v>
      </c>
      <c r="C651" s="24" t="str">
        <f t="shared" si="10"/>
        <v>'GTX'</v>
      </c>
    </row>
    <row r="652" spans="2:3" x14ac:dyDescent="0.35">
      <c r="B652" s="25" t="s">
        <v>6326</v>
      </c>
      <c r="C652" s="24" t="str">
        <f t="shared" si="10"/>
        <v>'GPRO'</v>
      </c>
    </row>
    <row r="653" spans="2:3" x14ac:dyDescent="0.35">
      <c r="B653" s="25" t="s">
        <v>6327</v>
      </c>
      <c r="C653" s="24" t="str">
        <f t="shared" si="10"/>
        <v>'HVT'</v>
      </c>
    </row>
    <row r="654" spans="2:3" x14ac:dyDescent="0.35">
      <c r="B654" s="25" t="s">
        <v>6328</v>
      </c>
      <c r="C654" s="24" t="str">
        <f t="shared" si="10"/>
        <v>'HSII'</v>
      </c>
    </row>
    <row r="655" spans="2:3" x14ac:dyDescent="0.35">
      <c r="B655" s="25" t="s">
        <v>6329</v>
      </c>
      <c r="C655" s="24" t="str">
        <f t="shared" si="10"/>
        <v>'HPQ'</v>
      </c>
    </row>
    <row r="656" spans="2:3" x14ac:dyDescent="0.35">
      <c r="B656" s="25" t="s">
        <v>6330</v>
      </c>
      <c r="C656" s="24" t="str">
        <f t="shared" si="10"/>
        <v>'HDSN'</v>
      </c>
    </row>
    <row r="657" spans="2:3" x14ac:dyDescent="0.35">
      <c r="B657" s="25" t="s">
        <v>6331</v>
      </c>
      <c r="C657" s="24" t="str">
        <f t="shared" si="10"/>
        <v>'INVA'</v>
      </c>
    </row>
    <row r="658" spans="2:3" x14ac:dyDescent="0.35">
      <c r="B658" s="25" t="s">
        <v>6332</v>
      </c>
      <c r="C658" s="24" t="str">
        <f t="shared" si="10"/>
        <v>'IRWD'</v>
      </c>
    </row>
    <row r="659" spans="2:3" x14ac:dyDescent="0.35">
      <c r="B659" s="25" t="s">
        <v>6333</v>
      </c>
      <c r="C659" s="24" t="str">
        <f t="shared" si="10"/>
        <v>'ITOS'</v>
      </c>
    </row>
    <row r="660" spans="2:3" x14ac:dyDescent="0.35">
      <c r="B660" s="25" t="s">
        <v>6334</v>
      </c>
      <c r="C660" s="24" t="str">
        <f t="shared" si="10"/>
        <v>'JILL'</v>
      </c>
    </row>
    <row r="661" spans="2:3" x14ac:dyDescent="0.35">
      <c r="B661" s="25" t="s">
        <v>6335</v>
      </c>
      <c r="C661" s="24" t="str">
        <f t="shared" si="10"/>
        <v>'MCFT'</v>
      </c>
    </row>
    <row r="662" spans="2:3" x14ac:dyDescent="0.35">
      <c r="B662" s="25" t="s">
        <v>6336</v>
      </c>
      <c r="C662" s="24" t="str">
        <f t="shared" si="10"/>
        <v>'MED'</v>
      </c>
    </row>
    <row r="663" spans="2:3" x14ac:dyDescent="0.35">
      <c r="B663" s="25" t="s">
        <v>6337</v>
      </c>
      <c r="C663" s="24" t="str">
        <f t="shared" si="10"/>
        <v>'MRNA'</v>
      </c>
    </row>
    <row r="664" spans="2:3" x14ac:dyDescent="0.35">
      <c r="B664" s="25" t="s">
        <v>6338</v>
      </c>
      <c r="C664" s="24" t="str">
        <f t="shared" si="10"/>
        <v>'PRDO'</v>
      </c>
    </row>
    <row r="665" spans="2:3" x14ac:dyDescent="0.35">
      <c r="B665" s="25" t="s">
        <v>6339</v>
      </c>
      <c r="C665" s="24" t="str">
        <f t="shared" si="10"/>
        <v>'PFE'</v>
      </c>
    </row>
    <row r="666" spans="2:3" x14ac:dyDescent="0.35">
      <c r="B666" s="25" t="s">
        <v>6340</v>
      </c>
      <c r="C666" s="24" t="str">
        <f t="shared" si="10"/>
        <v>'RHI'</v>
      </c>
    </row>
    <row r="667" spans="2:3" x14ac:dyDescent="0.35">
      <c r="B667" s="25" t="s">
        <v>6341</v>
      </c>
      <c r="C667" s="24" t="str">
        <f t="shared" si="10"/>
        <v>'SCPL'</v>
      </c>
    </row>
    <row r="668" spans="2:3" x14ac:dyDescent="0.35">
      <c r="B668" s="25" t="s">
        <v>6342</v>
      </c>
      <c r="C668" s="24" t="str">
        <f t="shared" si="10"/>
        <v>'SIGA'</v>
      </c>
    </row>
    <row r="669" spans="2:3" x14ac:dyDescent="0.35">
      <c r="B669" s="25" t="s">
        <v>6343</v>
      </c>
      <c r="C669" s="24" t="str">
        <f t="shared" si="10"/>
        <v>'SWN'</v>
      </c>
    </row>
    <row r="670" spans="2:3" x14ac:dyDescent="0.35">
      <c r="B670" s="25" t="s">
        <v>6344</v>
      </c>
      <c r="C670" s="24" t="str">
        <f t="shared" si="10"/>
        <v>'TNET'</v>
      </c>
    </row>
    <row r="671" spans="2:3" x14ac:dyDescent="0.35">
      <c r="B671" s="25" t="s">
        <v>6345</v>
      </c>
      <c r="C671" s="24" t="str">
        <f t="shared" si="10"/>
        <v>'UNTC'</v>
      </c>
    </row>
    <row r="672" spans="2:3" x14ac:dyDescent="0.35">
      <c r="B672" s="25" t="s">
        <v>6346</v>
      </c>
      <c r="C672" s="24" t="str">
        <f t="shared" si="10"/>
        <v>'VNDA'</v>
      </c>
    </row>
    <row r="673" spans="1:3" x14ac:dyDescent="0.35">
      <c r="B673" s="25" t="s">
        <v>6347</v>
      </c>
      <c r="C673" s="24" t="str">
        <f t="shared" si="10"/>
        <v>'HCC'</v>
      </c>
    </row>
    <row r="674" spans="1:3" x14ac:dyDescent="0.35">
      <c r="B674" s="25" t="s">
        <v>6348</v>
      </c>
      <c r="C674" s="24" t="str">
        <f t="shared" si="10"/>
        <v>'WSM'</v>
      </c>
    </row>
    <row r="675" spans="1:3" x14ac:dyDescent="0.35">
      <c r="B675" s="25" t="s">
        <v>6349</v>
      </c>
      <c r="C675" s="24" t="str">
        <f t="shared" si="10"/>
        <v>'WW'</v>
      </c>
    </row>
    <row r="677" spans="1:3" x14ac:dyDescent="0.35">
      <c r="A677" s="24" t="s">
        <v>3235</v>
      </c>
    </row>
    <row r="679" spans="1:3" x14ac:dyDescent="0.35">
      <c r="C679" s="24" t="str">
        <f>ConcatDelim(C2:C675,",")</f>
        <v>'W','DPZ','SABR','EVOP','ACDC','BBWI','YUM','KNTK','FUN','BHC','MYOV','CCOI','OGN','IHG','OTIS','BA','NTNX','BOX','BCRX','BRBR','TDG','PZZA','LOW','WING','MLCO','CAH','LESL','PTCT','RNG','WYNN','DBX','VRSN','PM','MAS','ALVO','MTCH','HRB','FICO','HCA','LII','SPLK','ETSY','MCD','MCK','WEBR','MSCI','STX','OSH','PLNT','TPX','HLT','PLTK','UI','BOWL','FTNT','WIX','AON','SPR','MSI','ABC','INSM','LYV','CYTK','MTD','ALNY','HD','WK','ZTO','SSD','MGEE','CBZ','MIDD','RIO','SPGI','HEP','SAP','IGT','OLN','LEG','HCM','ESLT','WPM','ABEV','PNR','SLAB','CNM','SHOO','CWEN','BDX','SNA','PCAR','MMS','AGCO','DRVN','H','CRCT','DGX','SYNA','EQNR','WIT','TRU','VRNT','WPP','AYI','IART','BLD','GIL','SKY','MGM','JCI','GFI','ALV','SIM','LKQ','TEX','BDC','TKC','BC','EXAS','SWKS','UAL','SPXC','HQY','RYN','UTHR','WTW','INST','FLR','HI','NEX','CPA','MTZ','META','DAR','CMS','ACHC','CIEN','LFUS','GNRC','DASH','NCNO','WEC','FSLR','GTLS','CNXC','NUVA','KOF','CWT','PLXS','CCCS','GLW','DTM','JD','AMED','LIVN','SMCI','MAXR','PFGC','ASO','PDCO','ICE','NUS','J','UAA','BRC','TMUS','ORA','GO','SUZ','BILL','DORM','LTHM','CEG','CRUS','CTSH','PXD','FUTU','PKI','ESAB','GE','IR','SUPN','XOM','CE','TKR','ARCH','RBC','FRPT','DIOD','FLS','ACIW','CERT','TDY','FTV','AN','LYB','NVT','MRTX','BAK','FUL','CCJ','BERY','CEIX','AY','LITE','ZWS','IOSP','SMPL','JNPR','SNN','KWR','CHT','XEL','SQ','NXST','FLEX','COO','CME','PSN','AGTI','OLLI','SSNC','AU','CACI','CRM','RPRX','FCFS','AZEK','NCR','VLO','EVO','ADI','CEQP','SIG','PTEN','S','CVCO','MTDR','ABCL','SO','BEKE','HOG','XPO','STLD','ONTO','NSIT','CABO','BMBL','INFA','CVX','ONEM','ASGN','ZBH','LHX','TXT','PPC','OUT','KLIC','EXEL','OTEX','ESE','ROKU','ITRI','INGR','RTX','SJM','DNA','LH','MQ','ENS','QRVO','EPD','DOW','ST','OSK','SPB','MPC','MDT','OTTR','ZD','WY','BKR','FISV','MLI','OI','CALM','YMM','SCL','GXO','CMCSA','AIMC','SGRY','ROG','USFD','TAC','OMCL','BABA','PAG','UFPI','APG','UNVR','SRCL','BECN','NUE','WHR','PBH','OKTA','OXY','LBRT','ICLR','ICUI','UNF','IDA','NEM','GRAB','CAE','MOG.A','APP','EMN','ADM','NVEI','SKX','HAYW','AVNT','FDX','VIPS','ESI','HELE','WERN','MRVL','CRSP','AEO','IPGP','TTWO','BP','BLDR','MAN','ICL','BNTX','PINC','KMX','WAB','CNP','AMD','CIG','CWK','NEP','GEF','AMKR','LUV','UHS','CSAN','CD','OC','ETR','HP','NPO','RS','ARLP','LEA','OGE','MDU','SUM','JOBY','XPEV','ZG','ZG','OR','CTLT','EURN','CMC','DIS','HL','ABM','GMS','ALC','AKO.B','PSX','EXC','ASH','AMR','MRCY','PLUG','LCII','WMK','PCG','SBSW','CCU','CNC','KMT','OGS','CTVA','ADNT','ERIC','SANM','M','TWNK','QS','CVS','EDU','AG','RCM','RUSHA','IMO','SAGE','CVE','CRH','POST','IHS','FTI','WOR','KFY','B','TRMD','ITGR','KD','MGA','NOV','GPS','ED','ATO','CRC','SNY','HUBG','IFF','TGNA','THS','PAGP','BG','VSH','VST','UMC','BKH','AGI','NWL','EC','PPL','PAAS','TCOM','RLX','SNDR','NE','AEM','VIR','PBR','CTRA','HUN','BB','WCC','PCH','BIO','ABG','NTR','AA','BTU','RNW','PSO','MRO','WIRE','DAN','BIDU','WB','ALK','ODP','BWA','BTG','FOXA','NRG','XRAY','MKSI','LBRDA','DD','TTE','GDS','GOLD','PTVE','NOK','EPC','QFIN','ALE','IP','DXC','BCC','UGP','NWSA','ARNC','WLK','NVST','PNW','TAL','COIN','AZTA','JLL','MTX','UGI','PENN','FMX','SBS','MOS','RRX','URBN','DCP','STNG','CLF','AUY','SHEL','SM','KNX','TEVA','GGB','MEOH','SWX','KEX','ATHM','ACA','ARW','SWK','UNFI','WOOF','AHCO','WDS','QDEL','GPN','CHRD','BTI','MU','FRO','F','GPI','TSN','FWONA','SNX','NTCT','THO','INTC','GTES','ET','CSIQ','SAVE','E','DINO','LAD','PBF','STNE','IBA','FL','BTEGF','TAK','SYNH','AZPN','NOMD','HPE','KHC','TIMB','PRGO','TECK','HOOD','REZI','GRFS','GLPG','VSAT','MATX','PVH','TROX','YPF','RIVN','SSRM','MODG','COHR','CAJ','JHG','CLVT','SSL','AVT','TEF','KGC','SEB','WDC','TM','MHK','VIV','CIVI','ENOV','PHG','JKS','TWLO','ELAN','BLCO','PAA','ORAN','TV','WFG','STLA','WRK','GRP.U','GM','ERJ','XRX','VTRS','IAC','KSS','RUN','FMS','GHC','LSPD','DQ','TIGO','EBR','TDOC','ASX','GT','X','VOD','WBD','PARA','MT','NTCO','KT','YY','HMC','PKX','LUMN','LBTYA','ZIM','RIG','CVET','CLR','IS','NE','NLSN','SHLX','TMX','AMCX','AGX','ASRT','AVIR','ATKR','BKE','CLMB','CODX','DLHC','DVAX','MO','AMN','DELL','DGRX','ERF','EXPD','FLGT','GTX','GPRO','HVT','HSII','HPQ','HDSN','INVA','IRWD','ITOS','JILL','MCFT','MED','MRNA','PRDO','PFE','RHI','SCPL','SIGA','SWN','TNET','UNTC','VNDA','HCC','WSM','WW'</v>
      </c>
    </row>
    <row r="681" spans="1:3" x14ac:dyDescent="0.35">
      <c r="C681" s="24" t="s">
        <v>6350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00913-9294-4AB1-AD0D-98252DC9AA65}">
  <dimension ref="A1:G231"/>
  <sheetViews>
    <sheetView tabSelected="1" topLeftCell="A201" workbookViewId="0">
      <selection activeCell="C223" sqref="C223"/>
    </sheetView>
  </sheetViews>
  <sheetFormatPr defaultRowHeight="14.5" x14ac:dyDescent="0.35"/>
  <cols>
    <col min="1" max="1" width="20.26953125" style="26" customWidth="1"/>
    <col min="2" max="3" width="8.7265625" style="26"/>
    <col min="4" max="4" width="16.08984375" style="26" customWidth="1"/>
    <col min="5" max="5" width="8.7265625" style="26"/>
    <col min="6" max="6" width="24.54296875" style="26" bestFit="1" customWidth="1"/>
    <col min="7" max="16384" width="8.7265625" style="26"/>
  </cols>
  <sheetData>
    <row r="1" spans="1:7" x14ac:dyDescent="0.35">
      <c r="A1" s="26" t="s">
        <v>6424</v>
      </c>
      <c r="B1" s="26" t="s">
        <v>6425</v>
      </c>
      <c r="D1" s="26" t="s">
        <v>1</v>
      </c>
      <c r="E1" s="26" t="s">
        <v>6426</v>
      </c>
      <c r="F1" s="26" t="s">
        <v>6427</v>
      </c>
      <c r="G1" s="26" t="s">
        <v>6428</v>
      </c>
    </row>
    <row r="2" spans="1:7" x14ac:dyDescent="0.35">
      <c r="A2" s="27">
        <v>44925</v>
      </c>
      <c r="B2" s="26">
        <v>1332</v>
      </c>
      <c r="C2" s="26" t="str">
        <f>"'"&amp;B2&amp;"T'"</f>
        <v>'1332T'</v>
      </c>
      <c r="D2" s="26" t="s">
        <v>6429</v>
      </c>
      <c r="E2" s="26" t="s">
        <v>6430</v>
      </c>
      <c r="F2" s="26" t="s">
        <v>6431</v>
      </c>
      <c r="G2" s="28">
        <v>7.2000000000000005E-4</v>
      </c>
    </row>
    <row r="3" spans="1:7" x14ac:dyDescent="0.35">
      <c r="A3" s="27">
        <v>44925</v>
      </c>
      <c r="B3" s="26">
        <v>1605</v>
      </c>
      <c r="C3" s="26" t="str">
        <f t="shared" ref="C3:C66" si="0">"'"&amp;B3&amp;"T'"</f>
        <v>'1605T'</v>
      </c>
      <c r="D3" s="26" t="s">
        <v>6432</v>
      </c>
      <c r="E3" s="26" t="s">
        <v>6433</v>
      </c>
      <c r="F3" s="26" t="s">
        <v>6434</v>
      </c>
      <c r="G3" s="28">
        <v>7.3300000000000004E-4</v>
      </c>
    </row>
    <row r="4" spans="1:7" x14ac:dyDescent="0.35">
      <c r="A4" s="27">
        <v>44925</v>
      </c>
      <c r="B4" s="26">
        <v>1721</v>
      </c>
      <c r="C4" s="26" t="str">
        <f t="shared" si="0"/>
        <v>'1721T'</v>
      </c>
      <c r="D4" s="26" t="s">
        <v>6435</v>
      </c>
      <c r="E4" s="26" t="s">
        <v>6436</v>
      </c>
      <c r="F4" s="26" t="s">
        <v>6437</v>
      </c>
      <c r="G4" s="28">
        <v>3.0379999999999999E-3</v>
      </c>
    </row>
    <row r="5" spans="1:7" x14ac:dyDescent="0.35">
      <c r="A5" s="27">
        <v>44925</v>
      </c>
      <c r="B5" s="26">
        <v>1801</v>
      </c>
      <c r="C5" s="26" t="str">
        <f t="shared" si="0"/>
        <v>'1801T'</v>
      </c>
      <c r="D5" s="26" t="s">
        <v>6438</v>
      </c>
      <c r="E5" s="26" t="s">
        <v>6436</v>
      </c>
      <c r="F5" s="26" t="s">
        <v>6437</v>
      </c>
      <c r="G5" s="28">
        <v>1.1150000000000001E-3</v>
      </c>
    </row>
    <row r="6" spans="1:7" x14ac:dyDescent="0.35">
      <c r="A6" s="27">
        <v>44925</v>
      </c>
      <c r="B6" s="26">
        <v>1802</v>
      </c>
      <c r="C6" s="26" t="str">
        <f t="shared" si="0"/>
        <v>'1802T'</v>
      </c>
      <c r="D6" s="26" t="s">
        <v>6439</v>
      </c>
      <c r="E6" s="26" t="s">
        <v>6436</v>
      </c>
      <c r="F6" s="26" t="s">
        <v>6437</v>
      </c>
      <c r="G6" s="28">
        <v>1.31E-3</v>
      </c>
    </row>
    <row r="7" spans="1:7" x14ac:dyDescent="0.35">
      <c r="A7" s="27">
        <v>44925</v>
      </c>
      <c r="B7" s="26">
        <v>1803</v>
      </c>
      <c r="C7" s="26" t="str">
        <f t="shared" si="0"/>
        <v>'1803T'</v>
      </c>
      <c r="D7" s="26" t="s">
        <v>6440</v>
      </c>
      <c r="E7" s="26" t="s">
        <v>6436</v>
      </c>
      <c r="F7" s="26" t="s">
        <v>6437</v>
      </c>
      <c r="G7" s="28">
        <v>9.2400000000000002E-4</v>
      </c>
    </row>
    <row r="8" spans="1:7" x14ac:dyDescent="0.35">
      <c r="A8" s="27">
        <v>44925</v>
      </c>
      <c r="B8" s="26">
        <v>1808</v>
      </c>
      <c r="C8" s="26" t="str">
        <f t="shared" si="0"/>
        <v>'1808T'</v>
      </c>
      <c r="D8" s="26" t="s">
        <v>6441</v>
      </c>
      <c r="E8" s="26" t="s">
        <v>6436</v>
      </c>
      <c r="F8" s="26" t="s">
        <v>6437</v>
      </c>
      <c r="G8" s="28">
        <v>3.8699999999999997E-4</v>
      </c>
    </row>
    <row r="9" spans="1:7" x14ac:dyDescent="0.35">
      <c r="A9" s="27">
        <v>44925</v>
      </c>
      <c r="B9" s="26">
        <v>1812</v>
      </c>
      <c r="C9" s="26" t="str">
        <f t="shared" si="0"/>
        <v>'1812T'</v>
      </c>
      <c r="D9" s="26" t="s">
        <v>6442</v>
      </c>
      <c r="E9" s="26" t="s">
        <v>6436</v>
      </c>
      <c r="F9" s="26" t="s">
        <v>6437</v>
      </c>
      <c r="G9" s="28">
        <v>1.008E-3</v>
      </c>
    </row>
    <row r="10" spans="1:7" x14ac:dyDescent="0.35">
      <c r="A10" s="27">
        <v>44925</v>
      </c>
      <c r="B10" s="26">
        <v>1925</v>
      </c>
      <c r="C10" s="26" t="str">
        <f t="shared" si="0"/>
        <v>'1925T'</v>
      </c>
      <c r="D10" s="26" t="s">
        <v>6443</v>
      </c>
      <c r="E10" s="26" t="s">
        <v>6436</v>
      </c>
      <c r="F10" s="26" t="s">
        <v>6437</v>
      </c>
      <c r="G10" s="28">
        <v>3.9880000000000002E-3</v>
      </c>
    </row>
    <row r="11" spans="1:7" x14ac:dyDescent="0.35">
      <c r="A11" s="27">
        <v>44925</v>
      </c>
      <c r="B11" s="26">
        <v>1928</v>
      </c>
      <c r="C11" s="26" t="str">
        <f t="shared" si="0"/>
        <v>'1928T'</v>
      </c>
      <c r="D11" s="26" t="s">
        <v>6444</v>
      </c>
      <c r="E11" s="26" t="s">
        <v>6436</v>
      </c>
      <c r="F11" s="26" t="s">
        <v>6437</v>
      </c>
      <c r="G11" s="28">
        <v>3.0620000000000001E-3</v>
      </c>
    </row>
    <row r="12" spans="1:7" x14ac:dyDescent="0.35">
      <c r="A12" s="27">
        <v>44925</v>
      </c>
      <c r="B12" s="26">
        <v>1963</v>
      </c>
      <c r="C12" s="26" t="str">
        <f t="shared" si="0"/>
        <v>'1963T'</v>
      </c>
      <c r="D12" s="26" t="s">
        <v>6445</v>
      </c>
      <c r="E12" s="26" t="s">
        <v>6436</v>
      </c>
      <c r="F12" s="26" t="s">
        <v>6437</v>
      </c>
      <c r="G12" s="28">
        <v>2.202E-3</v>
      </c>
    </row>
    <row r="13" spans="1:7" x14ac:dyDescent="0.35">
      <c r="A13" s="27">
        <v>44925</v>
      </c>
      <c r="B13" s="26">
        <v>2002</v>
      </c>
      <c r="C13" s="26" t="str">
        <f t="shared" si="0"/>
        <v>'2002T'</v>
      </c>
      <c r="D13" s="26" t="s">
        <v>6446</v>
      </c>
      <c r="E13" s="26" t="s">
        <v>6447</v>
      </c>
      <c r="F13" s="26" t="s">
        <v>6431</v>
      </c>
      <c r="G13" s="28">
        <v>2.1689999999999999E-3</v>
      </c>
    </row>
    <row r="14" spans="1:7" x14ac:dyDescent="0.35">
      <c r="A14" s="27">
        <v>44925</v>
      </c>
      <c r="B14" s="26">
        <v>2269</v>
      </c>
      <c r="C14" s="26" t="str">
        <f t="shared" si="0"/>
        <v>'2269T'</v>
      </c>
      <c r="D14" s="26" t="s">
        <v>6448</v>
      </c>
      <c r="E14" s="26" t="s">
        <v>6447</v>
      </c>
      <c r="F14" s="26" t="s">
        <v>6431</v>
      </c>
      <c r="G14" s="28">
        <v>1.769E-3</v>
      </c>
    </row>
    <row r="15" spans="1:7" x14ac:dyDescent="0.35">
      <c r="A15" s="27">
        <v>44925</v>
      </c>
      <c r="B15" s="26">
        <v>2282</v>
      </c>
      <c r="C15" s="26" t="str">
        <f t="shared" si="0"/>
        <v>'2282T'</v>
      </c>
      <c r="D15" s="26" t="s">
        <v>6449</v>
      </c>
      <c r="E15" s="26" t="s">
        <v>6447</v>
      </c>
      <c r="F15" s="26" t="s">
        <v>6431</v>
      </c>
      <c r="G15" s="28">
        <v>2.4109999999999999E-3</v>
      </c>
    </row>
    <row r="16" spans="1:7" x14ac:dyDescent="0.35">
      <c r="A16" s="27">
        <v>44925</v>
      </c>
      <c r="B16" s="26">
        <v>2413</v>
      </c>
      <c r="C16" s="26" t="str">
        <f t="shared" si="0"/>
        <v>'2413T'</v>
      </c>
      <c r="D16" s="26" t="s">
        <v>6450</v>
      </c>
      <c r="E16" s="26" t="s">
        <v>6451</v>
      </c>
      <c r="F16" s="26" t="s">
        <v>6431</v>
      </c>
      <c r="G16" s="28">
        <v>1.1269E-2</v>
      </c>
    </row>
    <row r="17" spans="1:7" x14ac:dyDescent="0.35">
      <c r="A17" s="27">
        <v>44925</v>
      </c>
      <c r="B17" s="26">
        <v>2432</v>
      </c>
      <c r="C17" s="26" t="str">
        <f t="shared" si="0"/>
        <v>'2432T'</v>
      </c>
      <c r="D17" s="26" t="s">
        <v>6452</v>
      </c>
      <c r="E17" s="26" t="s">
        <v>6451</v>
      </c>
      <c r="F17" s="26" t="s">
        <v>6431</v>
      </c>
      <c r="G17" s="28">
        <v>6.9499999999999998E-4</v>
      </c>
    </row>
    <row r="18" spans="1:7" x14ac:dyDescent="0.35">
      <c r="A18" s="27">
        <v>44925</v>
      </c>
      <c r="B18" s="26">
        <v>2501</v>
      </c>
      <c r="C18" s="26" t="str">
        <f t="shared" si="0"/>
        <v>'2501T'</v>
      </c>
      <c r="D18" s="26" t="s">
        <v>6453</v>
      </c>
      <c r="E18" s="26" t="s">
        <v>6447</v>
      </c>
      <c r="F18" s="26" t="s">
        <v>6431</v>
      </c>
      <c r="G18" s="28">
        <v>8.61E-4</v>
      </c>
    </row>
    <row r="19" spans="1:7" x14ac:dyDescent="0.35">
      <c r="A19" s="27">
        <v>44925</v>
      </c>
      <c r="B19" s="26">
        <v>2502</v>
      </c>
      <c r="C19" s="26" t="str">
        <f t="shared" si="0"/>
        <v>'2502T'</v>
      </c>
      <c r="D19" s="26" t="s">
        <v>6454</v>
      </c>
      <c r="E19" s="26" t="s">
        <v>6447</v>
      </c>
      <c r="F19" s="26" t="s">
        <v>6431</v>
      </c>
      <c r="G19" s="28">
        <v>5.4050000000000001E-3</v>
      </c>
    </row>
    <row r="20" spans="1:7" x14ac:dyDescent="0.35">
      <c r="A20" s="27">
        <v>44925</v>
      </c>
      <c r="B20" s="26">
        <v>2503</v>
      </c>
      <c r="C20" s="26" t="str">
        <f t="shared" si="0"/>
        <v>'2503T'</v>
      </c>
      <c r="D20" s="26" t="s">
        <v>6455</v>
      </c>
      <c r="E20" s="26" t="s">
        <v>6447</v>
      </c>
      <c r="F20" s="26" t="s">
        <v>6431</v>
      </c>
      <c r="G20" s="28">
        <v>2.6389999999999999E-3</v>
      </c>
    </row>
    <row r="21" spans="1:7" x14ac:dyDescent="0.35">
      <c r="A21" s="27">
        <v>44925</v>
      </c>
      <c r="B21" s="26">
        <v>2531</v>
      </c>
      <c r="C21" s="26" t="str">
        <f t="shared" si="0"/>
        <v>'2531T'</v>
      </c>
      <c r="D21" s="26" t="s">
        <v>6456</v>
      </c>
      <c r="E21" s="26" t="s">
        <v>6447</v>
      </c>
      <c r="F21" s="26" t="s">
        <v>6431</v>
      </c>
      <c r="G21" s="28">
        <v>1.371E-3</v>
      </c>
    </row>
    <row r="22" spans="1:7" x14ac:dyDescent="0.35">
      <c r="A22" s="27">
        <v>44925</v>
      </c>
      <c r="B22" s="26">
        <v>2768</v>
      </c>
      <c r="C22" s="26" t="str">
        <f t="shared" si="0"/>
        <v>'2768T'</v>
      </c>
      <c r="D22" s="26" t="s">
        <v>6457</v>
      </c>
      <c r="E22" s="26" t="s">
        <v>6458</v>
      </c>
      <c r="F22" s="26" t="s">
        <v>6434</v>
      </c>
      <c r="G22" s="28">
        <v>3.3E-4</v>
      </c>
    </row>
    <row r="23" spans="1:7" x14ac:dyDescent="0.35">
      <c r="A23" s="27">
        <v>44925</v>
      </c>
      <c r="B23" s="26">
        <v>2801</v>
      </c>
      <c r="C23" s="26" t="str">
        <f t="shared" si="0"/>
        <v>'2801T'</v>
      </c>
      <c r="D23" s="26" t="s">
        <v>6459</v>
      </c>
      <c r="E23" s="26" t="s">
        <v>6447</v>
      </c>
      <c r="F23" s="26" t="s">
        <v>6431</v>
      </c>
      <c r="G23" s="28">
        <v>9.1070000000000005E-3</v>
      </c>
    </row>
    <row r="24" spans="1:7" x14ac:dyDescent="0.35">
      <c r="A24" s="27">
        <v>44925</v>
      </c>
      <c r="B24" s="26">
        <v>2802</v>
      </c>
      <c r="C24" s="26" t="str">
        <f t="shared" si="0"/>
        <v>'2802T'</v>
      </c>
      <c r="D24" s="26" t="s">
        <v>6460</v>
      </c>
      <c r="E24" s="26" t="s">
        <v>6447</v>
      </c>
      <c r="F24" s="26" t="s">
        <v>6431</v>
      </c>
      <c r="G24" s="28">
        <v>5.2900000000000004E-3</v>
      </c>
    </row>
    <row r="25" spans="1:7" x14ac:dyDescent="0.35">
      <c r="A25" s="27">
        <v>44925</v>
      </c>
      <c r="B25" s="26">
        <v>2871</v>
      </c>
      <c r="C25" s="26" t="str">
        <f t="shared" si="0"/>
        <v>'2871T'</v>
      </c>
      <c r="D25" s="26" t="s">
        <v>6461</v>
      </c>
      <c r="E25" s="26" t="s">
        <v>6447</v>
      </c>
      <c r="F25" s="26" t="s">
        <v>6431</v>
      </c>
      <c r="G25" s="28">
        <v>1.8879999999999999E-3</v>
      </c>
    </row>
    <row r="26" spans="1:7" x14ac:dyDescent="0.35">
      <c r="A26" s="27">
        <v>44925</v>
      </c>
      <c r="B26" s="26">
        <v>2914</v>
      </c>
      <c r="C26" s="26" t="str">
        <f t="shared" si="0"/>
        <v>'2914T'</v>
      </c>
      <c r="D26" s="26" t="s">
        <v>6462</v>
      </c>
      <c r="E26" s="26" t="s">
        <v>6447</v>
      </c>
      <c r="F26" s="26" t="s">
        <v>6431</v>
      </c>
      <c r="G26" s="28">
        <v>3.4919999999999999E-3</v>
      </c>
    </row>
    <row r="27" spans="1:7" x14ac:dyDescent="0.35">
      <c r="A27" s="27">
        <v>44925</v>
      </c>
      <c r="B27" s="26">
        <v>3086</v>
      </c>
      <c r="C27" s="26" t="str">
        <f t="shared" si="0"/>
        <v>'3086T'</v>
      </c>
      <c r="D27" s="26" t="s">
        <v>6463</v>
      </c>
      <c r="E27" s="26" t="s">
        <v>6464</v>
      </c>
      <c r="F27" s="26" t="s">
        <v>6431</v>
      </c>
      <c r="G27" s="28">
        <v>7.8799999999999996E-4</v>
      </c>
    </row>
    <row r="28" spans="1:7" x14ac:dyDescent="0.35">
      <c r="A28" s="27">
        <v>44925</v>
      </c>
      <c r="B28" s="26">
        <v>3099</v>
      </c>
      <c r="C28" s="26" t="str">
        <f t="shared" si="0"/>
        <v>'3099T'</v>
      </c>
      <c r="D28" s="26" t="s">
        <v>6465</v>
      </c>
      <c r="E28" s="26" t="s">
        <v>6464</v>
      </c>
      <c r="F28" s="26" t="s">
        <v>6431</v>
      </c>
      <c r="G28" s="28">
        <v>1.8860000000000001E-3</v>
      </c>
    </row>
    <row r="29" spans="1:7" x14ac:dyDescent="0.35">
      <c r="A29" s="27">
        <v>44925</v>
      </c>
      <c r="B29" s="26">
        <v>3101</v>
      </c>
      <c r="C29" s="26" t="str">
        <f t="shared" si="0"/>
        <v>'3101T'</v>
      </c>
      <c r="D29" s="26" t="s">
        <v>6466</v>
      </c>
      <c r="E29" s="26" t="s">
        <v>6467</v>
      </c>
      <c r="F29" s="26" t="s">
        <v>6434</v>
      </c>
      <c r="G29" s="28">
        <v>1.3100000000000001E-4</v>
      </c>
    </row>
    <row r="30" spans="1:7" x14ac:dyDescent="0.35">
      <c r="A30" s="27">
        <v>44925</v>
      </c>
      <c r="B30" s="26">
        <v>3289</v>
      </c>
      <c r="C30" s="26" t="str">
        <f t="shared" si="0"/>
        <v>'3289T'</v>
      </c>
      <c r="D30" s="26" t="s">
        <v>6468</v>
      </c>
      <c r="E30" s="26" t="s">
        <v>6469</v>
      </c>
      <c r="F30" s="26" t="s">
        <v>6437</v>
      </c>
      <c r="G30" s="28">
        <v>8.2399999999999997E-4</v>
      </c>
    </row>
    <row r="31" spans="1:7" x14ac:dyDescent="0.35">
      <c r="A31" s="27">
        <v>44925</v>
      </c>
      <c r="B31" s="26">
        <v>3382</v>
      </c>
      <c r="C31" s="26" t="str">
        <f t="shared" si="0"/>
        <v>'3382T'</v>
      </c>
      <c r="D31" s="26" t="s">
        <v>6470</v>
      </c>
      <c r="E31" s="26" t="s">
        <v>6464</v>
      </c>
      <c r="F31" s="26" t="s">
        <v>6431</v>
      </c>
      <c r="G31" s="28">
        <v>7.4269999999999996E-3</v>
      </c>
    </row>
    <row r="32" spans="1:7" x14ac:dyDescent="0.35">
      <c r="A32" s="27">
        <v>44925</v>
      </c>
      <c r="B32" s="26">
        <v>3401</v>
      </c>
      <c r="C32" s="26" t="str">
        <f t="shared" si="0"/>
        <v>'3401T'</v>
      </c>
      <c r="D32" s="26" t="s">
        <v>6471</v>
      </c>
      <c r="E32" s="26" t="s">
        <v>6467</v>
      </c>
      <c r="F32" s="26" t="s">
        <v>6434</v>
      </c>
      <c r="G32" s="28">
        <v>3.3799999999999998E-4</v>
      </c>
    </row>
    <row r="33" spans="1:7" x14ac:dyDescent="0.35">
      <c r="A33" s="27">
        <v>44925</v>
      </c>
      <c r="B33" s="26">
        <v>3402</v>
      </c>
      <c r="C33" s="26" t="str">
        <f t="shared" si="0"/>
        <v>'3402T'</v>
      </c>
      <c r="D33" s="26" t="s">
        <v>6472</v>
      </c>
      <c r="E33" s="26" t="s">
        <v>6467</v>
      </c>
      <c r="F33" s="26" t="s">
        <v>6434</v>
      </c>
      <c r="G33" s="28">
        <v>9.6699999999999998E-4</v>
      </c>
    </row>
    <row r="34" spans="1:7" x14ac:dyDescent="0.35">
      <c r="A34" s="27">
        <v>44925</v>
      </c>
      <c r="B34" s="26">
        <v>3405</v>
      </c>
      <c r="C34" s="26" t="str">
        <f t="shared" si="0"/>
        <v>'3405T'</v>
      </c>
      <c r="D34" s="26" t="s">
        <v>6473</v>
      </c>
      <c r="E34" s="26" t="s">
        <v>6474</v>
      </c>
      <c r="F34" s="26" t="s">
        <v>6434</v>
      </c>
      <c r="G34" s="28">
        <v>1.3879999999999999E-3</v>
      </c>
    </row>
    <row r="35" spans="1:7" x14ac:dyDescent="0.35">
      <c r="A35" s="27">
        <v>44925</v>
      </c>
      <c r="B35" s="26">
        <v>3407</v>
      </c>
      <c r="C35" s="26" t="str">
        <f t="shared" si="0"/>
        <v>'3407T'</v>
      </c>
      <c r="D35" s="26" t="s">
        <v>6475</v>
      </c>
      <c r="E35" s="26" t="s">
        <v>6474</v>
      </c>
      <c r="F35" s="26" t="s">
        <v>6434</v>
      </c>
      <c r="G35" s="28">
        <v>1.235E-3</v>
      </c>
    </row>
    <row r="36" spans="1:7" x14ac:dyDescent="0.35">
      <c r="A36" s="27">
        <v>44925</v>
      </c>
      <c r="B36" s="26">
        <v>3436</v>
      </c>
      <c r="C36" s="26" t="str">
        <f t="shared" si="0"/>
        <v>'3436T'</v>
      </c>
      <c r="D36" s="26" t="s">
        <v>6476</v>
      </c>
      <c r="E36" s="26" t="s">
        <v>6477</v>
      </c>
      <c r="F36" s="26" t="s">
        <v>6434</v>
      </c>
      <c r="G36" s="28">
        <v>2.31E-4</v>
      </c>
    </row>
    <row r="37" spans="1:7" x14ac:dyDescent="0.35">
      <c r="A37" s="27">
        <v>44925</v>
      </c>
      <c r="B37" s="26">
        <v>3659</v>
      </c>
      <c r="C37" s="26" t="str">
        <f t="shared" si="0"/>
        <v>'3659T'</v>
      </c>
      <c r="D37" s="26" t="s">
        <v>6478</v>
      </c>
      <c r="E37" s="26" t="s">
        <v>6451</v>
      </c>
      <c r="F37" s="26" t="s">
        <v>6431</v>
      </c>
      <c r="G37" s="28">
        <v>7.7739999999999997E-3</v>
      </c>
    </row>
    <row r="38" spans="1:7" x14ac:dyDescent="0.35">
      <c r="A38" s="27">
        <v>44925</v>
      </c>
      <c r="B38" s="26">
        <v>3861</v>
      </c>
      <c r="C38" s="26" t="str">
        <f t="shared" si="0"/>
        <v>'3861T'</v>
      </c>
      <c r="D38" s="26" t="s">
        <v>6479</v>
      </c>
      <c r="E38" s="26" t="s">
        <v>6480</v>
      </c>
      <c r="F38" s="26" t="s">
        <v>6434</v>
      </c>
      <c r="G38" s="28">
        <v>6.9700000000000003E-4</v>
      </c>
    </row>
    <row r="39" spans="1:7" x14ac:dyDescent="0.35">
      <c r="A39" s="27">
        <v>44925</v>
      </c>
      <c r="B39" s="26">
        <v>3863</v>
      </c>
      <c r="C39" s="26" t="str">
        <f t="shared" si="0"/>
        <v>'3863T'</v>
      </c>
      <c r="D39" s="26" t="s">
        <v>6481</v>
      </c>
      <c r="E39" s="26" t="s">
        <v>6480</v>
      </c>
      <c r="F39" s="26" t="s">
        <v>6434</v>
      </c>
      <c r="G39" s="28">
        <v>1.2799999999999999E-4</v>
      </c>
    </row>
    <row r="40" spans="1:7" x14ac:dyDescent="0.35">
      <c r="A40" s="27">
        <v>44925</v>
      </c>
      <c r="B40" s="26">
        <v>4004</v>
      </c>
      <c r="C40" s="26" t="str">
        <f t="shared" si="0"/>
        <v>'4004T'</v>
      </c>
      <c r="D40" s="26" t="s">
        <v>6482</v>
      </c>
      <c r="E40" s="26" t="s">
        <v>6474</v>
      </c>
      <c r="F40" s="26" t="s">
        <v>6434</v>
      </c>
      <c r="G40" s="28">
        <v>2.6499999999999999E-4</v>
      </c>
    </row>
    <row r="41" spans="1:7" x14ac:dyDescent="0.35">
      <c r="A41" s="27">
        <v>44925</v>
      </c>
      <c r="B41" s="26">
        <v>4005</v>
      </c>
      <c r="C41" s="26" t="str">
        <f t="shared" si="0"/>
        <v>'4005T'</v>
      </c>
      <c r="D41" s="26" t="s">
        <v>6483</v>
      </c>
      <c r="E41" s="26" t="s">
        <v>6474</v>
      </c>
      <c r="F41" s="26" t="s">
        <v>6434</v>
      </c>
      <c r="G41" s="28">
        <v>6.2200000000000005E-4</v>
      </c>
    </row>
    <row r="42" spans="1:7" x14ac:dyDescent="0.35">
      <c r="A42" s="27">
        <v>44925</v>
      </c>
      <c r="B42" s="26">
        <v>4021</v>
      </c>
      <c r="C42" s="26" t="str">
        <f t="shared" si="0"/>
        <v>'4021T'</v>
      </c>
      <c r="D42" s="26" t="s">
        <v>6484</v>
      </c>
      <c r="E42" s="26" t="s">
        <v>6474</v>
      </c>
      <c r="F42" s="26" t="s">
        <v>6434</v>
      </c>
      <c r="G42" s="28">
        <v>7.5849999999999997E-3</v>
      </c>
    </row>
    <row r="43" spans="1:7" x14ac:dyDescent="0.35">
      <c r="A43" s="27">
        <v>44925</v>
      </c>
      <c r="B43" s="26">
        <v>4042</v>
      </c>
      <c r="C43" s="26" t="str">
        <f t="shared" si="0"/>
        <v>'4042T'</v>
      </c>
      <c r="D43" s="26" t="s">
        <v>6485</v>
      </c>
      <c r="E43" s="26" t="s">
        <v>6474</v>
      </c>
      <c r="F43" s="26" t="s">
        <v>6434</v>
      </c>
      <c r="G43" s="28">
        <v>1.0300000000000001E-3</v>
      </c>
    </row>
    <row r="44" spans="1:7" x14ac:dyDescent="0.35">
      <c r="A44" s="27">
        <v>44925</v>
      </c>
      <c r="B44" s="26">
        <v>4043</v>
      </c>
      <c r="C44" s="26" t="str">
        <f t="shared" si="0"/>
        <v>'4043T'</v>
      </c>
      <c r="D44" s="26" t="s">
        <v>6486</v>
      </c>
      <c r="E44" s="26" t="s">
        <v>6474</v>
      </c>
      <c r="F44" s="26" t="s">
        <v>6434</v>
      </c>
      <c r="G44" s="28">
        <v>4.7100000000000001E-4</v>
      </c>
    </row>
    <row r="45" spans="1:7" x14ac:dyDescent="0.35">
      <c r="A45" s="27">
        <v>44925</v>
      </c>
      <c r="B45" s="26">
        <v>4061</v>
      </c>
      <c r="C45" s="26" t="str">
        <f t="shared" si="0"/>
        <v>'4061T'</v>
      </c>
      <c r="D45" s="26" t="s">
        <v>6487</v>
      </c>
      <c r="E45" s="26" t="s">
        <v>6474</v>
      </c>
      <c r="F45" s="26" t="s">
        <v>6434</v>
      </c>
      <c r="G45" s="28">
        <v>7.94E-4</v>
      </c>
    </row>
    <row r="46" spans="1:7" x14ac:dyDescent="0.35">
      <c r="A46" s="27">
        <v>44925</v>
      </c>
      <c r="B46" s="26">
        <v>4063</v>
      </c>
      <c r="C46" s="26" t="str">
        <f t="shared" si="0"/>
        <v>'4063T'</v>
      </c>
      <c r="D46" s="26" t="s">
        <v>6488</v>
      </c>
      <c r="E46" s="26" t="s">
        <v>6474</v>
      </c>
      <c r="F46" s="26" t="s">
        <v>6434</v>
      </c>
      <c r="G46" s="28">
        <v>2.1291999999999998E-2</v>
      </c>
    </row>
    <row r="47" spans="1:7" x14ac:dyDescent="0.35">
      <c r="A47" s="27">
        <v>44925</v>
      </c>
      <c r="B47" s="26">
        <v>4151</v>
      </c>
      <c r="C47" s="26" t="str">
        <f t="shared" si="0"/>
        <v>'4151T'</v>
      </c>
      <c r="D47" s="26" t="s">
        <v>6489</v>
      </c>
      <c r="E47" s="26" t="s">
        <v>6490</v>
      </c>
      <c r="F47" s="26" t="s">
        <v>6491</v>
      </c>
      <c r="G47" s="28">
        <v>3.9630000000000004E-3</v>
      </c>
    </row>
    <row r="48" spans="1:7" x14ac:dyDescent="0.35">
      <c r="A48" s="27">
        <v>44925</v>
      </c>
      <c r="B48" s="26">
        <v>4183</v>
      </c>
      <c r="C48" s="26" t="str">
        <f t="shared" si="0"/>
        <v>'4183T'</v>
      </c>
      <c r="D48" s="26" t="s">
        <v>6492</v>
      </c>
      <c r="E48" s="26" t="s">
        <v>6474</v>
      </c>
      <c r="F48" s="26" t="s">
        <v>6434</v>
      </c>
      <c r="G48" s="28">
        <v>7.8100000000000001E-4</v>
      </c>
    </row>
    <row r="49" spans="1:7" x14ac:dyDescent="0.35">
      <c r="A49" s="27">
        <v>44925</v>
      </c>
      <c r="B49" s="26">
        <v>4188</v>
      </c>
      <c r="C49" s="26" t="str">
        <f t="shared" si="0"/>
        <v>'4188T'</v>
      </c>
      <c r="D49" s="26" t="s">
        <v>6493</v>
      </c>
      <c r="E49" s="26" t="s">
        <v>6474</v>
      </c>
      <c r="F49" s="26" t="s">
        <v>6434</v>
      </c>
      <c r="G49" s="28">
        <v>4.4900000000000002E-4</v>
      </c>
    </row>
    <row r="50" spans="1:7" x14ac:dyDescent="0.35">
      <c r="A50" s="27">
        <v>44925</v>
      </c>
      <c r="B50" s="26">
        <v>4208</v>
      </c>
      <c r="C50" s="26" t="str">
        <f t="shared" si="0"/>
        <v>'4208T'</v>
      </c>
      <c r="D50" s="26" t="s">
        <v>6494</v>
      </c>
      <c r="E50" s="26" t="s">
        <v>6474</v>
      </c>
      <c r="F50" s="26" t="s">
        <v>6434</v>
      </c>
      <c r="G50" s="28">
        <v>2.5399999999999999E-4</v>
      </c>
    </row>
    <row r="51" spans="1:7" x14ac:dyDescent="0.35">
      <c r="A51" s="27">
        <v>44925</v>
      </c>
      <c r="B51" s="26">
        <v>4324</v>
      </c>
      <c r="C51" s="26" t="str">
        <f t="shared" si="0"/>
        <v>'4324T'</v>
      </c>
      <c r="D51" s="26" t="s">
        <v>6495</v>
      </c>
      <c r="E51" s="26" t="s">
        <v>6451</v>
      </c>
      <c r="F51" s="26" t="s">
        <v>6431</v>
      </c>
      <c r="G51" s="28">
        <v>5.4390000000000003E-3</v>
      </c>
    </row>
    <row r="52" spans="1:7" x14ac:dyDescent="0.35">
      <c r="A52" s="27">
        <v>44925</v>
      </c>
      <c r="B52" s="26">
        <v>4452</v>
      </c>
      <c r="C52" s="26" t="str">
        <f t="shared" si="0"/>
        <v>'4452T'</v>
      </c>
      <c r="D52" s="26" t="s">
        <v>6496</v>
      </c>
      <c r="E52" s="26" t="s">
        <v>6474</v>
      </c>
      <c r="F52" s="26" t="s">
        <v>6434</v>
      </c>
      <c r="G52" s="28">
        <v>6.8960000000000002E-3</v>
      </c>
    </row>
    <row r="53" spans="1:7" x14ac:dyDescent="0.35">
      <c r="A53" s="27">
        <v>44925</v>
      </c>
      <c r="B53" s="26">
        <v>4502</v>
      </c>
      <c r="C53" s="26" t="str">
        <f t="shared" si="0"/>
        <v>'4502T'</v>
      </c>
      <c r="D53" s="26" t="s">
        <v>6497</v>
      </c>
      <c r="E53" s="26" t="s">
        <v>6490</v>
      </c>
      <c r="F53" s="26" t="s">
        <v>6491</v>
      </c>
      <c r="G53" s="28">
        <v>5.3949999999999996E-3</v>
      </c>
    </row>
    <row r="54" spans="1:7" x14ac:dyDescent="0.35">
      <c r="A54" s="27">
        <v>44925</v>
      </c>
      <c r="B54" s="26">
        <v>4503</v>
      </c>
      <c r="C54" s="26" t="str">
        <f t="shared" si="0"/>
        <v>'4503T'</v>
      </c>
      <c r="D54" s="26" t="s">
        <v>6498</v>
      </c>
      <c r="E54" s="26" t="s">
        <v>6490</v>
      </c>
      <c r="F54" s="26" t="s">
        <v>6491</v>
      </c>
      <c r="G54" s="28">
        <v>1.3165E-2</v>
      </c>
    </row>
    <row r="55" spans="1:7" x14ac:dyDescent="0.35">
      <c r="A55" s="27">
        <v>44925</v>
      </c>
      <c r="B55" s="26">
        <v>4506</v>
      </c>
      <c r="C55" s="26" t="str">
        <f t="shared" si="0"/>
        <v>'4506T'</v>
      </c>
      <c r="D55" s="26" t="s">
        <v>6499</v>
      </c>
      <c r="E55" s="26" t="s">
        <v>6490</v>
      </c>
      <c r="F55" s="26" t="s">
        <v>6491</v>
      </c>
      <c r="G55" s="28">
        <v>1.3110000000000001E-3</v>
      </c>
    </row>
    <row r="56" spans="1:7" x14ac:dyDescent="0.35">
      <c r="A56" s="27">
        <v>44925</v>
      </c>
      <c r="B56" s="26">
        <v>4507</v>
      </c>
      <c r="C56" s="26" t="str">
        <f t="shared" si="0"/>
        <v>'4507T'</v>
      </c>
      <c r="D56" s="26" t="s">
        <v>6500</v>
      </c>
      <c r="E56" s="26" t="s">
        <v>6490</v>
      </c>
      <c r="F56" s="26" t="s">
        <v>6491</v>
      </c>
      <c r="G56" s="28">
        <v>8.6429999999999996E-3</v>
      </c>
    </row>
    <row r="57" spans="1:7" x14ac:dyDescent="0.35">
      <c r="A57" s="27">
        <v>44925</v>
      </c>
      <c r="B57" s="26">
        <v>4519</v>
      </c>
      <c r="C57" s="26" t="str">
        <f t="shared" si="0"/>
        <v>'4519T'</v>
      </c>
      <c r="D57" s="26" t="s">
        <v>6501</v>
      </c>
      <c r="E57" s="26" t="s">
        <v>6490</v>
      </c>
      <c r="F57" s="26" t="s">
        <v>6491</v>
      </c>
      <c r="G57" s="28">
        <v>1.3259E-2</v>
      </c>
    </row>
    <row r="58" spans="1:7" x14ac:dyDescent="0.35">
      <c r="A58" s="27">
        <v>44925</v>
      </c>
      <c r="B58" s="26">
        <v>4523</v>
      </c>
      <c r="C58" s="26" t="str">
        <f t="shared" si="0"/>
        <v>'4523T'</v>
      </c>
      <c r="D58" s="26" t="s">
        <v>6502</v>
      </c>
      <c r="E58" s="26" t="s">
        <v>6490</v>
      </c>
      <c r="F58" s="26" t="s">
        <v>6491</v>
      </c>
      <c r="G58" s="28">
        <v>1.1422E-2</v>
      </c>
    </row>
    <row r="59" spans="1:7" x14ac:dyDescent="0.35">
      <c r="A59" s="27">
        <v>44925</v>
      </c>
      <c r="B59" s="26">
        <v>4543</v>
      </c>
      <c r="C59" s="26" t="str">
        <f t="shared" si="0"/>
        <v>'4543T'</v>
      </c>
      <c r="D59" s="26" t="s">
        <v>6503</v>
      </c>
      <c r="E59" s="26" t="s">
        <v>6504</v>
      </c>
      <c r="F59" s="26" t="s">
        <v>6491</v>
      </c>
      <c r="G59" s="28">
        <v>1.9663E-2</v>
      </c>
    </row>
    <row r="60" spans="1:7" x14ac:dyDescent="0.35">
      <c r="A60" s="27">
        <v>44925</v>
      </c>
      <c r="B60" s="26">
        <v>4568</v>
      </c>
      <c r="C60" s="26" t="str">
        <f t="shared" si="0"/>
        <v>'4568T'</v>
      </c>
      <c r="D60" s="26" t="s">
        <v>6505</v>
      </c>
      <c r="E60" s="26" t="s">
        <v>6490</v>
      </c>
      <c r="F60" s="26" t="s">
        <v>6491</v>
      </c>
      <c r="G60" s="28">
        <v>1.6730999999999999E-2</v>
      </c>
    </row>
    <row r="61" spans="1:7" x14ac:dyDescent="0.35">
      <c r="A61" s="27">
        <v>44925</v>
      </c>
      <c r="B61" s="26">
        <v>4578</v>
      </c>
      <c r="C61" s="26" t="str">
        <f t="shared" si="0"/>
        <v>'4578T'</v>
      </c>
      <c r="D61" s="26" t="s">
        <v>6506</v>
      </c>
      <c r="E61" s="26" t="s">
        <v>6490</v>
      </c>
      <c r="F61" s="26" t="s">
        <v>6491</v>
      </c>
      <c r="G61" s="28">
        <v>5.6490000000000004E-3</v>
      </c>
    </row>
    <row r="62" spans="1:7" x14ac:dyDescent="0.35">
      <c r="A62" s="27">
        <v>44925</v>
      </c>
      <c r="B62" s="26">
        <v>4631</v>
      </c>
      <c r="C62" s="26" t="str">
        <f t="shared" si="0"/>
        <v>'4631T'</v>
      </c>
      <c r="D62" s="26" t="s">
        <v>6507</v>
      </c>
      <c r="E62" s="26" t="s">
        <v>6474</v>
      </c>
      <c r="F62" s="26" t="s">
        <v>6434</v>
      </c>
      <c r="G62" s="28">
        <v>3.0499999999999999E-4</v>
      </c>
    </row>
    <row r="63" spans="1:7" x14ac:dyDescent="0.35">
      <c r="A63" s="27">
        <v>44925</v>
      </c>
      <c r="B63" s="26">
        <v>4689</v>
      </c>
      <c r="C63" s="26" t="str">
        <f t="shared" si="0"/>
        <v>'4689T'</v>
      </c>
      <c r="D63" s="26" t="s">
        <v>6508</v>
      </c>
      <c r="E63" s="26" t="s">
        <v>6451</v>
      </c>
      <c r="F63" s="26" t="s">
        <v>6431</v>
      </c>
      <c r="G63" s="28">
        <v>1.74E-4</v>
      </c>
    </row>
    <row r="64" spans="1:7" x14ac:dyDescent="0.35">
      <c r="A64" s="27">
        <v>44925</v>
      </c>
      <c r="B64" s="26">
        <v>4704</v>
      </c>
      <c r="C64" s="26" t="str">
        <f t="shared" si="0"/>
        <v>'4704T'</v>
      </c>
      <c r="D64" s="26" t="s">
        <v>6509</v>
      </c>
      <c r="E64" s="26" t="s">
        <v>6451</v>
      </c>
      <c r="F64" s="26" t="s">
        <v>6431</v>
      </c>
      <c r="G64" s="28">
        <v>8.0569999999999999E-3</v>
      </c>
    </row>
    <row r="65" spans="1:7" x14ac:dyDescent="0.35">
      <c r="A65" s="27">
        <v>44925</v>
      </c>
      <c r="B65" s="26">
        <v>4751</v>
      </c>
      <c r="C65" s="26" t="str">
        <f t="shared" si="0"/>
        <v>'4751T'</v>
      </c>
      <c r="D65" s="26" t="s">
        <v>6510</v>
      </c>
      <c r="E65" s="26" t="s">
        <v>6451</v>
      </c>
      <c r="F65" s="26" t="s">
        <v>6431</v>
      </c>
      <c r="G65" s="28">
        <v>1.2260000000000001E-3</v>
      </c>
    </row>
    <row r="66" spans="1:7" x14ac:dyDescent="0.35">
      <c r="A66" s="27">
        <v>44925</v>
      </c>
      <c r="B66" s="26">
        <v>4755</v>
      </c>
      <c r="C66" s="26" t="str">
        <f t="shared" si="0"/>
        <v>'4755T'</v>
      </c>
      <c r="D66" s="26" t="s">
        <v>6511</v>
      </c>
      <c r="E66" s="26" t="s">
        <v>6451</v>
      </c>
      <c r="F66" s="26" t="s">
        <v>6431</v>
      </c>
      <c r="G66" s="28">
        <v>7.8200000000000003E-4</v>
      </c>
    </row>
    <row r="67" spans="1:7" x14ac:dyDescent="0.35">
      <c r="A67" s="27">
        <v>44925</v>
      </c>
      <c r="B67" s="26">
        <v>4901</v>
      </c>
      <c r="C67" s="26" t="str">
        <f t="shared" ref="C67:C130" si="1">"'"&amp;B67&amp;"T'"</f>
        <v>'4901T'</v>
      </c>
      <c r="D67" s="26" t="s">
        <v>6512</v>
      </c>
      <c r="E67" s="26" t="s">
        <v>6474</v>
      </c>
      <c r="F67" s="26" t="s">
        <v>6434</v>
      </c>
      <c r="G67" s="28">
        <v>8.6940000000000003E-3</v>
      </c>
    </row>
    <row r="68" spans="1:7" x14ac:dyDescent="0.35">
      <c r="A68" s="27">
        <v>44925</v>
      </c>
      <c r="B68" s="26">
        <v>4902</v>
      </c>
      <c r="C68" s="26" t="str">
        <f t="shared" si="1"/>
        <v>'4902T'</v>
      </c>
      <c r="D68" s="26" t="s">
        <v>6513</v>
      </c>
      <c r="E68" s="26" t="s">
        <v>6504</v>
      </c>
      <c r="F68" s="26" t="s">
        <v>6491</v>
      </c>
      <c r="G68" s="28">
        <v>6.9200000000000002E-4</v>
      </c>
    </row>
    <row r="69" spans="1:7" x14ac:dyDescent="0.35">
      <c r="A69" s="27">
        <v>44925</v>
      </c>
      <c r="B69" s="26">
        <v>4911</v>
      </c>
      <c r="C69" s="26" t="str">
        <f t="shared" si="1"/>
        <v>'4911T'</v>
      </c>
      <c r="D69" s="26" t="s">
        <v>6514</v>
      </c>
      <c r="E69" s="26" t="s">
        <v>6474</v>
      </c>
      <c r="F69" s="26" t="s">
        <v>6434</v>
      </c>
      <c r="G69" s="28">
        <v>8.4919999999999995E-3</v>
      </c>
    </row>
    <row r="70" spans="1:7" x14ac:dyDescent="0.35">
      <c r="A70" s="27">
        <v>44925</v>
      </c>
      <c r="B70" s="26">
        <v>5019</v>
      </c>
      <c r="C70" s="26" t="str">
        <f t="shared" si="1"/>
        <v>'5019T'</v>
      </c>
      <c r="D70" s="26" t="s">
        <v>6515</v>
      </c>
      <c r="E70" s="26" t="s">
        <v>6516</v>
      </c>
      <c r="F70" s="26" t="s">
        <v>6434</v>
      </c>
      <c r="G70" s="28">
        <v>1.611E-3</v>
      </c>
    </row>
    <row r="71" spans="1:7" x14ac:dyDescent="0.35">
      <c r="A71" s="27">
        <v>44925</v>
      </c>
      <c r="B71" s="26">
        <v>5020</v>
      </c>
      <c r="C71" s="26" t="str">
        <f t="shared" si="1"/>
        <v>'5020T'</v>
      </c>
      <c r="D71" s="26" t="s">
        <v>6517</v>
      </c>
      <c r="E71" s="26" t="s">
        <v>6516</v>
      </c>
      <c r="F71" s="26" t="s">
        <v>6434</v>
      </c>
      <c r="G71" s="28">
        <v>5.8799999999999998E-4</v>
      </c>
    </row>
    <row r="72" spans="1:7" x14ac:dyDescent="0.35">
      <c r="A72" s="27">
        <v>44925</v>
      </c>
      <c r="B72" s="26">
        <v>5101</v>
      </c>
      <c r="C72" s="26" t="str">
        <f t="shared" si="1"/>
        <v>'5101T'</v>
      </c>
      <c r="D72" s="26" t="s">
        <v>6518</v>
      </c>
      <c r="E72" s="26" t="s">
        <v>6519</v>
      </c>
      <c r="F72" s="26" t="s">
        <v>6434</v>
      </c>
      <c r="G72" s="28">
        <v>1.3500000000000001E-3</v>
      </c>
    </row>
    <row r="73" spans="1:7" x14ac:dyDescent="0.35">
      <c r="A73" s="27">
        <v>44925</v>
      </c>
      <c r="B73" s="26">
        <v>5108</v>
      </c>
      <c r="C73" s="26" t="str">
        <f t="shared" si="1"/>
        <v>'5108T'</v>
      </c>
      <c r="D73" s="26" t="s">
        <v>6520</v>
      </c>
      <c r="E73" s="26" t="s">
        <v>6519</v>
      </c>
      <c r="F73" s="26" t="s">
        <v>6434</v>
      </c>
      <c r="G73" s="28">
        <v>6.156E-3</v>
      </c>
    </row>
    <row r="74" spans="1:7" x14ac:dyDescent="0.35">
      <c r="A74" s="27">
        <v>44925</v>
      </c>
      <c r="B74" s="26">
        <v>5201</v>
      </c>
      <c r="C74" s="26" t="str">
        <f t="shared" si="1"/>
        <v>'5201T'</v>
      </c>
      <c r="D74" s="26" t="s">
        <v>6521</v>
      </c>
      <c r="E74" s="26" t="s">
        <v>6522</v>
      </c>
      <c r="F74" s="26" t="s">
        <v>6434</v>
      </c>
      <c r="G74" s="28">
        <v>1.1529999999999999E-3</v>
      </c>
    </row>
    <row r="75" spans="1:7" x14ac:dyDescent="0.35">
      <c r="A75" s="27">
        <v>44925</v>
      </c>
      <c r="B75" s="26">
        <v>5202</v>
      </c>
      <c r="C75" s="26" t="str">
        <f t="shared" si="1"/>
        <v>'5202T'</v>
      </c>
      <c r="D75" s="26" t="s">
        <v>6523</v>
      </c>
      <c r="E75" s="26" t="s">
        <v>6522</v>
      </c>
      <c r="F75" s="26" t="s">
        <v>6434</v>
      </c>
      <c r="G75" s="28">
        <v>7.3999999999999996E-5</v>
      </c>
    </row>
    <row r="76" spans="1:7" x14ac:dyDescent="0.35">
      <c r="A76" s="27">
        <v>44925</v>
      </c>
      <c r="B76" s="26">
        <v>5214</v>
      </c>
      <c r="C76" s="26" t="str">
        <f t="shared" si="1"/>
        <v>'5214T'</v>
      </c>
      <c r="D76" s="26" t="s">
        <v>6524</v>
      </c>
      <c r="E76" s="26" t="s">
        <v>6522</v>
      </c>
      <c r="F76" s="26" t="s">
        <v>6434</v>
      </c>
      <c r="G76" s="28">
        <v>9.2299999999999999E-4</v>
      </c>
    </row>
    <row r="77" spans="1:7" x14ac:dyDescent="0.35">
      <c r="A77" s="27">
        <v>44925</v>
      </c>
      <c r="B77" s="26">
        <v>5232</v>
      </c>
      <c r="C77" s="26" t="str">
        <f t="shared" si="1"/>
        <v>'5232T'</v>
      </c>
      <c r="D77" s="26" t="s">
        <v>6525</v>
      </c>
      <c r="E77" s="26" t="s">
        <v>6522</v>
      </c>
      <c r="F77" s="26" t="s">
        <v>6434</v>
      </c>
      <c r="G77" s="28">
        <v>4.2700000000000002E-4</v>
      </c>
    </row>
    <row r="78" spans="1:7" x14ac:dyDescent="0.35">
      <c r="A78" s="27">
        <v>44925</v>
      </c>
      <c r="B78" s="26">
        <v>5233</v>
      </c>
      <c r="C78" s="26" t="str">
        <f t="shared" si="1"/>
        <v>'5233T'</v>
      </c>
      <c r="D78" s="26" t="s">
        <v>6526</v>
      </c>
      <c r="E78" s="26" t="s">
        <v>6522</v>
      </c>
      <c r="F78" s="26" t="s">
        <v>6434</v>
      </c>
      <c r="G78" s="28">
        <v>2.7E-4</v>
      </c>
    </row>
    <row r="79" spans="1:7" x14ac:dyDescent="0.35">
      <c r="A79" s="27">
        <v>44925</v>
      </c>
      <c r="B79" s="26">
        <v>5301</v>
      </c>
      <c r="C79" s="26" t="str">
        <f t="shared" si="1"/>
        <v>'5301T'</v>
      </c>
      <c r="D79" s="26" t="s">
        <v>6527</v>
      </c>
      <c r="E79" s="26" t="s">
        <v>6522</v>
      </c>
      <c r="F79" s="26" t="s">
        <v>6434</v>
      </c>
      <c r="G79" s="28">
        <v>1.408E-3</v>
      </c>
    </row>
    <row r="80" spans="1:7" x14ac:dyDescent="0.35">
      <c r="A80" s="27">
        <v>44925</v>
      </c>
      <c r="B80" s="26">
        <v>5332</v>
      </c>
      <c r="C80" s="26" t="str">
        <f t="shared" si="1"/>
        <v>'5332T'</v>
      </c>
      <c r="D80" s="26" t="s">
        <v>6528</v>
      </c>
      <c r="E80" s="26" t="s">
        <v>6522</v>
      </c>
      <c r="F80" s="26" t="s">
        <v>6434</v>
      </c>
      <c r="G80" s="28">
        <v>2.9529999999999999E-3</v>
      </c>
    </row>
    <row r="81" spans="1:7" x14ac:dyDescent="0.35">
      <c r="A81" s="27">
        <v>44925</v>
      </c>
      <c r="B81" s="26">
        <v>5333</v>
      </c>
      <c r="C81" s="26" t="str">
        <f t="shared" si="1"/>
        <v>'5333T'</v>
      </c>
      <c r="D81" s="26" t="s">
        <v>6529</v>
      </c>
      <c r="E81" s="26" t="s">
        <v>6522</v>
      </c>
      <c r="F81" s="26" t="s">
        <v>6434</v>
      </c>
      <c r="G81" s="28">
        <v>2.202E-3</v>
      </c>
    </row>
    <row r="82" spans="1:7" x14ac:dyDescent="0.35">
      <c r="A82" s="27">
        <v>44925</v>
      </c>
      <c r="B82" s="26">
        <v>5401</v>
      </c>
      <c r="C82" s="26" t="str">
        <f t="shared" si="1"/>
        <v>'5401T'</v>
      </c>
      <c r="D82" s="26" t="s">
        <v>6530</v>
      </c>
      <c r="E82" s="26" t="s">
        <v>6531</v>
      </c>
      <c r="F82" s="26" t="s">
        <v>6434</v>
      </c>
      <c r="G82" s="28">
        <v>3.01E-4</v>
      </c>
    </row>
    <row r="83" spans="1:7" x14ac:dyDescent="0.35">
      <c r="A83" s="27">
        <v>44925</v>
      </c>
      <c r="B83" s="26">
        <v>5406</v>
      </c>
      <c r="C83" s="26" t="str">
        <f t="shared" si="1"/>
        <v>'5406T'</v>
      </c>
      <c r="D83" s="26" t="s">
        <v>6532</v>
      </c>
      <c r="E83" s="26" t="s">
        <v>6531</v>
      </c>
      <c r="F83" s="26" t="s">
        <v>6434</v>
      </c>
      <c r="G83" s="28">
        <v>8.3999999999999995E-5</v>
      </c>
    </row>
    <row r="84" spans="1:7" x14ac:dyDescent="0.35">
      <c r="A84" s="27">
        <v>44925</v>
      </c>
      <c r="B84" s="26">
        <v>5411</v>
      </c>
      <c r="C84" s="26" t="str">
        <f t="shared" si="1"/>
        <v>'5411T'</v>
      </c>
      <c r="D84" s="26" t="s">
        <v>6533</v>
      </c>
      <c r="E84" s="26" t="s">
        <v>6531</v>
      </c>
      <c r="F84" s="26" t="s">
        <v>6434</v>
      </c>
      <c r="G84" s="28">
        <v>2.02E-4</v>
      </c>
    </row>
    <row r="85" spans="1:7" x14ac:dyDescent="0.35">
      <c r="A85" s="27">
        <v>44925</v>
      </c>
      <c r="B85" s="26">
        <v>5541</v>
      </c>
      <c r="C85" s="26" t="str">
        <f t="shared" si="1"/>
        <v>'5541T'</v>
      </c>
      <c r="D85" s="26" t="s">
        <v>6534</v>
      </c>
      <c r="E85" s="26" t="s">
        <v>6531</v>
      </c>
      <c r="F85" s="26" t="s">
        <v>6434</v>
      </c>
      <c r="G85" s="28">
        <v>2.4800000000000001E-4</v>
      </c>
    </row>
    <row r="86" spans="1:7" x14ac:dyDescent="0.35">
      <c r="A86" s="27">
        <v>44925</v>
      </c>
      <c r="B86" s="26">
        <v>5631</v>
      </c>
      <c r="C86" s="26" t="str">
        <f t="shared" si="1"/>
        <v>'5631T'</v>
      </c>
      <c r="D86" s="26" t="s">
        <v>6535</v>
      </c>
      <c r="E86" s="26" t="s">
        <v>6536</v>
      </c>
      <c r="F86" s="26" t="s">
        <v>6437</v>
      </c>
      <c r="G86" s="28">
        <v>6.8499999999999995E-4</v>
      </c>
    </row>
    <row r="87" spans="1:7" x14ac:dyDescent="0.35">
      <c r="A87" s="27">
        <v>44925</v>
      </c>
      <c r="B87" s="26">
        <v>5703</v>
      </c>
      <c r="C87" s="26" t="str">
        <f t="shared" si="1"/>
        <v>'5703T'</v>
      </c>
      <c r="D87" s="26" t="s">
        <v>6537</v>
      </c>
      <c r="E87" s="26" t="s">
        <v>6477</v>
      </c>
      <c r="F87" s="26" t="s">
        <v>6434</v>
      </c>
      <c r="G87" s="28">
        <v>1.9900000000000001E-4</v>
      </c>
    </row>
    <row r="88" spans="1:7" x14ac:dyDescent="0.35">
      <c r="A88" s="27">
        <v>44925</v>
      </c>
      <c r="B88" s="26">
        <v>5706</v>
      </c>
      <c r="C88" s="26" t="str">
        <f t="shared" si="1"/>
        <v>'5706T'</v>
      </c>
      <c r="D88" s="26" t="s">
        <v>6538</v>
      </c>
      <c r="E88" s="26" t="s">
        <v>6477</v>
      </c>
      <c r="F88" s="26" t="s">
        <v>6434</v>
      </c>
      <c r="G88" s="28">
        <v>4.0499999999999998E-4</v>
      </c>
    </row>
    <row r="89" spans="1:7" x14ac:dyDescent="0.35">
      <c r="A89" s="27">
        <v>44925</v>
      </c>
      <c r="B89" s="26">
        <v>5707</v>
      </c>
      <c r="C89" s="26" t="str">
        <f t="shared" si="1"/>
        <v>'5707T'</v>
      </c>
      <c r="D89" s="26" t="s">
        <v>6539</v>
      </c>
      <c r="E89" s="26" t="s">
        <v>6477</v>
      </c>
      <c r="F89" s="26" t="s">
        <v>6434</v>
      </c>
      <c r="G89" s="28">
        <v>2.6800000000000001E-4</v>
      </c>
    </row>
    <row r="90" spans="1:7" x14ac:dyDescent="0.35">
      <c r="A90" s="27">
        <v>44925</v>
      </c>
      <c r="B90" s="26">
        <v>5711</v>
      </c>
      <c r="C90" s="26" t="str">
        <f t="shared" si="1"/>
        <v>'5711T'</v>
      </c>
      <c r="D90" s="26" t="s">
        <v>6540</v>
      </c>
      <c r="E90" s="26" t="s">
        <v>6477</v>
      </c>
      <c r="F90" s="26" t="s">
        <v>6434</v>
      </c>
      <c r="G90" s="28">
        <v>2.7300000000000002E-4</v>
      </c>
    </row>
    <row r="91" spans="1:7" x14ac:dyDescent="0.35">
      <c r="A91" s="27">
        <v>44925</v>
      </c>
      <c r="B91" s="26">
        <v>5713</v>
      </c>
      <c r="C91" s="26" t="str">
        <f t="shared" si="1"/>
        <v>'5713T'</v>
      </c>
      <c r="D91" s="26" t="s">
        <v>6541</v>
      </c>
      <c r="E91" s="26" t="s">
        <v>6477</v>
      </c>
      <c r="F91" s="26" t="s">
        <v>6434</v>
      </c>
      <c r="G91" s="28">
        <v>3.065E-3</v>
      </c>
    </row>
    <row r="92" spans="1:7" x14ac:dyDescent="0.35">
      <c r="A92" s="27">
        <v>44925</v>
      </c>
      <c r="B92" s="26">
        <v>5714</v>
      </c>
      <c r="C92" s="26" t="str">
        <f t="shared" si="1"/>
        <v>'5714T'</v>
      </c>
      <c r="D92" s="26" t="s">
        <v>6542</v>
      </c>
      <c r="E92" s="26" t="s">
        <v>6477</v>
      </c>
      <c r="F92" s="26" t="s">
        <v>6434</v>
      </c>
      <c r="G92" s="28">
        <v>1.0889999999999999E-3</v>
      </c>
    </row>
    <row r="93" spans="1:7" x14ac:dyDescent="0.35">
      <c r="A93" s="27">
        <v>44925</v>
      </c>
      <c r="B93" s="26">
        <v>5801</v>
      </c>
      <c r="C93" s="26" t="str">
        <f t="shared" si="1"/>
        <v>'5801T'</v>
      </c>
      <c r="D93" s="26" t="s">
        <v>6543</v>
      </c>
      <c r="E93" s="26" t="s">
        <v>6477</v>
      </c>
      <c r="F93" s="26" t="s">
        <v>6434</v>
      </c>
      <c r="G93" s="28">
        <v>3.2499999999999999E-4</v>
      </c>
    </row>
    <row r="94" spans="1:7" x14ac:dyDescent="0.35">
      <c r="A94" s="27">
        <v>44925</v>
      </c>
      <c r="B94" s="26">
        <v>5802</v>
      </c>
      <c r="C94" s="26" t="str">
        <f t="shared" si="1"/>
        <v>'5802T'</v>
      </c>
      <c r="D94" s="26" t="s">
        <v>6544</v>
      </c>
      <c r="E94" s="26" t="s">
        <v>6477</v>
      </c>
      <c r="F94" s="26" t="s">
        <v>6434</v>
      </c>
      <c r="G94" s="28">
        <v>1.9740000000000001E-3</v>
      </c>
    </row>
    <row r="95" spans="1:7" x14ac:dyDescent="0.35">
      <c r="A95" s="27">
        <v>44925</v>
      </c>
      <c r="B95" s="26">
        <v>5803</v>
      </c>
      <c r="C95" s="26" t="str">
        <f t="shared" si="1"/>
        <v>'5803T'</v>
      </c>
      <c r="D95" s="26" t="s">
        <v>6545</v>
      </c>
      <c r="E95" s="26" t="s">
        <v>6477</v>
      </c>
      <c r="F95" s="26" t="s">
        <v>6434</v>
      </c>
      <c r="G95" s="28">
        <v>1.3179999999999999E-3</v>
      </c>
    </row>
    <row r="96" spans="1:7" x14ac:dyDescent="0.35">
      <c r="A96" s="27">
        <v>44925</v>
      </c>
      <c r="B96" s="26">
        <v>5831</v>
      </c>
      <c r="C96" s="26" t="str">
        <f t="shared" si="1"/>
        <v>'5831T'</v>
      </c>
      <c r="D96" s="26" t="s">
        <v>6546</v>
      </c>
      <c r="E96" s="26" t="s">
        <v>6547</v>
      </c>
      <c r="F96" s="26" t="s">
        <v>6548</v>
      </c>
      <c r="G96" s="28">
        <v>1.384E-3</v>
      </c>
    </row>
    <row r="97" spans="1:7" x14ac:dyDescent="0.35">
      <c r="A97" s="27">
        <v>44925</v>
      </c>
      <c r="B97" s="26">
        <v>6098</v>
      </c>
      <c r="C97" s="26" t="str">
        <f t="shared" si="1"/>
        <v>'6098T'</v>
      </c>
      <c r="D97" s="26" t="s">
        <v>6549</v>
      </c>
      <c r="E97" s="26" t="s">
        <v>6451</v>
      </c>
      <c r="F97" s="26" t="s">
        <v>6431</v>
      </c>
      <c r="G97" s="28">
        <v>1.6444E-2</v>
      </c>
    </row>
    <row r="98" spans="1:7" x14ac:dyDescent="0.35">
      <c r="A98" s="27">
        <v>44925</v>
      </c>
      <c r="B98" s="26">
        <v>6103</v>
      </c>
      <c r="C98" s="26" t="str">
        <f t="shared" si="1"/>
        <v>'6103T'</v>
      </c>
      <c r="D98" s="26" t="s">
        <v>6550</v>
      </c>
      <c r="E98" s="26" t="s">
        <v>6536</v>
      </c>
      <c r="F98" s="26" t="s">
        <v>6437</v>
      </c>
      <c r="G98" s="28">
        <v>1.2340000000000001E-3</v>
      </c>
    </row>
    <row r="99" spans="1:7" x14ac:dyDescent="0.35">
      <c r="A99" s="27">
        <v>44925</v>
      </c>
      <c r="B99" s="26">
        <v>6113</v>
      </c>
      <c r="C99" s="26" t="str">
        <f t="shared" si="1"/>
        <v>'6113T'</v>
      </c>
      <c r="D99" s="26" t="s">
        <v>6551</v>
      </c>
      <c r="E99" s="26" t="s">
        <v>6536</v>
      </c>
      <c r="F99" s="26" t="s">
        <v>6437</v>
      </c>
      <c r="G99" s="28">
        <v>1.3569999999999999E-3</v>
      </c>
    </row>
    <row r="100" spans="1:7" x14ac:dyDescent="0.35">
      <c r="A100" s="27">
        <v>44925</v>
      </c>
      <c r="B100" s="26">
        <v>6178</v>
      </c>
      <c r="C100" s="26" t="str">
        <f t="shared" si="1"/>
        <v>'6178T'</v>
      </c>
      <c r="D100" s="26" t="s">
        <v>6552</v>
      </c>
      <c r="E100" s="26" t="s">
        <v>6451</v>
      </c>
      <c r="F100" s="26" t="s">
        <v>6431</v>
      </c>
      <c r="G100" s="28">
        <v>1.456E-3</v>
      </c>
    </row>
    <row r="101" spans="1:7" x14ac:dyDescent="0.35">
      <c r="A101" s="27">
        <v>44925</v>
      </c>
      <c r="B101" s="26">
        <v>6273</v>
      </c>
      <c r="C101" s="26" t="str">
        <f t="shared" si="1"/>
        <v>'6273T'</v>
      </c>
      <c r="D101" s="26" t="s">
        <v>6553</v>
      </c>
      <c r="E101" s="26" t="s">
        <v>6536</v>
      </c>
      <c r="F101" s="26" t="s">
        <v>6437</v>
      </c>
      <c r="G101" s="28">
        <v>7.2940000000000001E-3</v>
      </c>
    </row>
    <row r="102" spans="1:7" x14ac:dyDescent="0.35">
      <c r="A102" s="27">
        <v>44925</v>
      </c>
      <c r="B102" s="26">
        <v>6301</v>
      </c>
      <c r="C102" s="26" t="str">
        <f t="shared" si="1"/>
        <v>'6301T'</v>
      </c>
      <c r="D102" s="26" t="s">
        <v>6554</v>
      </c>
      <c r="E102" s="26" t="s">
        <v>6536</v>
      </c>
      <c r="F102" s="26" t="s">
        <v>6437</v>
      </c>
      <c r="G102" s="28">
        <v>3.774E-3</v>
      </c>
    </row>
    <row r="103" spans="1:7" x14ac:dyDescent="0.35">
      <c r="A103" s="27">
        <v>44925</v>
      </c>
      <c r="B103" s="26">
        <v>6302</v>
      </c>
      <c r="C103" s="26" t="str">
        <f t="shared" si="1"/>
        <v>'6302T'</v>
      </c>
      <c r="D103" s="26" t="s">
        <v>6555</v>
      </c>
      <c r="E103" s="26" t="s">
        <v>6536</v>
      </c>
      <c r="F103" s="26" t="s">
        <v>6437</v>
      </c>
      <c r="G103" s="28">
        <v>6.9399999999999996E-4</v>
      </c>
    </row>
    <row r="104" spans="1:7" x14ac:dyDescent="0.35">
      <c r="A104" s="27">
        <v>44925</v>
      </c>
      <c r="B104" s="26">
        <v>6305</v>
      </c>
      <c r="C104" s="26" t="str">
        <f t="shared" si="1"/>
        <v>'6305T'</v>
      </c>
      <c r="D104" s="26" t="s">
        <v>6556</v>
      </c>
      <c r="E104" s="26" t="s">
        <v>6536</v>
      </c>
      <c r="F104" s="26" t="s">
        <v>6437</v>
      </c>
      <c r="G104" s="28">
        <v>3.8830000000000002E-3</v>
      </c>
    </row>
    <row r="105" spans="1:7" x14ac:dyDescent="0.35">
      <c r="A105" s="27">
        <v>44925</v>
      </c>
      <c r="B105" s="26">
        <v>6326</v>
      </c>
      <c r="C105" s="26" t="str">
        <f t="shared" si="1"/>
        <v>'6326T'</v>
      </c>
      <c r="D105" s="26" t="s">
        <v>6557</v>
      </c>
      <c r="E105" s="26" t="s">
        <v>6536</v>
      </c>
      <c r="F105" s="26" t="s">
        <v>6437</v>
      </c>
      <c r="G105" s="28">
        <v>2.3839999999999998E-3</v>
      </c>
    </row>
    <row r="106" spans="1:7" x14ac:dyDescent="0.35">
      <c r="A106" s="27">
        <v>44925</v>
      </c>
      <c r="B106" s="26">
        <v>6361</v>
      </c>
      <c r="C106" s="26" t="str">
        <f t="shared" si="1"/>
        <v>'6361T'</v>
      </c>
      <c r="D106" s="26" t="s">
        <v>6558</v>
      </c>
      <c r="E106" s="26" t="s">
        <v>6536</v>
      </c>
      <c r="F106" s="26" t="s">
        <v>6437</v>
      </c>
      <c r="G106" s="28">
        <v>1.2390000000000001E-3</v>
      </c>
    </row>
    <row r="107" spans="1:7" x14ac:dyDescent="0.35">
      <c r="A107" s="27">
        <v>44925</v>
      </c>
      <c r="B107" s="26">
        <v>6367</v>
      </c>
      <c r="C107" s="26" t="str">
        <f t="shared" si="1"/>
        <v>'6367T'</v>
      </c>
      <c r="D107" s="26" t="s">
        <v>6559</v>
      </c>
      <c r="E107" s="26" t="s">
        <v>6536</v>
      </c>
      <c r="F107" s="26" t="s">
        <v>6437</v>
      </c>
      <c r="G107" s="28">
        <v>2.6508E-2</v>
      </c>
    </row>
    <row r="108" spans="1:7" x14ac:dyDescent="0.35">
      <c r="A108" s="27">
        <v>44925</v>
      </c>
      <c r="B108" s="26">
        <v>6471</v>
      </c>
      <c r="C108" s="26" t="str">
        <f t="shared" si="1"/>
        <v>'6471T'</v>
      </c>
      <c r="D108" s="26" t="s">
        <v>6560</v>
      </c>
      <c r="E108" s="26" t="s">
        <v>6536</v>
      </c>
      <c r="F108" s="26" t="s">
        <v>6437</v>
      </c>
      <c r="G108" s="28">
        <v>9.2000000000000003E-4</v>
      </c>
    </row>
    <row r="109" spans="1:7" x14ac:dyDescent="0.35">
      <c r="A109" s="27">
        <v>44925</v>
      </c>
      <c r="B109" s="26">
        <v>6472</v>
      </c>
      <c r="C109" s="26" t="str">
        <f t="shared" si="1"/>
        <v>'6472T'</v>
      </c>
      <c r="D109" s="26" t="s">
        <v>6561</v>
      </c>
      <c r="E109" s="26" t="s">
        <v>6536</v>
      </c>
      <c r="F109" s="26" t="s">
        <v>6437</v>
      </c>
      <c r="G109" s="28">
        <v>3.4600000000000001E-4</v>
      </c>
    </row>
    <row r="110" spans="1:7" x14ac:dyDescent="0.35">
      <c r="A110" s="27">
        <v>44925</v>
      </c>
      <c r="B110" s="26">
        <v>6473</v>
      </c>
      <c r="C110" s="26" t="str">
        <f t="shared" si="1"/>
        <v>'6473T'</v>
      </c>
      <c r="D110" s="26" t="s">
        <v>6562</v>
      </c>
      <c r="E110" s="26" t="s">
        <v>6536</v>
      </c>
      <c r="F110" s="26" t="s">
        <v>6437</v>
      </c>
      <c r="G110" s="28">
        <v>1.219E-3</v>
      </c>
    </row>
    <row r="111" spans="1:7" x14ac:dyDescent="0.35">
      <c r="A111" s="27">
        <v>44925</v>
      </c>
      <c r="B111" s="26">
        <v>6479</v>
      </c>
      <c r="C111" s="26" t="str">
        <f t="shared" si="1"/>
        <v>'6479T'</v>
      </c>
      <c r="D111" s="26" t="s">
        <v>6563</v>
      </c>
      <c r="E111" s="26" t="s">
        <v>6564</v>
      </c>
      <c r="F111" s="26" t="s">
        <v>6491</v>
      </c>
      <c r="G111" s="28">
        <v>2.5860000000000002E-3</v>
      </c>
    </row>
    <row r="112" spans="1:7" x14ac:dyDescent="0.35">
      <c r="A112" s="27">
        <v>44925</v>
      </c>
      <c r="B112" s="26">
        <v>6501</v>
      </c>
      <c r="C112" s="26" t="str">
        <f t="shared" si="1"/>
        <v>'6501T'</v>
      </c>
      <c r="D112" s="26" t="s">
        <v>6565</v>
      </c>
      <c r="E112" s="26" t="s">
        <v>6564</v>
      </c>
      <c r="F112" s="26" t="s">
        <v>6491</v>
      </c>
      <c r="G112" s="28">
        <v>1.756E-3</v>
      </c>
    </row>
    <row r="113" spans="1:7" x14ac:dyDescent="0.35">
      <c r="A113" s="27">
        <v>44925</v>
      </c>
      <c r="B113" s="26">
        <v>6503</v>
      </c>
      <c r="C113" s="26" t="str">
        <f t="shared" si="1"/>
        <v>'6503T'</v>
      </c>
      <c r="D113" s="26" t="s">
        <v>6566</v>
      </c>
      <c r="E113" s="26" t="s">
        <v>6564</v>
      </c>
      <c r="F113" s="26" t="s">
        <v>6491</v>
      </c>
      <c r="G113" s="28">
        <v>1.7240000000000001E-3</v>
      </c>
    </row>
    <row r="114" spans="1:7" x14ac:dyDescent="0.35">
      <c r="A114" s="27">
        <v>44925</v>
      </c>
      <c r="B114" s="26">
        <v>6504</v>
      </c>
      <c r="C114" s="26" t="str">
        <f t="shared" si="1"/>
        <v>'6504T'</v>
      </c>
      <c r="D114" s="26" t="s">
        <v>6567</v>
      </c>
      <c r="E114" s="26" t="s">
        <v>6564</v>
      </c>
      <c r="F114" s="26" t="s">
        <v>6491</v>
      </c>
      <c r="G114" s="28">
        <v>1.32E-3</v>
      </c>
    </row>
    <row r="115" spans="1:7" x14ac:dyDescent="0.35">
      <c r="A115" s="27">
        <v>44925</v>
      </c>
      <c r="B115" s="26">
        <v>6506</v>
      </c>
      <c r="C115" s="26" t="str">
        <f t="shared" si="1"/>
        <v>'6506T'</v>
      </c>
      <c r="D115" s="26" t="s">
        <v>6568</v>
      </c>
      <c r="E115" s="26" t="s">
        <v>6564</v>
      </c>
      <c r="F115" s="26" t="s">
        <v>6491</v>
      </c>
      <c r="G115" s="28">
        <v>5.5440000000000003E-3</v>
      </c>
    </row>
    <row r="116" spans="1:7" x14ac:dyDescent="0.35">
      <c r="A116" s="27">
        <v>44925</v>
      </c>
      <c r="B116" s="26">
        <v>6594</v>
      </c>
      <c r="C116" s="26" t="str">
        <f t="shared" si="1"/>
        <v>'6594T'</v>
      </c>
      <c r="D116" s="26" t="s">
        <v>6569</v>
      </c>
      <c r="E116" s="26" t="s">
        <v>6564</v>
      </c>
      <c r="F116" s="26" t="s">
        <v>6491</v>
      </c>
      <c r="G116" s="28">
        <v>7.1799999999999998E-3</v>
      </c>
    </row>
    <row r="117" spans="1:7" x14ac:dyDescent="0.35">
      <c r="A117" s="27">
        <v>44925</v>
      </c>
      <c r="B117" s="26">
        <v>6645</v>
      </c>
      <c r="C117" s="26" t="str">
        <f t="shared" si="1"/>
        <v>'6645T'</v>
      </c>
      <c r="D117" s="26" t="s">
        <v>6570</v>
      </c>
      <c r="E117" s="26" t="s">
        <v>6564</v>
      </c>
      <c r="F117" s="26" t="s">
        <v>6491</v>
      </c>
      <c r="G117" s="28">
        <v>8.4049999999999993E-3</v>
      </c>
    </row>
    <row r="118" spans="1:7" x14ac:dyDescent="0.35">
      <c r="A118" s="27">
        <v>44925</v>
      </c>
      <c r="B118" s="26">
        <v>6674</v>
      </c>
      <c r="C118" s="26" t="str">
        <f t="shared" si="1"/>
        <v>'6674T'</v>
      </c>
      <c r="D118" s="26" t="s">
        <v>6571</v>
      </c>
      <c r="E118" s="26" t="s">
        <v>6564</v>
      </c>
      <c r="F118" s="26" t="s">
        <v>6491</v>
      </c>
      <c r="G118" s="28">
        <v>5.5599999999999996E-4</v>
      </c>
    </row>
    <row r="119" spans="1:7" x14ac:dyDescent="0.35">
      <c r="A119" s="27">
        <v>44925</v>
      </c>
      <c r="B119" s="26">
        <v>6701</v>
      </c>
      <c r="C119" s="26" t="str">
        <f t="shared" si="1"/>
        <v>'6701T'</v>
      </c>
      <c r="D119" s="26" t="s">
        <v>6572</v>
      </c>
      <c r="E119" s="26" t="s">
        <v>6564</v>
      </c>
      <c r="F119" s="26" t="s">
        <v>6491</v>
      </c>
      <c r="G119" s="28">
        <v>6.0800000000000003E-4</v>
      </c>
    </row>
    <row r="120" spans="1:7" x14ac:dyDescent="0.35">
      <c r="A120" s="27">
        <v>44925</v>
      </c>
      <c r="B120" s="26">
        <v>6702</v>
      </c>
      <c r="C120" s="26" t="str">
        <f t="shared" si="1"/>
        <v>'6702T'</v>
      </c>
      <c r="D120" s="26" t="s">
        <v>6573</v>
      </c>
      <c r="E120" s="26" t="s">
        <v>6564</v>
      </c>
      <c r="F120" s="26" t="s">
        <v>6491</v>
      </c>
      <c r="G120" s="28">
        <v>2.3119999999999998E-3</v>
      </c>
    </row>
    <row r="121" spans="1:7" x14ac:dyDescent="0.35">
      <c r="A121" s="27">
        <v>44925</v>
      </c>
      <c r="B121" s="26">
        <v>6724</v>
      </c>
      <c r="C121" s="26" t="str">
        <f t="shared" si="1"/>
        <v>'6724T'</v>
      </c>
      <c r="D121" s="26" t="s">
        <v>6574</v>
      </c>
      <c r="E121" s="26" t="s">
        <v>6564</v>
      </c>
      <c r="F121" s="26" t="s">
        <v>6491</v>
      </c>
      <c r="G121" s="28">
        <v>5.0549999999999996E-3</v>
      </c>
    </row>
    <row r="122" spans="1:7" x14ac:dyDescent="0.35">
      <c r="A122" s="27">
        <v>44925</v>
      </c>
      <c r="B122" s="26">
        <v>6752</v>
      </c>
      <c r="C122" s="26" t="str">
        <f t="shared" si="1"/>
        <v>'6752T'</v>
      </c>
      <c r="D122" s="26" t="s">
        <v>6575</v>
      </c>
      <c r="E122" s="26" t="s">
        <v>6564</v>
      </c>
      <c r="F122" s="26" t="s">
        <v>6491</v>
      </c>
      <c r="G122" s="28">
        <v>1.457E-3</v>
      </c>
    </row>
    <row r="123" spans="1:7" x14ac:dyDescent="0.35">
      <c r="A123" s="27">
        <v>44925</v>
      </c>
      <c r="B123" s="26">
        <v>6753</v>
      </c>
      <c r="C123" s="26" t="str">
        <f t="shared" si="1"/>
        <v>'6753T'</v>
      </c>
      <c r="D123" s="26" t="s">
        <v>6576</v>
      </c>
      <c r="E123" s="26" t="s">
        <v>6564</v>
      </c>
      <c r="F123" s="26" t="s">
        <v>6491</v>
      </c>
      <c r="G123" s="28">
        <v>1.24E-3</v>
      </c>
    </row>
    <row r="124" spans="1:7" x14ac:dyDescent="0.35">
      <c r="A124" s="27">
        <v>44925</v>
      </c>
      <c r="B124" s="26">
        <v>6758</v>
      </c>
      <c r="C124" s="26" t="str">
        <f t="shared" si="1"/>
        <v>'6758T'</v>
      </c>
      <c r="D124" s="26" t="s">
        <v>6577</v>
      </c>
      <c r="E124" s="26" t="s">
        <v>6564</v>
      </c>
      <c r="F124" s="26" t="s">
        <v>6491</v>
      </c>
      <c r="G124" s="28">
        <v>1.3169E-2</v>
      </c>
    </row>
    <row r="125" spans="1:7" x14ac:dyDescent="0.35">
      <c r="A125" s="27">
        <v>44925</v>
      </c>
      <c r="B125" s="26">
        <v>6762</v>
      </c>
      <c r="C125" s="26" t="str">
        <f t="shared" si="1"/>
        <v>'6762T'</v>
      </c>
      <c r="D125" s="26" t="s">
        <v>6578</v>
      </c>
      <c r="E125" s="26" t="s">
        <v>6564</v>
      </c>
      <c r="F125" s="26" t="s">
        <v>6491</v>
      </c>
      <c r="G125" s="28">
        <v>1.7066000000000001E-2</v>
      </c>
    </row>
    <row r="126" spans="1:7" x14ac:dyDescent="0.35">
      <c r="A126" s="27">
        <v>44925</v>
      </c>
      <c r="B126" s="26">
        <v>6770</v>
      </c>
      <c r="C126" s="26" t="str">
        <f t="shared" si="1"/>
        <v>'6770T'</v>
      </c>
      <c r="D126" s="26" t="s">
        <v>6579</v>
      </c>
      <c r="E126" s="26" t="s">
        <v>6564</v>
      </c>
      <c r="F126" s="26" t="s">
        <v>6491</v>
      </c>
      <c r="G126" s="28">
        <v>1.5709999999999999E-3</v>
      </c>
    </row>
    <row r="127" spans="1:7" x14ac:dyDescent="0.35">
      <c r="A127" s="27">
        <v>44925</v>
      </c>
      <c r="B127" s="26">
        <v>6841</v>
      </c>
      <c r="C127" s="26" t="str">
        <f t="shared" si="1"/>
        <v>'6841T'</v>
      </c>
      <c r="D127" s="26" t="s">
        <v>6580</v>
      </c>
      <c r="E127" s="26" t="s">
        <v>6564</v>
      </c>
      <c r="F127" s="26" t="s">
        <v>6491</v>
      </c>
      <c r="G127" s="28">
        <v>2.7620000000000001E-3</v>
      </c>
    </row>
    <row r="128" spans="1:7" x14ac:dyDescent="0.35">
      <c r="A128" s="27">
        <v>44925</v>
      </c>
      <c r="B128" s="26">
        <v>6857</v>
      </c>
      <c r="C128" s="26" t="str">
        <f t="shared" si="1"/>
        <v>'6857T'</v>
      </c>
      <c r="D128" s="26" t="s">
        <v>6581</v>
      </c>
      <c r="E128" s="26" t="s">
        <v>6564</v>
      </c>
      <c r="F128" s="26" t="s">
        <v>6491</v>
      </c>
      <c r="G128" s="28">
        <v>2.2256000000000001E-2</v>
      </c>
    </row>
    <row r="129" spans="1:7" x14ac:dyDescent="0.35">
      <c r="A129" s="27">
        <v>44925</v>
      </c>
      <c r="B129" s="26">
        <v>6861</v>
      </c>
      <c r="C129" s="26" t="str">
        <f t="shared" si="1"/>
        <v>'6861T'</v>
      </c>
      <c r="D129" s="26" t="s">
        <v>6582</v>
      </c>
      <c r="E129" s="26" t="s">
        <v>6564</v>
      </c>
      <c r="F129" s="26" t="s">
        <v>6491</v>
      </c>
      <c r="G129" s="28">
        <v>6.7479999999999997E-3</v>
      </c>
    </row>
    <row r="130" spans="1:7" x14ac:dyDescent="0.35">
      <c r="A130" s="27">
        <v>44925</v>
      </c>
      <c r="B130" s="26">
        <v>6902</v>
      </c>
      <c r="C130" s="26" t="str">
        <f t="shared" si="1"/>
        <v>'6902T'</v>
      </c>
      <c r="D130" s="26" t="s">
        <v>6583</v>
      </c>
      <c r="E130" s="26" t="s">
        <v>6564</v>
      </c>
      <c r="F130" s="26" t="s">
        <v>6491</v>
      </c>
      <c r="G130" s="28">
        <v>8.5769999999999996E-3</v>
      </c>
    </row>
    <row r="131" spans="1:7" x14ac:dyDescent="0.35">
      <c r="A131" s="27">
        <v>44925</v>
      </c>
      <c r="B131" s="26">
        <v>6952</v>
      </c>
      <c r="C131" s="26" t="str">
        <f t="shared" ref="C131:C194" si="2">"'"&amp;B131&amp;"T'"</f>
        <v>'6952T'</v>
      </c>
      <c r="D131" s="26" t="s">
        <v>6584</v>
      </c>
      <c r="E131" s="26" t="s">
        <v>6564</v>
      </c>
      <c r="F131" s="26" t="s">
        <v>6491</v>
      </c>
      <c r="G131" s="28">
        <v>1.7619999999999999E-3</v>
      </c>
    </row>
    <row r="132" spans="1:7" x14ac:dyDescent="0.35">
      <c r="A132" s="27">
        <v>44925</v>
      </c>
      <c r="B132" s="26">
        <v>6954</v>
      </c>
      <c r="C132" s="26" t="str">
        <f t="shared" si="2"/>
        <v>'6954T'</v>
      </c>
      <c r="D132" s="26" t="s">
        <v>6585</v>
      </c>
      <c r="E132" s="26" t="s">
        <v>6564</v>
      </c>
      <c r="F132" s="26" t="s">
        <v>6491</v>
      </c>
      <c r="G132" s="28">
        <v>2.6029E-2</v>
      </c>
    </row>
    <row r="133" spans="1:7" x14ac:dyDescent="0.35">
      <c r="A133" s="27">
        <v>44925</v>
      </c>
      <c r="B133" s="26">
        <v>6971</v>
      </c>
      <c r="C133" s="26" t="str">
        <f t="shared" si="2"/>
        <v>'6971T'</v>
      </c>
      <c r="D133" s="26" t="s">
        <v>6586</v>
      </c>
      <c r="E133" s="26" t="s">
        <v>6564</v>
      </c>
      <c r="F133" s="26" t="s">
        <v>6491</v>
      </c>
      <c r="G133" s="28">
        <v>1.7195999999999999E-2</v>
      </c>
    </row>
    <row r="134" spans="1:7" x14ac:dyDescent="0.35">
      <c r="A134" s="27">
        <v>44925</v>
      </c>
      <c r="B134" s="26">
        <v>6976</v>
      </c>
      <c r="C134" s="26" t="str">
        <f t="shared" si="2"/>
        <v>'6976T'</v>
      </c>
      <c r="D134" s="26" t="s">
        <v>6587</v>
      </c>
      <c r="E134" s="26" t="s">
        <v>6564</v>
      </c>
      <c r="F134" s="26" t="s">
        <v>6491</v>
      </c>
      <c r="G134" s="28">
        <v>5.0260000000000001E-3</v>
      </c>
    </row>
    <row r="135" spans="1:7" x14ac:dyDescent="0.35">
      <c r="A135" s="27">
        <v>44925</v>
      </c>
      <c r="B135" s="26">
        <v>6981</v>
      </c>
      <c r="C135" s="26" t="str">
        <f t="shared" si="2"/>
        <v>'6981T'</v>
      </c>
      <c r="D135" s="26" t="s">
        <v>6588</v>
      </c>
      <c r="E135" s="26" t="s">
        <v>6564</v>
      </c>
      <c r="F135" s="26" t="s">
        <v>6491</v>
      </c>
      <c r="G135" s="28">
        <v>6.9160000000000003E-3</v>
      </c>
    </row>
    <row r="136" spans="1:7" x14ac:dyDescent="0.35">
      <c r="A136" s="27">
        <v>44925</v>
      </c>
      <c r="B136" s="26">
        <v>6988</v>
      </c>
      <c r="C136" s="26" t="str">
        <f t="shared" si="2"/>
        <v>'6988T'</v>
      </c>
      <c r="D136" s="26" t="s">
        <v>6589</v>
      </c>
      <c r="E136" s="26" t="s">
        <v>6474</v>
      </c>
      <c r="F136" s="26" t="s">
        <v>6434</v>
      </c>
      <c r="G136" s="28">
        <v>1.0038999999999999E-2</v>
      </c>
    </row>
    <row r="137" spans="1:7" x14ac:dyDescent="0.35">
      <c r="A137" s="27">
        <v>44925</v>
      </c>
      <c r="B137" s="26">
        <v>7003</v>
      </c>
      <c r="C137" s="26" t="str">
        <f t="shared" si="2"/>
        <v>'7003T'</v>
      </c>
      <c r="D137" s="26" t="s">
        <v>6590</v>
      </c>
      <c r="E137" s="26" t="s">
        <v>6591</v>
      </c>
      <c r="F137" s="26" t="s">
        <v>6437</v>
      </c>
      <c r="G137" s="28">
        <v>5.0000000000000002E-5</v>
      </c>
    </row>
    <row r="138" spans="1:7" x14ac:dyDescent="0.35">
      <c r="A138" s="27">
        <v>44925</v>
      </c>
      <c r="B138" s="26">
        <v>7004</v>
      </c>
      <c r="C138" s="26" t="str">
        <f t="shared" si="2"/>
        <v>'7004T'</v>
      </c>
      <c r="D138" s="26" t="s">
        <v>6592</v>
      </c>
      <c r="E138" s="26" t="s">
        <v>6536</v>
      </c>
      <c r="F138" s="26" t="s">
        <v>6437</v>
      </c>
      <c r="G138" s="28">
        <v>2.1699999999999999E-4</v>
      </c>
    </row>
    <row r="139" spans="1:7" x14ac:dyDescent="0.35">
      <c r="A139" s="27">
        <v>44925</v>
      </c>
      <c r="B139" s="26">
        <v>7011</v>
      </c>
      <c r="C139" s="26" t="str">
        <f t="shared" si="2"/>
        <v>'7011T'</v>
      </c>
      <c r="D139" s="26" t="s">
        <v>6593</v>
      </c>
      <c r="E139" s="26" t="s">
        <v>6536</v>
      </c>
      <c r="F139" s="26" t="s">
        <v>6437</v>
      </c>
      <c r="G139" s="28">
        <v>6.87E-4</v>
      </c>
    </row>
    <row r="140" spans="1:7" x14ac:dyDescent="0.35">
      <c r="A140" s="27">
        <v>44925</v>
      </c>
      <c r="B140" s="26">
        <v>7012</v>
      </c>
      <c r="C140" s="26" t="str">
        <f t="shared" si="2"/>
        <v>'7012T'</v>
      </c>
      <c r="D140" s="26" t="s">
        <v>6594</v>
      </c>
      <c r="E140" s="26" t="s">
        <v>6591</v>
      </c>
      <c r="F140" s="26" t="s">
        <v>6437</v>
      </c>
      <c r="G140" s="28">
        <v>4.0499999999999998E-4</v>
      </c>
    </row>
    <row r="141" spans="1:7" x14ac:dyDescent="0.35">
      <c r="A141" s="27">
        <v>44925</v>
      </c>
      <c r="B141" s="26">
        <v>7013</v>
      </c>
      <c r="C141" s="26" t="str">
        <f t="shared" si="2"/>
        <v>'7013T'</v>
      </c>
      <c r="D141" s="26" t="s">
        <v>6595</v>
      </c>
      <c r="E141" s="26" t="s">
        <v>6536</v>
      </c>
      <c r="F141" s="26" t="s">
        <v>6437</v>
      </c>
      <c r="G141" s="28">
        <v>5.0500000000000002E-4</v>
      </c>
    </row>
    <row r="142" spans="1:7" x14ac:dyDescent="0.35">
      <c r="A142" s="27">
        <v>44925</v>
      </c>
      <c r="B142" s="26">
        <v>7186</v>
      </c>
      <c r="C142" s="26" t="str">
        <f t="shared" si="2"/>
        <v>'7186T'</v>
      </c>
      <c r="D142" s="26" t="s">
        <v>6596</v>
      </c>
      <c r="E142" s="26" t="s">
        <v>6547</v>
      </c>
      <c r="F142" s="26" t="s">
        <v>6548</v>
      </c>
      <c r="G142" s="28">
        <v>7.2199999999999999E-4</v>
      </c>
    </row>
    <row r="143" spans="1:7" x14ac:dyDescent="0.35">
      <c r="A143" s="27">
        <v>44925</v>
      </c>
      <c r="B143" s="26">
        <v>7201</v>
      </c>
      <c r="C143" s="26" t="str">
        <f t="shared" si="2"/>
        <v>'7201T'</v>
      </c>
      <c r="D143" s="26" t="s">
        <v>6597</v>
      </c>
      <c r="E143" s="26" t="s">
        <v>6598</v>
      </c>
      <c r="F143" s="26" t="s">
        <v>6491</v>
      </c>
      <c r="G143" s="28">
        <v>5.4900000000000001E-4</v>
      </c>
    </row>
    <row r="144" spans="1:7" x14ac:dyDescent="0.35">
      <c r="A144" s="27">
        <v>44925</v>
      </c>
      <c r="B144" s="26">
        <v>7202</v>
      </c>
      <c r="C144" s="26" t="str">
        <f t="shared" si="2"/>
        <v>'7202T'</v>
      </c>
      <c r="D144" s="26" t="s">
        <v>6599</v>
      </c>
      <c r="E144" s="26" t="s">
        <v>6598</v>
      </c>
      <c r="F144" s="26" t="s">
        <v>6491</v>
      </c>
      <c r="G144" s="28">
        <v>1.0150000000000001E-3</v>
      </c>
    </row>
    <row r="145" spans="1:7" x14ac:dyDescent="0.35">
      <c r="A145" s="27">
        <v>44925</v>
      </c>
      <c r="B145" s="26">
        <v>7203</v>
      </c>
      <c r="C145" s="26" t="str">
        <f t="shared" si="2"/>
        <v>'7203T'</v>
      </c>
      <c r="D145" s="26" t="s">
        <v>6600</v>
      </c>
      <c r="E145" s="26" t="s">
        <v>6598</v>
      </c>
      <c r="F145" s="26" t="s">
        <v>6491</v>
      </c>
      <c r="G145" s="28">
        <v>1.1892E-2</v>
      </c>
    </row>
    <row r="146" spans="1:7" x14ac:dyDescent="0.35">
      <c r="A146" s="27">
        <v>44925</v>
      </c>
      <c r="B146" s="26">
        <v>7205</v>
      </c>
      <c r="C146" s="26" t="str">
        <f t="shared" si="2"/>
        <v>'7205T'</v>
      </c>
      <c r="D146" s="26" t="s">
        <v>6601</v>
      </c>
      <c r="E146" s="26" t="s">
        <v>6598</v>
      </c>
      <c r="F146" s="26" t="s">
        <v>6491</v>
      </c>
      <c r="G146" s="28">
        <v>6.6E-4</v>
      </c>
    </row>
    <row r="147" spans="1:7" x14ac:dyDescent="0.35">
      <c r="A147" s="27">
        <v>44925</v>
      </c>
      <c r="B147" s="26">
        <v>7211</v>
      </c>
      <c r="C147" s="26" t="str">
        <f t="shared" si="2"/>
        <v>'7211T'</v>
      </c>
      <c r="D147" s="26" t="s">
        <v>6602</v>
      </c>
      <c r="E147" s="26" t="s">
        <v>6598</v>
      </c>
      <c r="F147" s="26" t="s">
        <v>6491</v>
      </c>
      <c r="G147" s="28">
        <v>6.7000000000000002E-5</v>
      </c>
    </row>
    <row r="148" spans="1:7" x14ac:dyDescent="0.35">
      <c r="A148" s="27">
        <v>44925</v>
      </c>
      <c r="B148" s="26">
        <v>7261</v>
      </c>
      <c r="C148" s="26" t="str">
        <f t="shared" si="2"/>
        <v>'7261T'</v>
      </c>
      <c r="D148" s="26" t="s">
        <v>6603</v>
      </c>
      <c r="E148" s="26" t="s">
        <v>6598</v>
      </c>
      <c r="F148" s="26" t="s">
        <v>6491</v>
      </c>
      <c r="G148" s="28">
        <v>2.6400000000000002E-4</v>
      </c>
    </row>
    <row r="149" spans="1:7" x14ac:dyDescent="0.35">
      <c r="A149" s="27">
        <v>44925</v>
      </c>
      <c r="B149" s="26">
        <v>7267</v>
      </c>
      <c r="C149" s="26" t="str">
        <f t="shared" si="2"/>
        <v>'7267T'</v>
      </c>
      <c r="D149" s="26" t="s">
        <v>6604</v>
      </c>
      <c r="E149" s="26" t="s">
        <v>6598</v>
      </c>
      <c r="F149" s="26" t="s">
        <v>6491</v>
      </c>
      <c r="G149" s="28">
        <v>7.9579999999999998E-3</v>
      </c>
    </row>
    <row r="150" spans="1:7" x14ac:dyDescent="0.35">
      <c r="A150" s="27">
        <v>44925</v>
      </c>
      <c r="B150" s="26">
        <v>7269</v>
      </c>
      <c r="C150" s="26" t="str">
        <f t="shared" si="2"/>
        <v>'7269T'</v>
      </c>
      <c r="D150" s="26" t="s">
        <v>6605</v>
      </c>
      <c r="E150" s="26" t="s">
        <v>6598</v>
      </c>
      <c r="F150" s="26" t="s">
        <v>6491</v>
      </c>
      <c r="G150" s="28">
        <v>5.6049999999999997E-3</v>
      </c>
    </row>
    <row r="151" spans="1:7" x14ac:dyDescent="0.35">
      <c r="A151" s="27">
        <v>44925</v>
      </c>
      <c r="B151" s="26">
        <v>7270</v>
      </c>
      <c r="C151" s="26" t="str">
        <f t="shared" si="2"/>
        <v>'7270T'</v>
      </c>
      <c r="D151" s="26" t="s">
        <v>6606</v>
      </c>
      <c r="E151" s="26" t="s">
        <v>6598</v>
      </c>
      <c r="F151" s="26" t="s">
        <v>6491</v>
      </c>
      <c r="G151" s="28">
        <v>2.6610000000000002E-3</v>
      </c>
    </row>
    <row r="152" spans="1:7" x14ac:dyDescent="0.35">
      <c r="A152" s="27">
        <v>44925</v>
      </c>
      <c r="B152" s="26">
        <v>7272</v>
      </c>
      <c r="C152" s="26" t="str">
        <f t="shared" si="2"/>
        <v>'7272T'</v>
      </c>
      <c r="D152" s="26" t="s">
        <v>6607</v>
      </c>
      <c r="E152" s="26" t="s">
        <v>6598</v>
      </c>
      <c r="F152" s="26" t="s">
        <v>6491</v>
      </c>
      <c r="G152" s="28">
        <v>3.9500000000000004E-3</v>
      </c>
    </row>
    <row r="153" spans="1:7" x14ac:dyDescent="0.35">
      <c r="A153" s="27">
        <v>44925</v>
      </c>
      <c r="B153" s="26">
        <v>7731</v>
      </c>
      <c r="C153" s="26" t="str">
        <f t="shared" si="2"/>
        <v>'7731T'</v>
      </c>
      <c r="D153" s="26" t="s">
        <v>6608</v>
      </c>
      <c r="E153" s="26" t="s">
        <v>6504</v>
      </c>
      <c r="F153" s="26" t="s">
        <v>6491</v>
      </c>
      <c r="G153" s="28">
        <v>1.5430000000000001E-3</v>
      </c>
    </row>
    <row r="154" spans="1:7" x14ac:dyDescent="0.35">
      <c r="A154" s="27">
        <v>44925</v>
      </c>
      <c r="B154" s="26">
        <v>7733</v>
      </c>
      <c r="C154" s="26" t="str">
        <f t="shared" si="2"/>
        <v>'7733T'</v>
      </c>
      <c r="D154" s="26" t="s">
        <v>6609</v>
      </c>
      <c r="E154" s="26" t="s">
        <v>6504</v>
      </c>
      <c r="F154" s="26" t="s">
        <v>6491</v>
      </c>
      <c r="G154" s="28">
        <v>1.2345999999999999E-2</v>
      </c>
    </row>
    <row r="155" spans="1:7" x14ac:dyDescent="0.35">
      <c r="A155" s="27">
        <v>44925</v>
      </c>
      <c r="B155" s="26">
        <v>7735</v>
      </c>
      <c r="C155" s="26" t="str">
        <f t="shared" si="2"/>
        <v>'7735T'</v>
      </c>
      <c r="D155" s="26" t="s">
        <v>6610</v>
      </c>
      <c r="E155" s="26" t="s">
        <v>6564</v>
      </c>
      <c r="F155" s="26" t="s">
        <v>6491</v>
      </c>
      <c r="G155" s="28">
        <v>2.2200000000000002E-3</v>
      </c>
    </row>
    <row r="156" spans="1:7" x14ac:dyDescent="0.35">
      <c r="A156" s="27">
        <v>44925</v>
      </c>
      <c r="B156" s="26">
        <v>7741</v>
      </c>
      <c r="C156" s="26" t="str">
        <f t="shared" si="2"/>
        <v>'7741T'</v>
      </c>
      <c r="D156" s="26" t="s">
        <v>6611</v>
      </c>
      <c r="E156" s="26" t="s">
        <v>6504</v>
      </c>
      <c r="F156" s="26" t="s">
        <v>6491</v>
      </c>
      <c r="G156" s="28">
        <v>8.3359999999999997E-3</v>
      </c>
    </row>
    <row r="157" spans="1:7" x14ac:dyDescent="0.35">
      <c r="A157" s="27">
        <v>44925</v>
      </c>
      <c r="B157" s="26">
        <v>7751</v>
      </c>
      <c r="C157" s="26" t="str">
        <f t="shared" si="2"/>
        <v>'7751T'</v>
      </c>
      <c r="D157" s="26" t="s">
        <v>6612</v>
      </c>
      <c r="E157" s="26" t="s">
        <v>6564</v>
      </c>
      <c r="F157" s="26" t="s">
        <v>6491</v>
      </c>
      <c r="G157" s="28">
        <v>5.6210000000000001E-3</v>
      </c>
    </row>
    <row r="158" spans="1:7" x14ac:dyDescent="0.35">
      <c r="A158" s="27">
        <v>44925</v>
      </c>
      <c r="B158" s="26">
        <v>7752</v>
      </c>
      <c r="C158" s="26" t="str">
        <f t="shared" si="2"/>
        <v>'7752T'</v>
      </c>
      <c r="D158" s="26" t="s">
        <v>6613</v>
      </c>
      <c r="E158" s="26" t="s">
        <v>6564</v>
      </c>
      <c r="F158" s="26" t="s">
        <v>6491</v>
      </c>
      <c r="G158" s="28">
        <v>1.3209999999999999E-3</v>
      </c>
    </row>
    <row r="159" spans="1:7" x14ac:dyDescent="0.35">
      <c r="A159" s="27">
        <v>44925</v>
      </c>
      <c r="B159" s="26">
        <v>7762</v>
      </c>
      <c r="C159" s="26" t="str">
        <f t="shared" si="2"/>
        <v>'7762T'</v>
      </c>
      <c r="D159" s="26" t="s">
        <v>6614</v>
      </c>
      <c r="E159" s="26" t="s">
        <v>6504</v>
      </c>
      <c r="F159" s="26" t="s">
        <v>6491</v>
      </c>
      <c r="G159" s="28">
        <v>7.7800000000000005E-4</v>
      </c>
    </row>
    <row r="160" spans="1:7" x14ac:dyDescent="0.35">
      <c r="A160" s="27">
        <v>44925</v>
      </c>
      <c r="B160" s="26">
        <v>7832</v>
      </c>
      <c r="C160" s="26" t="str">
        <f t="shared" si="2"/>
        <v>'7832T'</v>
      </c>
      <c r="D160" s="26" t="s">
        <v>6615</v>
      </c>
      <c r="E160" s="26" t="s">
        <v>6616</v>
      </c>
      <c r="F160" s="26" t="s">
        <v>6437</v>
      </c>
      <c r="G160" s="28">
        <v>1.091E-2</v>
      </c>
    </row>
    <row r="161" spans="1:7" x14ac:dyDescent="0.35">
      <c r="A161" s="27">
        <v>44925</v>
      </c>
      <c r="B161" s="26">
        <v>7911</v>
      </c>
      <c r="C161" s="26" t="str">
        <f t="shared" si="2"/>
        <v>'7911T'</v>
      </c>
      <c r="D161" s="26" t="s">
        <v>6617</v>
      </c>
      <c r="E161" s="26" t="s">
        <v>6616</v>
      </c>
      <c r="F161" s="26" t="s">
        <v>6437</v>
      </c>
      <c r="G161" s="28">
        <v>1.2819999999999999E-3</v>
      </c>
    </row>
    <row r="162" spans="1:7" x14ac:dyDescent="0.35">
      <c r="A162" s="27">
        <v>44925</v>
      </c>
      <c r="B162" s="26">
        <v>7912</v>
      </c>
      <c r="C162" s="26" t="str">
        <f t="shared" si="2"/>
        <v>'7912T'</v>
      </c>
      <c r="D162" s="26" t="s">
        <v>6618</v>
      </c>
      <c r="E162" s="26" t="s">
        <v>6616</v>
      </c>
      <c r="F162" s="26" t="s">
        <v>6437</v>
      </c>
      <c r="G162" s="28">
        <v>1.7390000000000001E-3</v>
      </c>
    </row>
    <row r="163" spans="1:7" x14ac:dyDescent="0.35">
      <c r="A163" s="27">
        <v>44925</v>
      </c>
      <c r="B163" s="26">
        <v>7951</v>
      </c>
      <c r="C163" s="26" t="str">
        <f t="shared" si="2"/>
        <v>'7951T'</v>
      </c>
      <c r="D163" s="26" t="s">
        <v>6619</v>
      </c>
      <c r="E163" s="26" t="s">
        <v>6616</v>
      </c>
      <c r="F163" s="26" t="s">
        <v>6437</v>
      </c>
      <c r="G163" s="28">
        <v>6.4559999999999999E-3</v>
      </c>
    </row>
    <row r="164" spans="1:7" x14ac:dyDescent="0.35">
      <c r="A164" s="27">
        <v>44925</v>
      </c>
      <c r="B164" s="26">
        <v>7974</v>
      </c>
      <c r="C164" s="26" t="str">
        <f t="shared" si="2"/>
        <v>'7974T'</v>
      </c>
      <c r="D164" s="26" t="s">
        <v>6620</v>
      </c>
      <c r="E164" s="26" t="s">
        <v>6451</v>
      </c>
      <c r="F164" s="26" t="s">
        <v>6431</v>
      </c>
      <c r="G164" s="28">
        <v>7.2589999999999998E-3</v>
      </c>
    </row>
    <row r="165" spans="1:7" x14ac:dyDescent="0.35">
      <c r="A165" s="27">
        <v>44925</v>
      </c>
      <c r="B165" s="26">
        <v>8001</v>
      </c>
      <c r="C165" s="26" t="str">
        <f t="shared" si="2"/>
        <v>'8001T'</v>
      </c>
      <c r="D165" s="26" t="s">
        <v>6621</v>
      </c>
      <c r="E165" s="26" t="s">
        <v>6458</v>
      </c>
      <c r="F165" s="26" t="s">
        <v>6434</v>
      </c>
      <c r="G165" s="28">
        <v>5.4409999999999997E-3</v>
      </c>
    </row>
    <row r="166" spans="1:7" x14ac:dyDescent="0.35">
      <c r="A166" s="27">
        <v>44925</v>
      </c>
      <c r="B166" s="26">
        <v>8002</v>
      </c>
      <c r="C166" s="26" t="str">
        <f t="shared" si="2"/>
        <v>'8002T'</v>
      </c>
      <c r="D166" s="26" t="s">
        <v>6622</v>
      </c>
      <c r="E166" s="26" t="s">
        <v>6458</v>
      </c>
      <c r="F166" s="26" t="s">
        <v>6434</v>
      </c>
      <c r="G166" s="28">
        <v>1.9880000000000002E-3</v>
      </c>
    </row>
    <row r="167" spans="1:7" x14ac:dyDescent="0.35">
      <c r="A167" s="27">
        <v>44925</v>
      </c>
      <c r="B167" s="26">
        <v>8015</v>
      </c>
      <c r="C167" s="26" t="str">
        <f t="shared" si="2"/>
        <v>'8015T'</v>
      </c>
      <c r="D167" s="26" t="s">
        <v>6623</v>
      </c>
      <c r="E167" s="26" t="s">
        <v>6458</v>
      </c>
      <c r="F167" s="26" t="s">
        <v>6434</v>
      </c>
      <c r="G167" s="28">
        <v>6.4099999999999999E-3</v>
      </c>
    </row>
    <row r="168" spans="1:7" x14ac:dyDescent="0.35">
      <c r="A168" s="27">
        <v>44925</v>
      </c>
      <c r="B168" s="26">
        <v>8031</v>
      </c>
      <c r="C168" s="26" t="str">
        <f t="shared" si="2"/>
        <v>'8031T'</v>
      </c>
      <c r="D168" s="26" t="s">
        <v>6624</v>
      </c>
      <c r="E168" s="26" t="s">
        <v>6458</v>
      </c>
      <c r="F168" s="26" t="s">
        <v>6434</v>
      </c>
      <c r="G168" s="28">
        <v>5.0559999999999997E-3</v>
      </c>
    </row>
    <row r="169" spans="1:7" x14ac:dyDescent="0.35">
      <c r="A169" s="27">
        <v>44925</v>
      </c>
      <c r="B169" s="26">
        <v>8035</v>
      </c>
      <c r="C169" s="26" t="str">
        <f t="shared" si="2"/>
        <v>'8035T'</v>
      </c>
      <c r="D169" s="26" t="s">
        <v>6625</v>
      </c>
      <c r="E169" s="26" t="s">
        <v>6564</v>
      </c>
      <c r="F169" s="26" t="s">
        <v>6491</v>
      </c>
      <c r="G169" s="28">
        <v>5.1020999999999997E-2</v>
      </c>
    </row>
    <row r="170" spans="1:7" x14ac:dyDescent="0.35">
      <c r="A170" s="27">
        <v>44925</v>
      </c>
      <c r="B170" s="26">
        <v>8053</v>
      </c>
      <c r="C170" s="26" t="str">
        <f t="shared" si="2"/>
        <v>'8053T'</v>
      </c>
      <c r="D170" s="26" t="s">
        <v>6626</v>
      </c>
      <c r="E170" s="26" t="s">
        <v>6458</v>
      </c>
      <c r="F170" s="26" t="s">
        <v>6434</v>
      </c>
      <c r="G170" s="28">
        <v>2.882E-3</v>
      </c>
    </row>
    <row r="171" spans="1:7" x14ac:dyDescent="0.35">
      <c r="A171" s="27">
        <v>44925</v>
      </c>
      <c r="B171" s="26">
        <v>8058</v>
      </c>
      <c r="C171" s="26" t="str">
        <f t="shared" si="2"/>
        <v>'8058T'</v>
      </c>
      <c r="D171" s="26" t="s">
        <v>6627</v>
      </c>
      <c r="E171" s="26" t="s">
        <v>6458</v>
      </c>
      <c r="F171" s="26" t="s">
        <v>6434</v>
      </c>
      <c r="G171" s="28">
        <v>5.62E-3</v>
      </c>
    </row>
    <row r="172" spans="1:7" x14ac:dyDescent="0.35">
      <c r="A172" s="27">
        <v>44925</v>
      </c>
      <c r="B172" s="26">
        <v>8233</v>
      </c>
      <c r="C172" s="26" t="str">
        <f t="shared" si="2"/>
        <v>'8233T'</v>
      </c>
      <c r="D172" s="26" t="s">
        <v>6628</v>
      </c>
      <c r="E172" s="26" t="s">
        <v>6464</v>
      </c>
      <c r="F172" s="26" t="s">
        <v>6431</v>
      </c>
      <c r="G172" s="28">
        <v>1.209E-3</v>
      </c>
    </row>
    <row r="173" spans="1:7" x14ac:dyDescent="0.35">
      <c r="A173" s="27">
        <v>44925</v>
      </c>
      <c r="B173" s="26">
        <v>8252</v>
      </c>
      <c r="C173" s="26" t="str">
        <f t="shared" si="2"/>
        <v>'8252T'</v>
      </c>
      <c r="D173" s="26" t="s">
        <v>6629</v>
      </c>
      <c r="E173" s="26" t="s">
        <v>6464</v>
      </c>
      <c r="F173" s="26" t="s">
        <v>6431</v>
      </c>
      <c r="G173" s="28">
        <v>2.862E-3</v>
      </c>
    </row>
    <row r="174" spans="1:7" x14ac:dyDescent="0.35">
      <c r="A174" s="27">
        <v>44925</v>
      </c>
      <c r="B174" s="26">
        <v>8253</v>
      </c>
      <c r="C174" s="26" t="str">
        <f t="shared" si="2"/>
        <v>'8253T'</v>
      </c>
      <c r="D174" s="26" t="s">
        <v>6630</v>
      </c>
      <c r="E174" s="26" t="s">
        <v>6631</v>
      </c>
      <c r="F174" s="26" t="s">
        <v>6548</v>
      </c>
      <c r="G174" s="28">
        <v>2.232E-3</v>
      </c>
    </row>
    <row r="175" spans="1:7" x14ac:dyDescent="0.35">
      <c r="A175" s="27">
        <v>44925</v>
      </c>
      <c r="B175" s="26">
        <v>8267</v>
      </c>
      <c r="C175" s="26" t="str">
        <f t="shared" si="2"/>
        <v>'8267T'</v>
      </c>
      <c r="D175" s="26" t="s">
        <v>6632</v>
      </c>
      <c r="E175" s="26" t="s">
        <v>6464</v>
      </c>
      <c r="F175" s="26" t="s">
        <v>6431</v>
      </c>
      <c r="G175" s="28">
        <v>3.6519999999999999E-3</v>
      </c>
    </row>
    <row r="176" spans="1:7" x14ac:dyDescent="0.35">
      <c r="A176" s="27">
        <v>44925</v>
      </c>
      <c r="B176" s="26">
        <v>8304</v>
      </c>
      <c r="C176" s="26" t="str">
        <f t="shared" si="2"/>
        <v>'8304T'</v>
      </c>
      <c r="D176" s="26" t="s">
        <v>6633</v>
      </c>
      <c r="E176" s="26" t="s">
        <v>6547</v>
      </c>
      <c r="F176" s="26" t="s">
        <v>6548</v>
      </c>
      <c r="G176" s="28">
        <v>3.4099999999999999E-4</v>
      </c>
    </row>
    <row r="177" spans="1:7" x14ac:dyDescent="0.35">
      <c r="A177" s="27">
        <v>44925</v>
      </c>
      <c r="B177" s="26">
        <v>8306</v>
      </c>
      <c r="C177" s="26" t="str">
        <f t="shared" si="2"/>
        <v>'8306T'</v>
      </c>
      <c r="D177" s="26" t="s">
        <v>6634</v>
      </c>
      <c r="E177" s="26" t="s">
        <v>6547</v>
      </c>
      <c r="F177" s="26" t="s">
        <v>6548</v>
      </c>
      <c r="G177" s="28">
        <v>1.1670000000000001E-3</v>
      </c>
    </row>
    <row r="178" spans="1:7" x14ac:dyDescent="0.35">
      <c r="A178" s="27">
        <v>44925</v>
      </c>
      <c r="B178" s="26">
        <v>8308</v>
      </c>
      <c r="C178" s="26" t="str">
        <f t="shared" si="2"/>
        <v>'8308T'</v>
      </c>
      <c r="D178" s="26" t="s">
        <v>6635</v>
      </c>
      <c r="E178" s="26" t="s">
        <v>6547</v>
      </c>
      <c r="F178" s="26" t="s">
        <v>6548</v>
      </c>
      <c r="G178" s="28">
        <v>9.5000000000000005E-5</v>
      </c>
    </row>
    <row r="179" spans="1:7" x14ac:dyDescent="0.35">
      <c r="A179" s="27">
        <v>44925</v>
      </c>
      <c r="B179" s="26">
        <v>8309</v>
      </c>
      <c r="C179" s="26" t="str">
        <f t="shared" si="2"/>
        <v>'8309T'</v>
      </c>
      <c r="D179" s="26" t="s">
        <v>6636</v>
      </c>
      <c r="E179" s="26" t="s">
        <v>6547</v>
      </c>
      <c r="F179" s="26" t="s">
        <v>6548</v>
      </c>
      <c r="G179" s="28">
        <v>6.02E-4</v>
      </c>
    </row>
    <row r="180" spans="1:7" x14ac:dyDescent="0.35">
      <c r="A180" s="27">
        <v>44925</v>
      </c>
      <c r="B180" s="26">
        <v>8316</v>
      </c>
      <c r="C180" s="26" t="str">
        <f t="shared" si="2"/>
        <v>'8316T'</v>
      </c>
      <c r="D180" s="26" t="s">
        <v>6637</v>
      </c>
      <c r="E180" s="26" t="s">
        <v>6547</v>
      </c>
      <c r="F180" s="26" t="s">
        <v>6548</v>
      </c>
      <c r="G180" s="28">
        <v>6.9499999999999998E-4</v>
      </c>
    </row>
    <row r="181" spans="1:7" x14ac:dyDescent="0.35">
      <c r="A181" s="27">
        <v>44925</v>
      </c>
      <c r="B181" s="26">
        <v>8331</v>
      </c>
      <c r="C181" s="26" t="str">
        <f t="shared" si="2"/>
        <v>'8331T'</v>
      </c>
      <c r="D181" s="26" t="s">
        <v>6638</v>
      </c>
      <c r="E181" s="26" t="s">
        <v>6547</v>
      </c>
      <c r="F181" s="26" t="s">
        <v>6548</v>
      </c>
      <c r="G181" s="28">
        <v>1.2620000000000001E-3</v>
      </c>
    </row>
    <row r="182" spans="1:7" x14ac:dyDescent="0.35">
      <c r="A182" s="27">
        <v>44925</v>
      </c>
      <c r="B182" s="26">
        <v>8354</v>
      </c>
      <c r="C182" s="26" t="str">
        <f t="shared" si="2"/>
        <v>'8354T'</v>
      </c>
      <c r="D182" s="26" t="s">
        <v>6639</v>
      </c>
      <c r="E182" s="26" t="s">
        <v>6547</v>
      </c>
      <c r="F182" s="26" t="s">
        <v>6548</v>
      </c>
      <c r="G182" s="28">
        <v>7.8899999999999999E-4</v>
      </c>
    </row>
    <row r="183" spans="1:7" x14ac:dyDescent="0.35">
      <c r="A183" s="27">
        <v>44925</v>
      </c>
      <c r="B183" s="26">
        <v>8411</v>
      </c>
      <c r="C183" s="26" t="str">
        <f t="shared" si="2"/>
        <v>'8411T'</v>
      </c>
      <c r="D183" s="26" t="s">
        <v>6640</v>
      </c>
      <c r="E183" s="26" t="s">
        <v>6547</v>
      </c>
      <c r="F183" s="26" t="s">
        <v>6548</v>
      </c>
      <c r="G183" s="28">
        <v>2.4399999999999999E-4</v>
      </c>
    </row>
    <row r="184" spans="1:7" x14ac:dyDescent="0.35">
      <c r="A184" s="27">
        <v>44925</v>
      </c>
      <c r="B184" s="26">
        <v>8591</v>
      </c>
      <c r="C184" s="26" t="str">
        <f t="shared" si="2"/>
        <v>'8591T'</v>
      </c>
      <c r="D184" s="26" t="s">
        <v>6641</v>
      </c>
      <c r="E184" s="26" t="s">
        <v>6631</v>
      </c>
      <c r="F184" s="26" t="s">
        <v>6548</v>
      </c>
      <c r="G184" s="28">
        <v>2.7799999999999999E-3</v>
      </c>
    </row>
    <row r="185" spans="1:7" x14ac:dyDescent="0.35">
      <c r="A185" s="27">
        <v>44925</v>
      </c>
      <c r="B185" s="26">
        <v>8601</v>
      </c>
      <c r="C185" s="26" t="str">
        <f t="shared" si="2"/>
        <v>'8601T'</v>
      </c>
      <c r="D185" s="26" t="s">
        <v>6642</v>
      </c>
      <c r="E185" s="26" t="s">
        <v>6643</v>
      </c>
      <c r="F185" s="26" t="s">
        <v>6548</v>
      </c>
      <c r="G185" s="28">
        <v>7.6499999999999995E-4</v>
      </c>
    </row>
    <row r="186" spans="1:7" x14ac:dyDescent="0.35">
      <c r="A186" s="27">
        <v>44925</v>
      </c>
      <c r="B186" s="26">
        <v>8604</v>
      </c>
      <c r="C186" s="26" t="str">
        <f t="shared" si="2"/>
        <v>'8604T'</v>
      </c>
      <c r="D186" s="26" t="s">
        <v>6644</v>
      </c>
      <c r="E186" s="26" t="s">
        <v>6643</v>
      </c>
      <c r="F186" s="26" t="s">
        <v>6548</v>
      </c>
      <c r="G186" s="28">
        <v>6.4099999999999997E-4</v>
      </c>
    </row>
    <row r="187" spans="1:7" x14ac:dyDescent="0.35">
      <c r="A187" s="27">
        <v>44925</v>
      </c>
      <c r="B187" s="26">
        <v>8628</v>
      </c>
      <c r="C187" s="26" t="str">
        <f t="shared" si="2"/>
        <v>'8628T'</v>
      </c>
      <c r="D187" s="26" t="s">
        <v>6645</v>
      </c>
      <c r="E187" s="26" t="s">
        <v>6643</v>
      </c>
      <c r="F187" s="26" t="s">
        <v>6548</v>
      </c>
      <c r="G187" s="28">
        <v>1.0300000000000001E-3</v>
      </c>
    </row>
    <row r="188" spans="1:7" x14ac:dyDescent="0.35">
      <c r="A188" s="27">
        <v>44925</v>
      </c>
      <c r="B188" s="26">
        <v>8630</v>
      </c>
      <c r="C188" s="26" t="str">
        <f t="shared" si="2"/>
        <v>'8630T'</v>
      </c>
      <c r="D188" s="26" t="s">
        <v>6646</v>
      </c>
      <c r="E188" s="26" t="s">
        <v>6647</v>
      </c>
      <c r="F188" s="26" t="s">
        <v>6548</v>
      </c>
      <c r="G188" s="28">
        <v>1.5380000000000001E-3</v>
      </c>
    </row>
    <row r="189" spans="1:7" x14ac:dyDescent="0.35">
      <c r="A189" s="27">
        <v>44925</v>
      </c>
      <c r="B189" s="26">
        <v>8697</v>
      </c>
      <c r="C189" s="26" t="str">
        <f t="shared" si="2"/>
        <v>'8697T'</v>
      </c>
      <c r="D189" s="26" t="s">
        <v>6648</v>
      </c>
      <c r="E189" s="26" t="s">
        <v>6631</v>
      </c>
      <c r="F189" s="26" t="s">
        <v>6548</v>
      </c>
      <c r="G189" s="28">
        <v>2.49E-3</v>
      </c>
    </row>
    <row r="190" spans="1:7" x14ac:dyDescent="0.35">
      <c r="A190" s="27">
        <v>44925</v>
      </c>
      <c r="B190" s="26">
        <v>8725</v>
      </c>
      <c r="C190" s="26" t="str">
        <f t="shared" si="2"/>
        <v>'8725T'</v>
      </c>
      <c r="D190" s="26" t="s">
        <v>6649</v>
      </c>
      <c r="E190" s="26" t="s">
        <v>6647</v>
      </c>
      <c r="F190" s="26" t="s">
        <v>6548</v>
      </c>
      <c r="G190" s="28">
        <v>1.663E-3</v>
      </c>
    </row>
    <row r="191" spans="1:7" x14ac:dyDescent="0.35">
      <c r="A191" s="27">
        <v>44925</v>
      </c>
      <c r="B191" s="26">
        <v>8750</v>
      </c>
      <c r="C191" s="26" t="str">
        <f t="shared" si="2"/>
        <v>'8750T'</v>
      </c>
      <c r="D191" s="26" t="s">
        <v>6650</v>
      </c>
      <c r="E191" s="26" t="s">
        <v>6647</v>
      </c>
      <c r="F191" s="26" t="s">
        <v>6548</v>
      </c>
      <c r="G191" s="28">
        <v>3.9300000000000001E-4</v>
      </c>
    </row>
    <row r="192" spans="1:7" x14ac:dyDescent="0.35">
      <c r="A192" s="27">
        <v>44925</v>
      </c>
      <c r="B192" s="26">
        <v>8766</v>
      </c>
      <c r="C192" s="26" t="str">
        <f t="shared" si="2"/>
        <v>'8766T'</v>
      </c>
      <c r="D192" s="26" t="s">
        <v>6651</v>
      </c>
      <c r="E192" s="26" t="s">
        <v>6647</v>
      </c>
      <c r="F192" s="26" t="s">
        <v>6548</v>
      </c>
      <c r="G192" s="28">
        <v>5.5659999999999998E-3</v>
      </c>
    </row>
    <row r="193" spans="1:7" x14ac:dyDescent="0.35">
      <c r="A193" s="27">
        <v>44925</v>
      </c>
      <c r="B193" s="26">
        <v>8795</v>
      </c>
      <c r="C193" s="26" t="str">
        <f t="shared" si="2"/>
        <v>'8795T'</v>
      </c>
      <c r="D193" s="26" t="s">
        <v>6652</v>
      </c>
      <c r="E193" s="26" t="s">
        <v>6647</v>
      </c>
      <c r="F193" s="26" t="s">
        <v>6548</v>
      </c>
      <c r="G193" s="28">
        <v>4.9899999999999999E-4</v>
      </c>
    </row>
    <row r="194" spans="1:7" x14ac:dyDescent="0.35">
      <c r="A194" s="27">
        <v>44925</v>
      </c>
      <c r="B194" s="26">
        <v>8801</v>
      </c>
      <c r="C194" s="26" t="str">
        <f t="shared" si="2"/>
        <v>'8801T'</v>
      </c>
      <c r="D194" s="26" t="s">
        <v>6653</v>
      </c>
      <c r="E194" s="26" t="s">
        <v>6469</v>
      </c>
      <c r="F194" s="26" t="s">
        <v>6437</v>
      </c>
      <c r="G194" s="28">
        <v>3.1719999999999999E-3</v>
      </c>
    </row>
    <row r="195" spans="1:7" x14ac:dyDescent="0.35">
      <c r="A195" s="27">
        <v>44925</v>
      </c>
      <c r="B195" s="26">
        <v>8802</v>
      </c>
      <c r="C195" s="26" t="str">
        <f t="shared" ref="C195:C226" si="3">"'"&amp;B195&amp;"T'"</f>
        <v>'8802T'</v>
      </c>
      <c r="D195" s="26" t="s">
        <v>6654</v>
      </c>
      <c r="E195" s="26" t="s">
        <v>6469</v>
      </c>
      <c r="F195" s="26" t="s">
        <v>6437</v>
      </c>
      <c r="G195" s="28">
        <v>2.245E-3</v>
      </c>
    </row>
    <row r="196" spans="1:7" x14ac:dyDescent="0.35">
      <c r="A196" s="27">
        <v>44925</v>
      </c>
      <c r="B196" s="26">
        <v>8804</v>
      </c>
      <c r="C196" s="26" t="str">
        <f t="shared" si="3"/>
        <v>'8804T'</v>
      </c>
      <c r="D196" s="26" t="s">
        <v>6655</v>
      </c>
      <c r="E196" s="26" t="s">
        <v>6469</v>
      </c>
      <c r="F196" s="26" t="s">
        <v>6437</v>
      </c>
      <c r="G196" s="28">
        <v>1.049E-3</v>
      </c>
    </row>
    <row r="197" spans="1:7" x14ac:dyDescent="0.35">
      <c r="A197" s="27">
        <v>44925</v>
      </c>
      <c r="B197" s="26">
        <v>8830</v>
      </c>
      <c r="C197" s="26" t="str">
        <f t="shared" si="3"/>
        <v>'8830T'</v>
      </c>
      <c r="D197" s="26" t="s">
        <v>6656</v>
      </c>
      <c r="E197" s="26" t="s">
        <v>6469</v>
      </c>
      <c r="F197" s="26" t="s">
        <v>6437</v>
      </c>
      <c r="G197" s="28">
        <v>4.0959999999999998E-3</v>
      </c>
    </row>
    <row r="198" spans="1:7" x14ac:dyDescent="0.35">
      <c r="A198" s="27">
        <v>44925</v>
      </c>
      <c r="B198" s="26">
        <v>9001</v>
      </c>
      <c r="C198" s="26" t="str">
        <f t="shared" si="3"/>
        <v>'9001T'</v>
      </c>
      <c r="D198" s="26" t="s">
        <v>6657</v>
      </c>
      <c r="E198" s="26" t="s">
        <v>6658</v>
      </c>
      <c r="F198" s="26" t="s">
        <v>6659</v>
      </c>
      <c r="G198" s="28">
        <v>8.0800000000000002E-4</v>
      </c>
    </row>
    <row r="199" spans="1:7" x14ac:dyDescent="0.35">
      <c r="A199" s="27">
        <v>44925</v>
      </c>
      <c r="B199" s="26">
        <v>9005</v>
      </c>
      <c r="C199" s="26" t="str">
        <f t="shared" si="3"/>
        <v>'9005T'</v>
      </c>
      <c r="D199" s="26" t="s">
        <v>6660</v>
      </c>
      <c r="E199" s="26" t="s">
        <v>6658</v>
      </c>
      <c r="F199" s="26" t="s">
        <v>6659</v>
      </c>
      <c r="G199" s="28">
        <v>1.091E-3</v>
      </c>
    </row>
    <row r="200" spans="1:7" x14ac:dyDescent="0.35">
      <c r="A200" s="27">
        <v>44925</v>
      </c>
      <c r="B200" s="26">
        <v>9007</v>
      </c>
      <c r="C200" s="26" t="str">
        <f t="shared" si="3"/>
        <v>'9007T'</v>
      </c>
      <c r="D200" s="26" t="s">
        <v>6661</v>
      </c>
      <c r="E200" s="26" t="s">
        <v>6658</v>
      </c>
      <c r="F200" s="26" t="s">
        <v>6659</v>
      </c>
      <c r="G200" s="28">
        <v>1.1230000000000001E-3</v>
      </c>
    </row>
    <row r="201" spans="1:7" x14ac:dyDescent="0.35">
      <c r="A201" s="27">
        <v>44925</v>
      </c>
      <c r="B201" s="26">
        <v>9008</v>
      </c>
      <c r="C201" s="26" t="str">
        <f t="shared" si="3"/>
        <v>'9008T'</v>
      </c>
      <c r="D201" s="26" t="s">
        <v>6662</v>
      </c>
      <c r="E201" s="26" t="s">
        <v>6658</v>
      </c>
      <c r="F201" s="26" t="s">
        <v>6659</v>
      </c>
      <c r="G201" s="28">
        <v>1.2700000000000001E-3</v>
      </c>
    </row>
    <row r="202" spans="1:7" x14ac:dyDescent="0.35">
      <c r="A202" s="27">
        <v>44925</v>
      </c>
      <c r="B202" s="26">
        <v>9009</v>
      </c>
      <c r="C202" s="26" t="str">
        <f t="shared" si="3"/>
        <v>'9009T'</v>
      </c>
      <c r="D202" s="26" t="s">
        <v>6663</v>
      </c>
      <c r="E202" s="26" t="s">
        <v>6658</v>
      </c>
      <c r="F202" s="26" t="s">
        <v>6659</v>
      </c>
      <c r="G202" s="28">
        <v>2.464E-3</v>
      </c>
    </row>
    <row r="203" spans="1:7" x14ac:dyDescent="0.35">
      <c r="A203" s="27">
        <v>44925</v>
      </c>
      <c r="B203" s="26">
        <v>9020</v>
      </c>
      <c r="C203" s="26" t="str">
        <f t="shared" si="3"/>
        <v>'9020T'</v>
      </c>
      <c r="D203" s="26" t="s">
        <v>6664</v>
      </c>
      <c r="E203" s="26" t="s">
        <v>6658</v>
      </c>
      <c r="F203" s="26" t="s">
        <v>6659</v>
      </c>
      <c r="G203" s="28">
        <v>9.8700000000000003E-4</v>
      </c>
    </row>
    <row r="204" spans="1:7" x14ac:dyDescent="0.35">
      <c r="A204" s="27">
        <v>44925</v>
      </c>
      <c r="B204" s="26">
        <v>9021</v>
      </c>
      <c r="C204" s="26" t="str">
        <f t="shared" si="3"/>
        <v>'9021T'</v>
      </c>
      <c r="D204" s="26" t="s">
        <v>6665</v>
      </c>
      <c r="E204" s="26" t="s">
        <v>6658</v>
      </c>
      <c r="F204" s="26" t="s">
        <v>6659</v>
      </c>
      <c r="G204" s="28">
        <v>7.5199999999999996E-4</v>
      </c>
    </row>
    <row r="205" spans="1:7" x14ac:dyDescent="0.35">
      <c r="A205" s="27">
        <v>44925</v>
      </c>
      <c r="B205" s="26">
        <v>9022</v>
      </c>
      <c r="C205" s="26" t="str">
        <f t="shared" si="3"/>
        <v>'9022T'</v>
      </c>
      <c r="D205" s="26" t="s">
        <v>6666</v>
      </c>
      <c r="E205" s="26" t="s">
        <v>6658</v>
      </c>
      <c r="F205" s="26" t="s">
        <v>6659</v>
      </c>
      <c r="G205" s="28">
        <v>2.127E-3</v>
      </c>
    </row>
    <row r="206" spans="1:7" x14ac:dyDescent="0.35">
      <c r="A206" s="27">
        <v>44925</v>
      </c>
      <c r="B206" s="26">
        <v>9064</v>
      </c>
      <c r="C206" s="26" t="str">
        <f t="shared" si="3"/>
        <v>'9064T'</v>
      </c>
      <c r="D206" s="26" t="s">
        <v>6667</v>
      </c>
      <c r="E206" s="26" t="s">
        <v>6668</v>
      </c>
      <c r="F206" s="26" t="s">
        <v>6659</v>
      </c>
      <c r="G206" s="28">
        <v>2.7390000000000001E-3</v>
      </c>
    </row>
    <row r="207" spans="1:7" x14ac:dyDescent="0.35">
      <c r="A207" s="27">
        <v>44925</v>
      </c>
      <c r="B207" s="26">
        <v>9101</v>
      </c>
      <c r="C207" s="26" t="str">
        <f t="shared" si="3"/>
        <v>'9101T'</v>
      </c>
      <c r="D207" s="26" t="s">
        <v>6669</v>
      </c>
      <c r="E207" s="26" t="s">
        <v>6670</v>
      </c>
      <c r="F207" s="26" t="s">
        <v>6659</v>
      </c>
      <c r="G207" s="28">
        <v>1.224E-3</v>
      </c>
    </row>
    <row r="208" spans="1:7" x14ac:dyDescent="0.35">
      <c r="A208" s="27">
        <v>44925</v>
      </c>
      <c r="B208" s="26">
        <v>9104</v>
      </c>
      <c r="C208" s="26" t="str">
        <f t="shared" si="3"/>
        <v>'9104T'</v>
      </c>
      <c r="D208" s="26" t="s">
        <v>6671</v>
      </c>
      <c r="E208" s="26" t="s">
        <v>6670</v>
      </c>
      <c r="F208" s="26" t="s">
        <v>6659</v>
      </c>
      <c r="G208" s="28">
        <v>1.2949999999999999E-3</v>
      </c>
    </row>
    <row r="209" spans="1:7" x14ac:dyDescent="0.35">
      <c r="A209" s="27">
        <v>44925</v>
      </c>
      <c r="B209" s="26">
        <v>9107</v>
      </c>
      <c r="C209" s="26" t="str">
        <f t="shared" si="3"/>
        <v>'9107T'</v>
      </c>
      <c r="D209" s="26" t="s">
        <v>6672</v>
      </c>
      <c r="E209" s="26" t="s">
        <v>6670</v>
      </c>
      <c r="F209" s="26" t="s">
        <v>6659</v>
      </c>
      <c r="G209" s="28">
        <v>1.0970000000000001E-3</v>
      </c>
    </row>
    <row r="210" spans="1:7" x14ac:dyDescent="0.35">
      <c r="A210" s="27">
        <v>44925</v>
      </c>
      <c r="B210" s="26">
        <v>9147</v>
      </c>
      <c r="C210" s="26" t="str">
        <f t="shared" si="3"/>
        <v>'9147T'</v>
      </c>
      <c r="D210" s="26" t="s">
        <v>6673</v>
      </c>
      <c r="E210" s="26" t="s">
        <v>6668</v>
      </c>
      <c r="F210" s="26" t="s">
        <v>6659</v>
      </c>
      <c r="G210" s="28">
        <v>9.8900000000000008E-4</v>
      </c>
    </row>
    <row r="211" spans="1:7" x14ac:dyDescent="0.35">
      <c r="A211" s="27">
        <v>44925</v>
      </c>
      <c r="B211" s="26">
        <v>9202</v>
      </c>
      <c r="C211" s="26" t="str">
        <f t="shared" si="3"/>
        <v>'9202T'</v>
      </c>
      <c r="D211" s="26" t="s">
        <v>6674</v>
      </c>
      <c r="E211" s="26" t="s">
        <v>6675</v>
      </c>
      <c r="F211" s="26" t="s">
        <v>6659</v>
      </c>
      <c r="G211" s="28">
        <v>3.6699999999999998E-4</v>
      </c>
    </row>
    <row r="212" spans="1:7" x14ac:dyDescent="0.35">
      <c r="A212" s="27">
        <v>44925</v>
      </c>
      <c r="B212" s="26">
        <v>9301</v>
      </c>
      <c r="C212" s="26" t="str">
        <f t="shared" si="3"/>
        <v>'9301T'</v>
      </c>
      <c r="D212" s="26" t="s">
        <v>6676</v>
      </c>
      <c r="E212" s="26" t="s">
        <v>6677</v>
      </c>
      <c r="F212" s="26" t="s">
        <v>6659</v>
      </c>
      <c r="G212" s="28">
        <v>1.9880000000000002E-3</v>
      </c>
    </row>
    <row r="213" spans="1:7" x14ac:dyDescent="0.35">
      <c r="A213" s="27">
        <v>44925</v>
      </c>
      <c r="B213" s="26">
        <v>9432</v>
      </c>
      <c r="C213" s="26" t="str">
        <f t="shared" si="3"/>
        <v>'9432T'</v>
      </c>
      <c r="D213" s="26" t="s">
        <v>6678</v>
      </c>
      <c r="E213" s="26" t="s">
        <v>6679</v>
      </c>
      <c r="F213" s="26" t="s">
        <v>6491</v>
      </c>
      <c r="G213" s="28">
        <v>1.9750000000000002E-3</v>
      </c>
    </row>
    <row r="214" spans="1:7" x14ac:dyDescent="0.35">
      <c r="A214" s="27">
        <v>44925</v>
      </c>
      <c r="B214" s="26">
        <v>9433</v>
      </c>
      <c r="C214" s="26" t="str">
        <f t="shared" si="3"/>
        <v>'9433T'</v>
      </c>
      <c r="D214" s="26" t="s">
        <v>6680</v>
      </c>
      <c r="E214" s="26" t="s">
        <v>6679</v>
      </c>
      <c r="F214" s="26" t="s">
        <v>6491</v>
      </c>
      <c r="G214" s="28">
        <v>3.1352999999999999E-2</v>
      </c>
    </row>
    <row r="215" spans="1:7" x14ac:dyDescent="0.35">
      <c r="A215" s="27">
        <v>44925</v>
      </c>
      <c r="B215" s="26">
        <v>9434</v>
      </c>
      <c r="C215" s="26" t="str">
        <f t="shared" si="3"/>
        <v>'9434T'</v>
      </c>
      <c r="D215" s="26" t="s">
        <v>6681</v>
      </c>
      <c r="E215" s="26" t="s">
        <v>6679</v>
      </c>
      <c r="F215" s="26" t="s">
        <v>6491</v>
      </c>
      <c r="G215" s="28">
        <v>1.9530000000000001E-3</v>
      </c>
    </row>
    <row r="216" spans="1:7" x14ac:dyDescent="0.35">
      <c r="A216" s="27">
        <v>44925</v>
      </c>
      <c r="B216" s="26">
        <v>9501</v>
      </c>
      <c r="C216" s="26" t="str">
        <f t="shared" si="3"/>
        <v>'9501T'</v>
      </c>
      <c r="D216" s="26" t="s">
        <v>6682</v>
      </c>
      <c r="E216" s="26" t="s">
        <v>6683</v>
      </c>
      <c r="F216" s="26" t="s">
        <v>6659</v>
      </c>
      <c r="G216" s="28">
        <v>6.2000000000000003E-5</v>
      </c>
    </row>
    <row r="217" spans="1:7" x14ac:dyDescent="0.35">
      <c r="A217" s="27">
        <v>44925</v>
      </c>
      <c r="B217" s="26">
        <v>9502</v>
      </c>
      <c r="C217" s="26" t="str">
        <f t="shared" si="3"/>
        <v>'9502T'</v>
      </c>
      <c r="D217" s="26" t="s">
        <v>6684</v>
      </c>
      <c r="E217" s="26" t="s">
        <v>6683</v>
      </c>
      <c r="F217" s="26" t="s">
        <v>6659</v>
      </c>
      <c r="G217" s="28">
        <v>1.7899999999999999E-4</v>
      </c>
    </row>
    <row r="218" spans="1:7" x14ac:dyDescent="0.35">
      <c r="A218" s="27">
        <v>44925</v>
      </c>
      <c r="B218" s="26">
        <v>9503</v>
      </c>
      <c r="C218" s="26" t="str">
        <f t="shared" si="3"/>
        <v>'9503T'</v>
      </c>
      <c r="D218" s="26" t="s">
        <v>6685</v>
      </c>
      <c r="E218" s="26" t="s">
        <v>6683</v>
      </c>
      <c r="F218" s="26" t="s">
        <v>6659</v>
      </c>
      <c r="G218" s="28">
        <v>1.6799999999999999E-4</v>
      </c>
    </row>
    <row r="219" spans="1:7" x14ac:dyDescent="0.35">
      <c r="A219" s="27">
        <v>44925</v>
      </c>
      <c r="B219" s="26">
        <v>9531</v>
      </c>
      <c r="C219" s="26" t="str">
        <f t="shared" si="3"/>
        <v>'9531T'</v>
      </c>
      <c r="D219" s="26" t="s">
        <v>6686</v>
      </c>
      <c r="E219" s="26" t="s">
        <v>6687</v>
      </c>
      <c r="F219" s="26" t="s">
        <v>6659</v>
      </c>
      <c r="G219" s="28">
        <v>6.78E-4</v>
      </c>
    </row>
    <row r="220" spans="1:7" x14ac:dyDescent="0.35">
      <c r="A220" s="27">
        <v>44925</v>
      </c>
      <c r="B220" s="26">
        <v>9532</v>
      </c>
      <c r="C220" s="26" t="str">
        <f t="shared" si="3"/>
        <v>'9532T'</v>
      </c>
      <c r="D220" s="26" t="s">
        <v>6688</v>
      </c>
      <c r="E220" s="26" t="s">
        <v>6687</v>
      </c>
      <c r="F220" s="26" t="s">
        <v>6659</v>
      </c>
      <c r="G220" s="28">
        <v>5.5900000000000004E-4</v>
      </c>
    </row>
    <row r="221" spans="1:7" x14ac:dyDescent="0.35">
      <c r="A221" s="27">
        <v>44925</v>
      </c>
      <c r="B221" s="26">
        <v>9602</v>
      </c>
      <c r="C221" s="26" t="str">
        <f t="shared" si="3"/>
        <v>'9602T'</v>
      </c>
      <c r="D221" s="26" t="s">
        <v>6689</v>
      </c>
      <c r="E221" s="26" t="s">
        <v>6451</v>
      </c>
      <c r="F221" s="26" t="s">
        <v>6431</v>
      </c>
      <c r="G221" s="28">
        <v>6.6699999999999995E-4</v>
      </c>
    </row>
    <row r="222" spans="1:7" x14ac:dyDescent="0.35">
      <c r="A222" s="27">
        <v>44925</v>
      </c>
      <c r="B222" s="26">
        <v>9613</v>
      </c>
      <c r="C222" s="26" t="str">
        <f t="shared" si="3"/>
        <v>'9613T'</v>
      </c>
      <c r="D222" s="26" t="s">
        <v>6690</v>
      </c>
      <c r="E222" s="26" t="s">
        <v>6679</v>
      </c>
      <c r="F222" s="26" t="s">
        <v>6491</v>
      </c>
      <c r="G222" s="28">
        <v>1.2677000000000001E-2</v>
      </c>
    </row>
    <row r="223" spans="1:7" x14ac:dyDescent="0.35">
      <c r="A223" s="27">
        <v>44925</v>
      </c>
      <c r="B223" s="26">
        <v>9735</v>
      </c>
      <c r="C223" s="26" t="str">
        <f t="shared" si="3"/>
        <v>'9735T'</v>
      </c>
      <c r="D223" s="26" t="s">
        <v>6691</v>
      </c>
      <c r="E223" s="26" t="s">
        <v>6451</v>
      </c>
      <c r="F223" s="26" t="s">
        <v>6431</v>
      </c>
      <c r="G223" s="28">
        <v>9.8980000000000005E-3</v>
      </c>
    </row>
    <row r="224" spans="1:7" x14ac:dyDescent="0.35">
      <c r="A224" s="27">
        <v>44925</v>
      </c>
      <c r="B224" s="26">
        <v>9766</v>
      </c>
      <c r="C224" s="26" t="str">
        <f t="shared" si="3"/>
        <v>'9766T'</v>
      </c>
      <c r="D224" s="26" t="s">
        <v>6692</v>
      </c>
      <c r="E224" s="26" t="s">
        <v>6451</v>
      </c>
      <c r="F224" s="26" t="s">
        <v>6431</v>
      </c>
      <c r="G224" s="28">
        <v>7.8340000000000007E-3</v>
      </c>
    </row>
    <row r="225" spans="1:7" x14ac:dyDescent="0.35">
      <c r="A225" s="27">
        <v>44925</v>
      </c>
      <c r="B225" s="26">
        <v>9983</v>
      </c>
      <c r="C225" s="26" t="str">
        <f t="shared" si="3"/>
        <v>'9983T'</v>
      </c>
      <c r="D225" s="26" t="s">
        <v>6693</v>
      </c>
      <c r="E225" s="26" t="s">
        <v>6464</v>
      </c>
      <c r="F225" s="26" t="s">
        <v>6431</v>
      </c>
      <c r="G225" s="28">
        <v>0.10567699999999999</v>
      </c>
    </row>
    <row r="226" spans="1:7" x14ac:dyDescent="0.35">
      <c r="A226" s="27">
        <v>44925</v>
      </c>
      <c r="B226" s="26">
        <v>9984</v>
      </c>
      <c r="C226" s="26" t="str">
        <f t="shared" si="3"/>
        <v>'9984T'</v>
      </c>
      <c r="D226" s="26" t="s">
        <v>6694</v>
      </c>
      <c r="E226" s="26" t="s">
        <v>6679</v>
      </c>
      <c r="F226" s="26" t="s">
        <v>6491</v>
      </c>
      <c r="G226" s="28">
        <v>4.4438999999999999E-2</v>
      </c>
    </row>
    <row r="227" spans="1:7" x14ac:dyDescent="0.35">
      <c r="A227" s="26" t="s">
        <v>6695</v>
      </c>
    </row>
    <row r="229" spans="1:7" x14ac:dyDescent="0.35">
      <c r="C229" s="26" t="str">
        <f>ConcatDelim(C2:C226,",")</f>
        <v>'1332T','1605T','1721T','1801T','1802T','1803T','1808T','1812T','1925T','1928T','1963T','2002T','2269T','2282T','2413T','2432T','2501T','2502T','2503T','2531T','2768T','2801T','2802T','2871T','2914T','3086T','3099T','3101T','3289T','3382T','3401T','3402T','3405T','3407T','3436T','3659T','3861T','3863T','4004T','4005T','4021T','4042T','4043T','4061T','4063T','4151T','4183T','4188T','4208T','4324T','4452T','4502T','4503T','4506T','4507T','4519T','4523T','4543T','4568T','4578T','4631T','4689T','4704T','4751T','4755T','4901T','4902T','4911T','5019T','5020T','5101T','5108T','5201T','5202T','5214T','5232T','5233T','5301T','5332T','5333T','5401T','5406T','5411T','5541T','5631T','5703T','5706T','5707T','5711T','5713T','5714T','5801T','5802T','5803T','5831T','6098T','6103T','6113T','6178T','6273T','6301T','6302T','6305T','6326T','6361T','6367T','6471T','6472T','6473T','6479T','6501T','6503T','6504T','6506T','6594T','6645T','6674T','6701T','6702T','6724T','6752T','6753T','6758T','6762T','6770T','6841T','6857T','6861T','6902T','6952T','6954T','6971T','6976T','6981T','6988T','7003T','7004T','7011T','7012T','7013T','7186T','7201T','7202T','7203T','7205T','7211T','7261T','7267T','7269T','7270T','7272T','7731T','7733T','7735T','7741T','7751T','7752T','7762T','7832T','7911T','7912T','7951T','7974T','8001T','8002T','8015T','8031T','8035T','8053T','8058T','8233T','8252T','8253T','8267T','8304T','8306T','8308T','8309T','8316T','8331T','8354T','8411T','8591T','8601T','8604T','8628T','8630T','8697T','8725T','8750T','8766T','8795T','8801T','8802T','8804T','8830T','9001T','9005T','9007T','9008T','9009T','9020T','9021T','9022T','9064T','9101T','9104T','9107T','9147T','9202T','9301T','9432T','9433T','9434T','9501T','9502T','9503T','9531T','9532T','9602T','9613T','9735T','9766T','9983T','9984T'</v>
      </c>
    </row>
    <row r="231" spans="1:7" x14ac:dyDescent="0.35">
      <c r="C231" s="29" t="s">
        <v>6696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  <pageSetUpPr autoPageBreaks="0"/>
  </sheetPr>
  <dimension ref="A6:IU15"/>
  <sheetViews>
    <sheetView zoomScaleNormal="100" workbookViewId="0"/>
  </sheetViews>
  <sheetFormatPr defaultRowHeight="10" x14ac:dyDescent="0.2"/>
  <cols>
    <col min="1" max="1" width="26.81640625" customWidth="1"/>
    <col min="2" max="6" width="20.81640625" customWidth="1"/>
  </cols>
  <sheetData>
    <row r="6" spans="1:255" ht="16.5" customHeight="1" x14ac:dyDescent="0.35">
      <c r="A6" s="1" t="s">
        <v>824</v>
      </c>
    </row>
    <row r="8" spans="1:255" x14ac:dyDescent="0.2">
      <c r="A8" s="13" t="s">
        <v>825</v>
      </c>
      <c r="B8" s="14"/>
      <c r="C8" s="14"/>
      <c r="D8" s="14"/>
      <c r="E8" s="14"/>
      <c r="F8" s="14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21"/>
      <c r="AT8" s="21"/>
      <c r="AU8" s="21"/>
      <c r="AV8" s="21"/>
      <c r="AW8" s="21"/>
      <c r="AX8" s="21"/>
      <c r="AY8" s="21"/>
      <c r="AZ8" s="21"/>
      <c r="BA8" s="21"/>
      <c r="BB8" s="21"/>
      <c r="BC8" s="21"/>
      <c r="BD8" s="21"/>
      <c r="BE8" s="21"/>
      <c r="BF8" s="21"/>
      <c r="BG8" s="21"/>
      <c r="BH8" s="21"/>
      <c r="BI8" s="21"/>
      <c r="BJ8" s="21"/>
      <c r="BK8" s="21"/>
      <c r="BL8" s="21"/>
      <c r="BM8" s="21"/>
      <c r="BN8" s="21"/>
      <c r="BO8" s="21"/>
      <c r="BP8" s="21"/>
      <c r="BQ8" s="21"/>
      <c r="BR8" s="21"/>
      <c r="BS8" s="21"/>
      <c r="BT8" s="21"/>
      <c r="BU8" s="21"/>
      <c r="BV8" s="21"/>
      <c r="BW8" s="21"/>
      <c r="BX8" s="21"/>
      <c r="BY8" s="21"/>
      <c r="BZ8" s="21"/>
      <c r="CA8" s="21"/>
      <c r="CB8" s="21"/>
      <c r="CC8" s="21"/>
      <c r="CD8" s="21"/>
      <c r="CE8" s="21"/>
      <c r="CF8" s="21"/>
      <c r="CG8" s="21"/>
      <c r="CH8" s="21"/>
      <c r="CI8" s="21"/>
      <c r="CJ8" s="21"/>
      <c r="CK8" s="21"/>
      <c r="CL8" s="21"/>
      <c r="CM8" s="21"/>
      <c r="CN8" s="21"/>
      <c r="CO8" s="21"/>
      <c r="CP8" s="21"/>
      <c r="CQ8" s="21"/>
      <c r="CR8" s="21"/>
      <c r="CS8" s="21"/>
      <c r="CT8" s="21"/>
      <c r="CU8" s="21"/>
      <c r="CV8" s="21"/>
      <c r="CW8" s="21"/>
      <c r="CX8" s="21"/>
      <c r="CY8" s="21"/>
      <c r="CZ8" s="21"/>
      <c r="DA8" s="21"/>
      <c r="DB8" s="21"/>
      <c r="DC8" s="21"/>
      <c r="DD8" s="21"/>
      <c r="DE8" s="21"/>
      <c r="DF8" s="21"/>
      <c r="DG8" s="21"/>
      <c r="DH8" s="21"/>
      <c r="DI8" s="21"/>
      <c r="DJ8" s="21"/>
      <c r="DK8" s="21"/>
      <c r="DL8" s="21"/>
      <c r="DM8" s="21"/>
      <c r="DN8" s="21"/>
      <c r="DO8" s="21"/>
      <c r="DP8" s="21"/>
      <c r="DQ8" s="21"/>
      <c r="DR8" s="21"/>
      <c r="DS8" s="21"/>
      <c r="DT8" s="21"/>
      <c r="DU8" s="21"/>
      <c r="DV8" s="21"/>
      <c r="DW8" s="21"/>
      <c r="DX8" s="21"/>
      <c r="DY8" s="21"/>
      <c r="DZ8" s="21"/>
      <c r="EA8" s="21"/>
      <c r="EB8" s="21"/>
      <c r="EC8" s="21"/>
      <c r="ED8" s="21"/>
      <c r="EE8" s="21"/>
      <c r="EF8" s="21"/>
      <c r="EG8" s="21"/>
      <c r="EH8" s="21"/>
      <c r="EI8" s="21"/>
      <c r="EJ8" s="21"/>
      <c r="EK8" s="21"/>
      <c r="EL8" s="21"/>
      <c r="EM8" s="21"/>
      <c r="EN8" s="21"/>
      <c r="EO8" s="21"/>
      <c r="EP8" s="21"/>
      <c r="EQ8" s="21"/>
      <c r="ER8" s="21"/>
      <c r="ES8" s="21"/>
      <c r="ET8" s="21"/>
      <c r="EU8" s="21"/>
      <c r="EV8" s="21"/>
      <c r="EW8" s="21"/>
      <c r="EX8" s="21"/>
      <c r="EY8" s="21"/>
      <c r="EZ8" s="21"/>
      <c r="FA8" s="21"/>
      <c r="FB8" s="21"/>
      <c r="FC8" s="21"/>
      <c r="FD8" s="21"/>
      <c r="FE8" s="21"/>
      <c r="FF8" s="21"/>
      <c r="FG8" s="21"/>
      <c r="FH8" s="21"/>
      <c r="FI8" s="21"/>
      <c r="FJ8" s="21"/>
      <c r="FK8" s="21"/>
      <c r="FL8" s="21"/>
      <c r="FM8" s="21"/>
      <c r="FN8" s="21"/>
      <c r="FO8" s="21"/>
      <c r="FP8" s="21"/>
      <c r="FQ8" s="21"/>
      <c r="FR8" s="21"/>
      <c r="FS8" s="21"/>
      <c r="FT8" s="21"/>
      <c r="FU8" s="21"/>
      <c r="FV8" s="21"/>
      <c r="FW8" s="21"/>
      <c r="FX8" s="21"/>
      <c r="FY8" s="21"/>
      <c r="FZ8" s="21"/>
      <c r="GA8" s="21"/>
      <c r="GB8" s="21"/>
      <c r="GC8" s="21"/>
      <c r="GD8" s="21"/>
      <c r="GE8" s="21"/>
      <c r="GF8" s="21"/>
      <c r="GG8" s="21"/>
      <c r="GH8" s="21"/>
      <c r="GI8" s="21"/>
      <c r="GJ8" s="21"/>
      <c r="GK8" s="21"/>
      <c r="GL8" s="21"/>
      <c r="GM8" s="21"/>
      <c r="GN8" s="21"/>
      <c r="GO8" s="21"/>
      <c r="GP8" s="21"/>
      <c r="GQ8" s="21"/>
      <c r="GR8" s="21"/>
      <c r="GS8" s="21"/>
      <c r="GT8" s="21"/>
      <c r="GU8" s="21"/>
      <c r="GV8" s="21"/>
      <c r="GW8" s="21"/>
      <c r="GX8" s="21"/>
      <c r="GY8" s="21"/>
      <c r="GZ8" s="21"/>
      <c r="HA8" s="21"/>
      <c r="HB8" s="21"/>
      <c r="HC8" s="21"/>
      <c r="HD8" s="21"/>
      <c r="HE8" s="21"/>
      <c r="HF8" s="21"/>
      <c r="HG8" s="21"/>
      <c r="HH8" s="21"/>
      <c r="HI8" s="21"/>
      <c r="HJ8" s="21"/>
      <c r="HK8" s="21"/>
      <c r="HL8" s="21"/>
      <c r="HM8" s="21"/>
      <c r="HN8" s="21"/>
      <c r="HO8" s="21"/>
      <c r="HP8" s="21"/>
      <c r="HQ8" s="21"/>
      <c r="HR8" s="21"/>
      <c r="HS8" s="21"/>
      <c r="HT8" s="21"/>
      <c r="HU8" s="21"/>
      <c r="HV8" s="21"/>
      <c r="HW8" s="21"/>
      <c r="HX8" s="21"/>
      <c r="HY8" s="21"/>
      <c r="HZ8" s="21"/>
      <c r="IA8" s="21"/>
      <c r="IB8" s="21"/>
      <c r="IC8" s="21"/>
      <c r="ID8" s="21"/>
      <c r="IE8" s="21"/>
      <c r="IF8" s="21"/>
      <c r="IG8" s="21"/>
      <c r="IH8" s="21"/>
      <c r="II8" s="21"/>
      <c r="IJ8" s="21"/>
      <c r="IK8" s="21"/>
      <c r="IL8" s="21"/>
      <c r="IM8" s="21"/>
      <c r="IN8" s="21"/>
      <c r="IO8" s="21"/>
      <c r="IP8" s="21"/>
      <c r="IQ8" s="21"/>
      <c r="IR8" s="21"/>
      <c r="IS8" s="21"/>
      <c r="IT8" s="21"/>
      <c r="IU8" s="21"/>
    </row>
    <row r="9" spans="1:255" ht="40.5" x14ac:dyDescent="0.55000000000000004">
      <c r="A9" s="15" t="s">
        <v>826</v>
      </c>
      <c r="B9" s="15" t="s">
        <v>5</v>
      </c>
      <c r="C9" s="15" t="s">
        <v>6</v>
      </c>
      <c r="D9" s="15" t="s">
        <v>7</v>
      </c>
      <c r="E9" s="15" t="s">
        <v>8</v>
      </c>
      <c r="F9" s="15" t="s">
        <v>9</v>
      </c>
    </row>
    <row r="10" spans="1:255" ht="10.5" x14ac:dyDescent="0.25">
      <c r="A10" s="16" t="s">
        <v>827</v>
      </c>
      <c r="B10" s="17">
        <v>977</v>
      </c>
      <c r="C10" s="17">
        <v>-354507</v>
      </c>
      <c r="D10" s="17">
        <v>604033.19999999995</v>
      </c>
      <c r="E10" s="17">
        <v>4624.2</v>
      </c>
      <c r="F10" s="17">
        <v>152.4</v>
      </c>
    </row>
    <row r="11" spans="1:255" ht="10.5" x14ac:dyDescent="0.25">
      <c r="A11" s="16" t="s">
        <v>828</v>
      </c>
      <c r="B11" s="17">
        <v>4.7699999999999996</v>
      </c>
      <c r="C11" s="17">
        <v>-1729.3</v>
      </c>
      <c r="D11" s="17">
        <v>2946.5</v>
      </c>
      <c r="E11" s="17">
        <v>22.6</v>
      </c>
      <c r="F11" s="17">
        <v>0.74399999999999999</v>
      </c>
    </row>
    <row r="12" spans="1:255" ht="10.5" x14ac:dyDescent="0.25">
      <c r="A12" s="16" t="s">
        <v>829</v>
      </c>
      <c r="B12" s="17">
        <v>1.01</v>
      </c>
      <c r="C12" s="17">
        <v>-12788.9</v>
      </c>
      <c r="D12" s="17">
        <v>500</v>
      </c>
      <c r="E12" s="17">
        <v>0.35</v>
      </c>
      <c r="F12" s="17">
        <v>6.7000000000000004E-2</v>
      </c>
    </row>
    <row r="13" spans="1:255" ht="10.5" x14ac:dyDescent="0.25">
      <c r="A13" s="16" t="s">
        <v>830</v>
      </c>
      <c r="B13" s="17">
        <v>103.6</v>
      </c>
      <c r="C13" s="17">
        <v>-5.21</v>
      </c>
      <c r="D13" s="17">
        <v>19178.8</v>
      </c>
      <c r="E13" s="17">
        <v>39.799999999999997</v>
      </c>
      <c r="F13" s="17">
        <v>1.99</v>
      </c>
    </row>
    <row r="14" spans="1:255" ht="10.5" x14ac:dyDescent="0.25">
      <c r="A14" s="16" t="s">
        <v>831</v>
      </c>
      <c r="B14" s="17">
        <v>8.89</v>
      </c>
      <c r="C14" s="17">
        <v>2078.1</v>
      </c>
      <c r="D14" s="17">
        <v>3347.2</v>
      </c>
      <c r="E14" s="17">
        <v>10.7</v>
      </c>
      <c r="F14" s="17">
        <v>0.45100000000000001</v>
      </c>
    </row>
    <row r="15" spans="1:255" ht="10.5" x14ac:dyDescent="0.25">
      <c r="A15" s="16" t="s">
        <v>832</v>
      </c>
      <c r="B15" s="17">
        <v>4.4800000000000004</v>
      </c>
      <c r="C15" s="17">
        <v>-3171.3</v>
      </c>
      <c r="D15" s="18" t="s">
        <v>833</v>
      </c>
      <c r="E15" s="17">
        <v>23.3</v>
      </c>
      <c r="F15" s="17">
        <v>0.91600000000000004</v>
      </c>
    </row>
  </sheetData>
  <pageMargins left="0.2" right="0.2" top="0.5" bottom="0.5" header="0.5" footer="0.5"/>
  <pageSetup fitToWidth="0" fitToHeight="0" orientation="landscape" horizontalDpi="300" verticalDpi="300"/>
  <headerFooter alignWithMargins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  <pageSetUpPr autoPageBreaks="0"/>
  </sheetPr>
  <dimension ref="A6:A16"/>
  <sheetViews>
    <sheetView zoomScaleNormal="100" workbookViewId="0"/>
  </sheetViews>
  <sheetFormatPr defaultRowHeight="10" x14ac:dyDescent="0.2"/>
  <cols>
    <col min="1" max="1" width="35.81640625" customWidth="1"/>
    <col min="2" max="2" width="9.26953125" customWidth="1"/>
  </cols>
  <sheetData>
    <row r="6" spans="1:1" ht="16.5" customHeight="1" x14ac:dyDescent="0.35">
      <c r="A6" s="1" t="s">
        <v>0</v>
      </c>
    </row>
    <row r="8" spans="1:1" ht="13.5" x14ac:dyDescent="0.55000000000000004">
      <c r="A8" s="19" t="s">
        <v>834</v>
      </c>
    </row>
    <row r="9" spans="1:1" ht="10.5" x14ac:dyDescent="0.2">
      <c r="A9" s="20" t="s">
        <v>835</v>
      </c>
    </row>
    <row r="10" spans="1:1" ht="10.5" x14ac:dyDescent="0.2">
      <c r="A10" s="20" t="s">
        <v>836</v>
      </c>
    </row>
    <row r="11" spans="1:1" ht="10.5" x14ac:dyDescent="0.2">
      <c r="A11" s="20" t="s">
        <v>837</v>
      </c>
    </row>
    <row r="12" spans="1:1" ht="10.5" x14ac:dyDescent="0.2">
      <c r="A12" s="20" t="s">
        <v>838</v>
      </c>
    </row>
    <row r="13" spans="1:1" ht="10.5" x14ac:dyDescent="0.2">
      <c r="A13" s="20" t="s">
        <v>839</v>
      </c>
    </row>
    <row r="14" spans="1:1" ht="10.5" x14ac:dyDescent="0.2">
      <c r="A14" s="20" t="s">
        <v>840</v>
      </c>
    </row>
    <row r="15" spans="1:1" ht="10.5" x14ac:dyDescent="0.2">
      <c r="A15" s="20" t="s">
        <v>841</v>
      </c>
    </row>
    <row r="16" spans="1:1" ht="10.5" x14ac:dyDescent="0.2">
      <c r="A16" s="20" t="s">
        <v>842</v>
      </c>
    </row>
  </sheetData>
  <pageMargins left="0.2" right="0.2" top="0.5" bottom="0.5" header="0.5" footer="0.5"/>
  <pageSetup fitToWidth="0" fitToHeight="0" orientation="landscape" horizontalDpi="300" verticalDpi="300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Screening</vt:lpstr>
      <vt:lpstr>HK</vt:lpstr>
      <vt:lpstr>CN</vt:lpstr>
      <vt:lpstr>US</vt:lpstr>
      <vt:lpstr>JP</vt:lpstr>
      <vt:lpstr>Aggregates</vt:lpstr>
      <vt:lpstr>Screen Criteria</vt:lpstr>
      <vt:lpstr>Aggregates!Print_Titles</vt:lpstr>
      <vt:lpstr>'Screen Criteria'!Print_Titles</vt:lpstr>
      <vt:lpstr>Screening!Print_Titles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2004-07-20T21:40:42Z</dcterms:created>
  <dcterms:modified xsi:type="dcterms:W3CDTF">2023-01-11T09:22:38Z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reated By">
    <vt:lpwstr>SoftArtisans OfficeWriter for Excel 8.6.2.281 (http://officewriter.softartisans.com)</vt:lpwstr>
  </property>
</Properties>
</file>